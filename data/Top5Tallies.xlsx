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azubuike/Documents/GitHub/rai-activity-intro/data/"/>
    </mc:Choice>
  </mc:AlternateContent>
  <xr:revisionPtr revIDLastSave="0" documentId="13_ncr:1_{BBF638AD-EEE0-1841-A667-96D24F29C378}" xr6:coauthVersionLast="47" xr6:coauthVersionMax="47" xr10:uidLastSave="{00000000-0000-0000-0000-000000000000}"/>
  <bookViews>
    <workbookView xWindow="3580" yWindow="4480" windowWidth="24840" windowHeight="12520" activeTab="2" xr2:uid="{6F0FC135-76AE-7D41-A9D5-7E0AB4DE655D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3" l="1"/>
  <c r="V9" i="3"/>
  <c r="V13" i="3"/>
  <c r="V17" i="3"/>
  <c r="V21" i="3"/>
  <c r="V25" i="3"/>
  <c r="V29" i="3"/>
  <c r="V33" i="3"/>
  <c r="V37" i="3"/>
  <c r="V41" i="3"/>
  <c r="V45" i="3"/>
  <c r="V49" i="3"/>
  <c r="V53" i="3"/>
  <c r="V57" i="3"/>
  <c r="V61" i="3"/>
  <c r="V65" i="3"/>
  <c r="V69" i="3"/>
  <c r="V73" i="3"/>
  <c r="V77" i="3"/>
  <c r="V81" i="3"/>
  <c r="V85" i="3"/>
  <c r="V89" i="3"/>
  <c r="V93" i="3"/>
  <c r="V97" i="3"/>
  <c r="V101" i="3"/>
  <c r="V105" i="3"/>
  <c r="V109" i="3"/>
  <c r="V113" i="3"/>
  <c r="V117" i="3"/>
  <c r="V121" i="3"/>
  <c r="V125" i="3"/>
  <c r="V129" i="3"/>
  <c r="V133" i="3"/>
  <c r="V137" i="3"/>
  <c r="V141" i="3"/>
  <c r="V145" i="3"/>
  <c r="V149" i="3"/>
  <c r="V153" i="3"/>
  <c r="V157" i="3"/>
  <c r="V161" i="3"/>
  <c r="V165" i="3"/>
  <c r="V169" i="3"/>
  <c r="V173" i="3"/>
  <c r="V177" i="3"/>
  <c r="V181" i="3"/>
  <c r="V185" i="3"/>
  <c r="V189" i="3"/>
  <c r="V193" i="3"/>
  <c r="V197" i="3"/>
  <c r="V201" i="3"/>
  <c r="V205" i="3"/>
  <c r="V209" i="3"/>
  <c r="V213" i="3"/>
  <c r="V217" i="3"/>
  <c r="V221" i="3"/>
  <c r="V225" i="3"/>
  <c r="V229" i="3"/>
  <c r="V233" i="3"/>
  <c r="V237" i="3"/>
  <c r="V241" i="3"/>
  <c r="V245" i="3"/>
  <c r="V249" i="3"/>
  <c r="V253" i="3"/>
  <c r="V257" i="3"/>
  <c r="V261" i="3"/>
  <c r="V265" i="3"/>
  <c r="V269" i="3"/>
  <c r="V273" i="3"/>
  <c r="V277" i="3"/>
  <c r="V281" i="3"/>
  <c r="V285" i="3"/>
  <c r="V289" i="3"/>
  <c r="V293" i="3"/>
  <c r="V297" i="3"/>
  <c r="V301" i="3"/>
  <c r="V305" i="3"/>
  <c r="V309" i="3"/>
  <c r="V313" i="3"/>
  <c r="V317" i="3"/>
  <c r="V321" i="3"/>
  <c r="V325" i="3"/>
  <c r="V329" i="3"/>
  <c r="V333" i="3"/>
  <c r="V337" i="3"/>
  <c r="V341" i="3"/>
  <c r="V1329" i="3"/>
  <c r="V1413" i="3"/>
  <c r="V1417" i="3"/>
  <c r="V1421" i="3"/>
  <c r="V1425" i="3"/>
  <c r="V1429" i="3"/>
  <c r="V1433" i="3"/>
  <c r="V1437" i="3"/>
  <c r="V1441" i="3"/>
  <c r="V1445" i="3"/>
  <c r="V1449" i="3"/>
  <c r="V1453" i="3"/>
  <c r="V1457" i="3"/>
  <c r="V1461" i="3"/>
  <c r="V1465" i="3"/>
  <c r="V1469" i="3"/>
  <c r="V1473" i="3"/>
  <c r="V1477" i="3"/>
  <c r="V1481" i="3"/>
  <c r="V1485" i="3"/>
  <c r="V1489" i="3"/>
  <c r="V1493" i="3"/>
  <c r="V1497" i="3"/>
  <c r="V1501" i="3"/>
  <c r="V1505" i="3"/>
  <c r="V1509" i="3"/>
  <c r="V1513" i="3"/>
  <c r="V1517" i="3"/>
  <c r="V1521" i="3"/>
  <c r="V1525" i="3"/>
  <c r="V1529" i="3"/>
  <c r="V1533" i="3"/>
  <c r="V1537" i="3"/>
  <c r="V1541" i="3"/>
  <c r="V1545" i="3"/>
  <c r="V1549" i="3"/>
  <c r="V1553" i="3"/>
  <c r="V1557" i="3"/>
  <c r="V1561" i="3"/>
  <c r="V1565" i="3"/>
  <c r="V1569" i="3"/>
  <c r="V1573" i="3"/>
  <c r="V1577" i="3"/>
  <c r="V1581" i="3"/>
  <c r="V1585" i="3"/>
  <c r="V1589" i="3"/>
  <c r="V1593" i="3"/>
  <c r="V1597" i="3"/>
  <c r="V1601" i="3"/>
  <c r="V1605" i="3"/>
  <c r="V1609" i="3"/>
  <c r="V1613" i="3"/>
  <c r="V1617" i="3"/>
  <c r="V1621" i="3"/>
  <c r="V1625" i="3"/>
  <c r="V1629" i="3"/>
  <c r="V1633" i="3"/>
  <c r="V1637" i="3"/>
  <c r="V1641" i="3"/>
  <c r="V1645" i="3"/>
  <c r="V1649" i="3"/>
  <c r="V1653" i="3"/>
  <c r="V1657" i="3"/>
  <c r="V1661" i="3"/>
  <c r="V1665" i="3"/>
  <c r="V1669" i="3"/>
  <c r="V1673" i="3"/>
  <c r="V1677" i="3"/>
  <c r="V1681" i="3"/>
  <c r="V1685" i="3"/>
  <c r="V1689" i="3"/>
  <c r="V1693" i="3"/>
  <c r="V1697" i="3"/>
  <c r="V1701" i="3"/>
  <c r="V1705" i="3"/>
  <c r="V1709" i="3"/>
  <c r="V1713" i="3"/>
  <c r="V1717" i="3"/>
  <c r="V1721" i="3"/>
  <c r="V1725" i="3"/>
  <c r="V1729" i="3"/>
  <c r="V1733" i="3"/>
  <c r="V1737" i="3"/>
  <c r="V1741" i="3"/>
  <c r="V1745" i="3"/>
  <c r="V1749" i="3"/>
  <c r="V1753" i="3"/>
  <c r="V1757" i="3"/>
  <c r="V1761" i="3"/>
  <c r="V1765" i="3"/>
  <c r="V1769" i="3"/>
  <c r="V1773" i="3"/>
  <c r="V1777" i="3"/>
  <c r="V1781" i="3"/>
  <c r="V1785" i="3"/>
  <c r="V1789" i="3"/>
  <c r="V1793" i="3"/>
  <c r="V1797" i="3"/>
  <c r="V1801" i="3"/>
  <c r="V1805" i="3"/>
  <c r="V1809" i="3"/>
  <c r="V1813" i="3"/>
  <c r="V1817" i="3"/>
  <c r="V1821" i="3"/>
  <c r="V1825" i="3"/>
  <c r="V1829" i="3"/>
  <c r="V1833" i="3"/>
  <c r="V1837" i="3"/>
  <c r="V1841" i="3"/>
  <c r="V1845" i="3"/>
  <c r="V1849" i="3"/>
  <c r="V1853" i="3"/>
  <c r="V1857" i="3"/>
  <c r="V1861" i="3"/>
  <c r="V1865" i="3"/>
  <c r="V1869" i="3"/>
  <c r="V1873" i="3"/>
  <c r="V1877" i="3"/>
  <c r="V1881" i="3"/>
  <c r="V1885" i="3"/>
  <c r="V1889" i="3"/>
  <c r="V1893" i="3"/>
  <c r="V1897" i="3"/>
  <c r="V1901" i="3"/>
  <c r="V1905" i="3"/>
  <c r="V1909" i="3"/>
  <c r="V1913" i="3"/>
  <c r="V1917" i="3"/>
  <c r="V1921" i="3"/>
  <c r="V1925" i="3"/>
  <c r="V1929" i="3"/>
  <c r="V1933" i="3"/>
  <c r="V1937" i="3"/>
  <c r="V1941" i="3"/>
  <c r="V1945" i="3"/>
  <c r="V1949" i="3"/>
  <c r="V1953" i="3"/>
  <c r="V1957" i="3"/>
  <c r="V1961" i="3"/>
  <c r="V1965" i="3"/>
  <c r="V1969" i="3"/>
  <c r="V1973" i="3"/>
  <c r="V1977" i="3"/>
  <c r="V1981" i="3"/>
  <c r="V1985" i="3"/>
  <c r="V1989" i="3"/>
  <c r="V1993" i="3"/>
  <c r="V1997" i="3"/>
  <c r="V2001" i="3"/>
  <c r="V2005" i="3"/>
  <c r="V2009" i="3"/>
  <c r="V2013" i="3"/>
  <c r="V2017" i="3"/>
  <c r="V2021" i="3"/>
  <c r="V2025" i="3"/>
  <c r="V2029" i="3"/>
  <c r="V2033" i="3"/>
  <c r="V2037" i="3"/>
  <c r="V2041" i="3"/>
  <c r="V2045" i="3"/>
  <c r="V2049" i="3"/>
  <c r="V2053" i="3"/>
  <c r="V2057" i="3"/>
  <c r="V2061" i="3"/>
  <c r="V2065" i="3"/>
  <c r="V2069" i="3"/>
  <c r="V2073" i="3"/>
  <c r="V2077" i="3"/>
  <c r="V2081" i="3"/>
  <c r="V2085" i="3"/>
  <c r="V2089" i="3"/>
  <c r="V2093" i="3"/>
  <c r="V2097" i="3"/>
  <c r="V2101" i="3"/>
  <c r="V2105" i="3"/>
  <c r="V2109" i="3"/>
  <c r="V2113" i="3"/>
  <c r="V2117" i="3"/>
  <c r="V2121" i="3"/>
  <c r="V2125" i="3"/>
  <c r="V2129" i="3"/>
  <c r="V2133" i="3"/>
  <c r="V2137" i="3"/>
  <c r="V2141" i="3"/>
  <c r="V2145" i="3"/>
  <c r="V2149" i="3"/>
  <c r="V2153" i="3"/>
  <c r="V2157" i="3"/>
  <c r="V2161" i="3"/>
  <c r="V2165" i="3"/>
  <c r="V2169" i="3"/>
  <c r="V2173" i="3"/>
  <c r="V2177" i="3"/>
  <c r="V2181" i="3"/>
  <c r="V2185" i="3"/>
  <c r="V2189" i="3"/>
  <c r="V2193" i="3"/>
  <c r="V2197" i="3"/>
  <c r="V2201" i="3"/>
  <c r="V2205" i="3"/>
  <c r="V2209" i="3"/>
  <c r="V2213" i="3"/>
  <c r="V2217" i="3"/>
  <c r="V2221" i="3"/>
  <c r="V2225" i="3"/>
  <c r="V2229" i="3"/>
  <c r="V2233" i="3"/>
  <c r="V2237" i="3"/>
  <c r="V2241" i="3"/>
  <c r="V2245" i="3"/>
  <c r="V2249" i="3"/>
  <c r="V2253" i="3"/>
  <c r="V2257" i="3"/>
  <c r="V2261" i="3"/>
  <c r="V2265" i="3"/>
  <c r="V2269" i="3"/>
  <c r="V2273" i="3"/>
  <c r="V2277" i="3"/>
  <c r="V2281" i="3"/>
  <c r="V2285" i="3"/>
  <c r="V2289" i="3"/>
  <c r="V2293" i="3"/>
  <c r="V2297" i="3"/>
  <c r="V2301" i="3"/>
  <c r="V2305" i="3"/>
  <c r="V2309" i="3"/>
  <c r="V2313" i="3"/>
  <c r="V2317" i="3"/>
  <c r="V2321" i="3"/>
  <c r="V2325" i="3"/>
  <c r="V2329" i="3"/>
  <c r="V2333" i="3"/>
  <c r="V2337" i="3"/>
  <c r="V2341" i="3"/>
  <c r="V2345" i="3"/>
  <c r="V2349" i="3"/>
  <c r="V2353" i="3"/>
  <c r="V2357" i="3"/>
  <c r="V2361" i="3"/>
  <c r="V2365" i="3"/>
  <c r="V2369" i="3"/>
  <c r="V2373" i="3"/>
  <c r="V2377" i="3"/>
  <c r="V2381" i="3"/>
  <c r="V2385" i="3"/>
  <c r="V2389" i="3"/>
  <c r="V2393" i="3"/>
  <c r="V2397" i="3"/>
  <c r="V2401" i="3"/>
  <c r="V2405" i="3"/>
  <c r="V2409" i="3"/>
  <c r="V2413" i="3"/>
  <c r="V2417" i="3"/>
  <c r="V2421" i="3"/>
  <c r="V2425" i="3"/>
  <c r="V2493" i="3"/>
  <c r="V2494" i="3"/>
  <c r="V2497" i="3"/>
  <c r="V2498" i="3"/>
  <c r="V2501" i="3"/>
  <c r="V2502" i="3"/>
  <c r="V2505" i="3"/>
  <c r="V2506" i="3"/>
  <c r="V2509" i="3"/>
  <c r="V2510" i="3"/>
  <c r="V2513" i="3"/>
  <c r="V2514" i="3"/>
  <c r="V2517" i="3"/>
  <c r="V2518" i="3"/>
  <c r="V2521" i="3"/>
  <c r="V2522" i="3"/>
  <c r="V2525" i="3"/>
  <c r="V2526" i="3"/>
  <c r="V2529" i="3"/>
  <c r="V2530" i="3"/>
  <c r="V2533" i="3"/>
  <c r="V2534" i="3"/>
  <c r="V2537" i="3"/>
  <c r="V2538" i="3"/>
  <c r="V2541" i="3"/>
  <c r="V2542" i="3"/>
  <c r="V2545" i="3"/>
  <c r="V2546" i="3"/>
  <c r="V2549" i="3"/>
  <c r="V2550" i="3"/>
  <c r="V2553" i="3"/>
  <c r="V2554" i="3"/>
  <c r="V2557" i="3"/>
  <c r="V2558" i="3"/>
  <c r="V2561" i="3"/>
  <c r="V2562" i="3"/>
  <c r="V2565" i="3"/>
  <c r="V2566" i="3"/>
  <c r="V2569" i="3"/>
  <c r="V2570" i="3"/>
  <c r="V2573" i="3"/>
  <c r="V2574" i="3"/>
  <c r="V2577" i="3"/>
  <c r="V2578" i="3"/>
  <c r="V2581" i="3"/>
  <c r="V2582" i="3"/>
  <c r="V2586" i="3"/>
  <c r="V2589" i="3"/>
  <c r="V2590" i="3"/>
  <c r="V2593" i="3"/>
  <c r="V2594" i="3"/>
  <c r="V2597" i="3"/>
  <c r="V2598" i="3"/>
  <c r="V2601" i="3"/>
  <c r="V2602" i="3"/>
  <c r="V2605" i="3"/>
  <c r="V2606" i="3"/>
  <c r="V2609" i="3"/>
  <c r="V2610" i="3"/>
  <c r="V2613" i="3"/>
  <c r="V2614" i="3"/>
  <c r="V2617" i="3"/>
  <c r="V2618" i="3"/>
  <c r="V2621" i="3"/>
  <c r="V2622" i="3"/>
  <c r="V2625" i="3"/>
  <c r="V2626" i="3"/>
  <c r="V2629" i="3"/>
  <c r="V2630" i="3"/>
  <c r="V2633" i="3"/>
  <c r="V2634" i="3"/>
  <c r="V2637" i="3"/>
  <c r="V2638" i="3"/>
  <c r="V2641" i="3"/>
  <c r="V2642" i="3"/>
  <c r="V2645" i="3"/>
  <c r="V2646" i="3"/>
  <c r="V2649" i="3"/>
  <c r="V2650" i="3"/>
  <c r="V2653" i="3"/>
  <c r="V2654" i="3"/>
  <c r="V2657" i="3"/>
  <c r="V2658" i="3"/>
  <c r="V2661" i="3"/>
  <c r="V2662" i="3"/>
  <c r="V2665" i="3"/>
  <c r="V2666" i="3"/>
  <c r="V2669" i="3"/>
  <c r="V2670" i="3"/>
  <c r="V2673" i="3"/>
  <c r="V2674" i="3"/>
  <c r="V2677" i="3"/>
  <c r="V2678" i="3"/>
  <c r="V2681" i="3"/>
  <c r="V2682" i="3"/>
  <c r="V2686" i="3"/>
  <c r="V2689" i="3"/>
  <c r="V2690" i="3"/>
  <c r="V2693" i="3"/>
  <c r="V2694" i="3"/>
  <c r="V2697" i="3"/>
  <c r="V2698" i="3"/>
  <c r="V2701" i="3"/>
  <c r="V2702" i="3"/>
  <c r="V2705" i="3"/>
  <c r="V2706" i="3"/>
  <c r="V2709" i="3"/>
  <c r="V2710" i="3"/>
  <c r="V2713" i="3"/>
  <c r="V2714" i="3"/>
  <c r="V2717" i="3"/>
  <c r="V2718" i="3"/>
  <c r="V2721" i="3"/>
  <c r="V2722" i="3"/>
  <c r="V2725" i="3"/>
  <c r="V2726" i="3"/>
  <c r="V2730" i="3"/>
  <c r="V2733" i="3"/>
  <c r="V2734" i="3"/>
  <c r="V2737" i="3"/>
  <c r="V2738" i="3"/>
  <c r="V2741" i="3"/>
  <c r="V2742" i="3"/>
  <c r="V2745" i="3"/>
  <c r="V2746" i="3"/>
  <c r="V2749" i="3"/>
  <c r="V2750" i="3"/>
  <c r="V2753" i="3"/>
  <c r="V2754" i="3"/>
  <c r="V2757" i="3"/>
  <c r="V2758" i="3"/>
  <c r="V2761" i="3"/>
  <c r="V2762" i="3"/>
  <c r="V2765" i="3"/>
  <c r="V2766" i="3"/>
  <c r="V2769" i="3"/>
  <c r="V2770" i="3"/>
  <c r="V2773" i="3"/>
  <c r="V2774" i="3"/>
  <c r="V2777" i="3"/>
  <c r="V2778" i="3"/>
  <c r="V2781" i="3"/>
  <c r="V2782" i="3"/>
  <c r="V2785" i="3"/>
  <c r="V2786" i="3"/>
  <c r="V2789" i="3"/>
  <c r="V2790" i="3"/>
  <c r="V2794" i="3"/>
  <c r="V2797" i="3"/>
  <c r="V2798" i="3"/>
  <c r="V2801" i="3"/>
  <c r="V2802" i="3"/>
  <c r="V2805" i="3"/>
  <c r="V2806" i="3"/>
  <c r="V2809" i="3"/>
  <c r="V2810" i="3"/>
  <c r="V2813" i="3"/>
  <c r="V2814" i="3"/>
  <c r="V2817" i="3"/>
  <c r="V2818" i="3"/>
  <c r="V2821" i="3"/>
  <c r="V2822" i="3"/>
  <c r="V2825" i="3"/>
  <c r="V2826" i="3"/>
  <c r="V2829" i="3"/>
  <c r="V2830" i="3"/>
  <c r="V2833" i="3"/>
  <c r="V2834" i="3"/>
  <c r="V2837" i="3"/>
  <c r="V2838" i="3"/>
  <c r="V2841" i="3"/>
  <c r="V2842" i="3"/>
  <c r="V2845" i="3"/>
  <c r="V2846" i="3"/>
  <c r="V2849" i="3"/>
  <c r="V2850" i="3"/>
  <c r="V2853" i="3"/>
  <c r="V2854" i="3"/>
  <c r="V2857" i="3"/>
  <c r="V2858" i="3"/>
  <c r="V2861" i="3"/>
  <c r="V2862" i="3"/>
  <c r="V2865" i="3"/>
  <c r="V2866" i="3"/>
  <c r="V2869" i="3"/>
  <c r="V2870" i="3"/>
  <c r="V2873" i="3"/>
  <c r="V2874" i="3"/>
  <c r="V2877" i="3"/>
  <c r="V2878" i="3"/>
  <c r="V2881" i="3"/>
  <c r="V2882" i="3"/>
  <c r="V2885" i="3"/>
  <c r="V2886" i="3"/>
  <c r="V2889" i="3"/>
  <c r="V2890" i="3"/>
  <c r="V2893" i="3"/>
  <c r="V2894" i="3"/>
  <c r="V2897" i="3"/>
  <c r="V2898" i="3"/>
  <c r="V2901" i="3"/>
  <c r="V2902" i="3"/>
  <c r="V2905" i="3"/>
  <c r="V2906" i="3"/>
  <c r="V2909" i="3"/>
  <c r="V2910" i="3"/>
  <c r="V2913" i="3"/>
  <c r="V2914" i="3"/>
  <c r="V2917" i="3"/>
  <c r="V2918" i="3"/>
  <c r="V2921" i="3"/>
  <c r="V2922" i="3"/>
  <c r="V2925" i="3"/>
  <c r="V2926" i="3"/>
  <c r="V2929" i="3"/>
  <c r="V2930" i="3"/>
  <c r="V2933" i="3"/>
  <c r="V2934" i="3"/>
  <c r="V2937" i="3"/>
  <c r="V2938" i="3"/>
  <c r="V2941" i="3"/>
  <c r="V2942" i="3"/>
  <c r="V2945" i="3"/>
  <c r="V2946" i="3"/>
  <c r="V2949" i="3"/>
  <c r="V2953" i="3"/>
  <c r="V2954" i="3"/>
  <c r="V2957" i="3"/>
  <c r="V2958" i="3"/>
  <c r="V2961" i="3"/>
  <c r="V2962" i="3"/>
  <c r="V2965" i="3"/>
  <c r="V2966" i="3"/>
  <c r="V2969" i="3"/>
  <c r="V2970" i="3"/>
  <c r="V2973" i="3"/>
  <c r="V2974" i="3"/>
  <c r="V2977" i="3"/>
  <c r="V2978" i="3"/>
  <c r="V2981" i="3"/>
  <c r="V2982" i="3"/>
  <c r="V2985" i="3"/>
  <c r="V2986" i="3"/>
  <c r="V2989" i="3"/>
  <c r="V2993" i="3"/>
  <c r="V2994" i="3"/>
  <c r="V2997" i="3"/>
  <c r="V2998" i="3"/>
  <c r="V3001" i="3"/>
  <c r="V3002" i="3"/>
  <c r="V3005" i="3"/>
  <c r="V3006" i="3"/>
  <c r="V3009" i="3"/>
  <c r="V3010" i="3"/>
  <c r="V3013" i="3"/>
  <c r="V3014" i="3"/>
  <c r="V3017" i="3"/>
  <c r="V3018" i="3"/>
  <c r="V3021" i="3"/>
  <c r="V3022" i="3"/>
  <c r="V3025" i="3"/>
  <c r="V3026" i="3"/>
  <c r="V3029" i="3"/>
  <c r="V3033" i="3"/>
  <c r="V3034" i="3"/>
  <c r="V3037" i="3"/>
  <c r="V3038" i="3"/>
  <c r="V3041" i="3"/>
  <c r="V3042" i="3"/>
  <c r="V3045" i="3"/>
  <c r="V3046" i="3"/>
  <c r="V3049" i="3"/>
  <c r="V3050" i="3"/>
  <c r="V3053" i="3"/>
  <c r="V3054" i="3"/>
  <c r="V3057" i="3"/>
  <c r="V3058" i="3"/>
  <c r="V3061" i="3"/>
  <c r="V3062" i="3"/>
  <c r="V3065" i="3"/>
  <c r="V3066" i="3"/>
  <c r="V3069" i="3"/>
  <c r="V3070" i="3"/>
  <c r="V3073" i="3"/>
  <c r="V3074" i="3"/>
  <c r="V3077" i="3"/>
  <c r="V3078" i="3"/>
  <c r="V3081" i="3"/>
  <c r="V3082" i="3"/>
  <c r="V3085" i="3"/>
  <c r="V3086" i="3"/>
  <c r="V3089" i="3"/>
  <c r="V3090" i="3"/>
  <c r="V3093" i="3"/>
  <c r="V3094" i="3"/>
  <c r="V3097" i="3"/>
  <c r="V3098" i="3"/>
  <c r="V3101" i="3"/>
  <c r="V3102" i="3"/>
  <c r="V3105" i="3"/>
  <c r="V3106" i="3"/>
  <c r="V3109" i="3"/>
  <c r="V3110" i="3"/>
  <c r="V3113" i="3"/>
  <c r="V3114" i="3"/>
  <c r="V3117" i="3"/>
  <c r="V3118" i="3"/>
  <c r="V3121" i="3"/>
  <c r="V3122" i="3"/>
  <c r="V3125" i="3"/>
  <c r="V3126" i="3"/>
  <c r="V3129" i="3"/>
  <c r="V3130" i="3"/>
  <c r="V3133" i="3"/>
  <c r="V3134" i="3"/>
  <c r="V3137" i="3"/>
  <c r="V3138" i="3"/>
  <c r="V3141" i="3"/>
  <c r="V3142" i="3"/>
  <c r="V3145" i="3"/>
  <c r="V3146" i="3"/>
  <c r="V3149" i="3"/>
  <c r="V3150" i="3"/>
  <c r="V3153" i="3"/>
  <c r="V3157" i="3"/>
  <c r="V3158" i="3"/>
  <c r="V3161" i="3"/>
  <c r="V3162" i="3"/>
  <c r="V3165" i="3"/>
  <c r="V3166" i="3"/>
  <c r="V3169" i="3"/>
  <c r="V3170" i="3"/>
  <c r="V3173" i="3"/>
  <c r="V3174" i="3"/>
  <c r="V3177" i="3"/>
  <c r="V3181" i="3"/>
  <c r="V3182" i="3"/>
  <c r="V3185" i="3"/>
  <c r="V3186" i="3"/>
  <c r="V3189" i="3"/>
  <c r="V3190" i="3"/>
  <c r="V3193" i="3"/>
  <c r="V3194" i="3"/>
  <c r="V3197" i="3"/>
  <c r="V3198" i="3"/>
  <c r="V3201" i="3"/>
  <c r="V3205" i="3"/>
  <c r="V3206" i="3"/>
  <c r="V3209" i="3"/>
  <c r="V3210" i="3"/>
  <c r="V3213" i="3"/>
  <c r="V3214" i="3"/>
  <c r="V3217" i="3"/>
  <c r="V3218" i="3"/>
  <c r="V3221" i="3"/>
  <c r="V3222" i="3"/>
  <c r="V3225" i="3"/>
  <c r="V3226" i="3"/>
  <c r="V3229" i="3"/>
  <c r="V3230" i="3"/>
  <c r="V3233" i="3"/>
  <c r="V3234" i="3"/>
  <c r="V3237" i="3"/>
  <c r="V3238" i="3"/>
  <c r="V3241" i="3"/>
  <c r="V3242" i="3"/>
  <c r="V3245" i="3"/>
  <c r="V3246" i="3"/>
  <c r="V3249" i="3"/>
  <c r="V3250" i="3"/>
  <c r="V3253" i="3"/>
  <c r="V3254" i="3"/>
  <c r="V3257" i="3"/>
  <c r="V3258" i="3"/>
  <c r="V3261" i="3"/>
  <c r="V3262" i="3"/>
  <c r="V3265" i="3"/>
  <c r="V3266" i="3"/>
  <c r="V3269" i="3"/>
  <c r="V3270" i="3"/>
  <c r="V3273" i="3"/>
  <c r="V3274" i="3"/>
  <c r="V3277" i="3"/>
  <c r="V3278" i="3"/>
  <c r="V3281" i="3"/>
  <c r="V3285" i="3"/>
  <c r="V3286" i="3"/>
  <c r="V3289" i="3"/>
  <c r="V3290" i="3"/>
  <c r="V3293" i="3"/>
  <c r="V3294" i="3"/>
  <c r="V3297" i="3"/>
  <c r="V3298" i="3"/>
  <c r="V3301" i="3"/>
  <c r="V3302" i="3"/>
  <c r="V3305" i="3"/>
  <c r="V3309" i="3"/>
  <c r="V3310" i="3"/>
  <c r="V3313" i="3"/>
  <c r="V3314" i="3"/>
  <c r="V3317" i="3"/>
  <c r="V3318" i="3"/>
  <c r="V3321" i="3"/>
  <c r="V3322" i="3"/>
  <c r="V3325" i="3"/>
  <c r="V3326" i="3"/>
  <c r="V3329" i="3"/>
  <c r="V3333" i="3"/>
  <c r="V3334" i="3"/>
  <c r="V3337" i="3"/>
  <c r="V3338" i="3"/>
  <c r="V3341" i="3"/>
  <c r="V3342" i="3"/>
  <c r="V3345" i="3"/>
  <c r="V3346" i="3"/>
  <c r="V3349" i="3"/>
  <c r="V3350" i="3"/>
  <c r="V3353" i="3"/>
  <c r="V3354" i="3"/>
  <c r="V3357" i="3"/>
  <c r="V3358" i="3"/>
  <c r="V3361" i="3"/>
  <c r="V3362" i="3"/>
  <c r="V3365" i="3"/>
  <c r="V3366" i="3"/>
  <c r="V3369" i="3"/>
  <c r="V3370" i="3"/>
  <c r="V3373" i="3"/>
  <c r="V3374" i="3"/>
  <c r="V3377" i="3"/>
  <c r="V3378" i="3"/>
  <c r="V3381" i="3"/>
  <c r="V3382" i="3"/>
  <c r="V3385" i="3"/>
  <c r="V3386" i="3"/>
  <c r="V3389" i="3"/>
  <c r="V3390" i="3"/>
  <c r="V3393" i="3"/>
  <c r="V3394" i="3"/>
  <c r="V3397" i="3"/>
  <c r="V3398" i="3"/>
  <c r="V3401" i="3"/>
  <c r="V3402" i="3"/>
  <c r="V3405" i="3"/>
  <c r="V3406" i="3"/>
  <c r="V3409" i="3"/>
  <c r="V3413" i="3"/>
  <c r="V3414" i="3"/>
  <c r="V3417" i="3"/>
  <c r="V3418" i="3"/>
  <c r="V3421" i="3"/>
  <c r="V3422" i="3"/>
  <c r="V3425" i="3"/>
  <c r="V3426" i="3"/>
  <c r="V3429" i="3"/>
  <c r="V3430" i="3"/>
  <c r="V3433" i="3"/>
  <c r="V3437" i="3"/>
  <c r="V3438" i="3"/>
  <c r="V3441" i="3"/>
  <c r="V3442" i="3"/>
  <c r="V3445" i="3"/>
  <c r="V3446" i="3"/>
  <c r="V3449" i="3"/>
  <c r="V3450" i="3"/>
  <c r="V3453" i="3"/>
  <c r="V3454" i="3"/>
  <c r="V3457" i="3"/>
  <c r="V3461" i="3"/>
  <c r="V3462" i="3"/>
  <c r="V3465" i="3"/>
  <c r="V3466" i="3"/>
  <c r="V3469" i="3"/>
  <c r="V3470" i="3"/>
  <c r="V3473" i="3"/>
  <c r="V3474" i="3"/>
  <c r="V3477" i="3"/>
  <c r="V3478" i="3"/>
  <c r="V3481" i="3"/>
  <c r="V3482" i="3"/>
  <c r="V3485" i="3"/>
  <c r="V3486" i="3"/>
  <c r="V3489" i="3"/>
  <c r="V3490" i="3"/>
  <c r="V3493" i="3"/>
  <c r="V3494" i="3"/>
  <c r="V3497" i="3"/>
  <c r="V3498" i="3"/>
  <c r="V3501" i="3"/>
  <c r="V3502" i="3"/>
  <c r="V3505" i="3"/>
  <c r="V3506" i="3"/>
  <c r="V3509" i="3"/>
  <c r="V3510" i="3"/>
  <c r="V3513" i="3"/>
  <c r="V3514" i="3"/>
  <c r="V3517" i="3"/>
  <c r="V3518" i="3"/>
  <c r="V3521" i="3"/>
  <c r="V3522" i="3"/>
  <c r="V3525" i="3"/>
  <c r="V3526" i="3"/>
  <c r="D16" i="2"/>
  <c r="E16" i="2"/>
  <c r="D17" i="2"/>
  <c r="E17" i="2"/>
  <c r="C17" i="2"/>
  <c r="C6" i="2" a="1"/>
  <c r="C6" i="2" s="1"/>
  <c r="C7" i="2" s="1"/>
  <c r="C16" i="2"/>
  <c r="E13" i="2"/>
  <c r="D13" i="2"/>
  <c r="C13" i="2"/>
  <c r="E11" i="2"/>
  <c r="D11" i="2"/>
  <c r="C11" i="2"/>
  <c r="E7" i="2"/>
  <c r="D7" i="2"/>
  <c r="D5" i="2"/>
  <c r="E5" i="2"/>
  <c r="C5" i="2"/>
  <c r="I12" i="2"/>
  <c r="E14" i="2"/>
  <c r="D14" i="2"/>
  <c r="C14" i="2"/>
  <c r="I14" i="2"/>
  <c r="E10" i="2"/>
  <c r="D10" i="2"/>
  <c r="C10" i="2"/>
  <c r="I10" i="2"/>
  <c r="E12" i="2" a="1"/>
  <c r="E12" i="2" s="1"/>
  <c r="D12" i="2" a="1"/>
  <c r="D12" i="2" s="1"/>
  <c r="C12" i="2" a="1"/>
  <c r="C12" i="2" s="1"/>
  <c r="E6" i="2" a="1"/>
  <c r="E6" i="2" s="1"/>
  <c r="D6" i="2" a="1"/>
  <c r="D6" i="2" s="1"/>
  <c r="I6" i="2"/>
  <c r="I8" i="2"/>
  <c r="E8" i="2"/>
  <c r="D8" i="2"/>
  <c r="C8" i="2"/>
  <c r="I4" i="2"/>
  <c r="E4" i="2"/>
  <c r="D4" i="2"/>
  <c r="U3" i="3"/>
  <c r="V3" i="3"/>
  <c r="U4" i="3"/>
  <c r="V4" i="3"/>
  <c r="U5" i="3"/>
  <c r="U6" i="3"/>
  <c r="V6" i="3"/>
  <c r="U7" i="3"/>
  <c r="V7" i="3"/>
  <c r="U8" i="3"/>
  <c r="V8" i="3"/>
  <c r="U9" i="3"/>
  <c r="U10" i="3"/>
  <c r="V10" i="3"/>
  <c r="U11" i="3"/>
  <c r="V11" i="3"/>
  <c r="U12" i="3"/>
  <c r="V12" i="3"/>
  <c r="U13" i="3"/>
  <c r="U14" i="3"/>
  <c r="V14" i="3"/>
  <c r="U15" i="3"/>
  <c r="V15" i="3"/>
  <c r="U16" i="3"/>
  <c r="V16" i="3"/>
  <c r="U17" i="3"/>
  <c r="U18" i="3"/>
  <c r="V18" i="3"/>
  <c r="U19" i="3"/>
  <c r="V19" i="3"/>
  <c r="U20" i="3"/>
  <c r="V20" i="3"/>
  <c r="U21" i="3"/>
  <c r="U22" i="3"/>
  <c r="V22" i="3"/>
  <c r="U23" i="3"/>
  <c r="V23" i="3"/>
  <c r="U24" i="3"/>
  <c r="V24" i="3"/>
  <c r="U25" i="3"/>
  <c r="U26" i="3"/>
  <c r="V26" i="3"/>
  <c r="U27" i="3"/>
  <c r="V27" i="3"/>
  <c r="U28" i="3"/>
  <c r="V28" i="3"/>
  <c r="U29" i="3"/>
  <c r="U30" i="3"/>
  <c r="V30" i="3"/>
  <c r="U31" i="3"/>
  <c r="V31" i="3"/>
  <c r="U32" i="3"/>
  <c r="V32" i="3"/>
  <c r="U33" i="3"/>
  <c r="U34" i="3"/>
  <c r="V34" i="3"/>
  <c r="U35" i="3"/>
  <c r="V35" i="3"/>
  <c r="U36" i="3"/>
  <c r="V36" i="3"/>
  <c r="U37" i="3"/>
  <c r="U38" i="3"/>
  <c r="V38" i="3"/>
  <c r="U39" i="3"/>
  <c r="V39" i="3"/>
  <c r="U40" i="3"/>
  <c r="V40" i="3"/>
  <c r="U41" i="3"/>
  <c r="U42" i="3"/>
  <c r="V42" i="3"/>
  <c r="U43" i="3"/>
  <c r="V43" i="3"/>
  <c r="U44" i="3"/>
  <c r="V44" i="3"/>
  <c r="U45" i="3"/>
  <c r="U46" i="3"/>
  <c r="V46" i="3"/>
  <c r="U47" i="3"/>
  <c r="V47" i="3"/>
  <c r="U48" i="3"/>
  <c r="V48" i="3"/>
  <c r="U49" i="3"/>
  <c r="U50" i="3"/>
  <c r="V50" i="3"/>
  <c r="U51" i="3"/>
  <c r="V51" i="3"/>
  <c r="U52" i="3"/>
  <c r="V52" i="3"/>
  <c r="U53" i="3"/>
  <c r="U54" i="3"/>
  <c r="V54" i="3"/>
  <c r="U55" i="3"/>
  <c r="V55" i="3"/>
  <c r="U56" i="3"/>
  <c r="V56" i="3"/>
  <c r="U57" i="3"/>
  <c r="U58" i="3"/>
  <c r="V58" i="3"/>
  <c r="U59" i="3"/>
  <c r="V59" i="3"/>
  <c r="U60" i="3"/>
  <c r="V60" i="3"/>
  <c r="U61" i="3"/>
  <c r="U62" i="3"/>
  <c r="V62" i="3"/>
  <c r="U63" i="3"/>
  <c r="V63" i="3"/>
  <c r="U64" i="3"/>
  <c r="V64" i="3"/>
  <c r="U65" i="3"/>
  <c r="U66" i="3"/>
  <c r="V66" i="3"/>
  <c r="U67" i="3"/>
  <c r="V67" i="3"/>
  <c r="U68" i="3"/>
  <c r="V68" i="3"/>
  <c r="U69" i="3"/>
  <c r="U70" i="3"/>
  <c r="V70" i="3"/>
  <c r="U71" i="3"/>
  <c r="V71" i="3"/>
  <c r="U72" i="3"/>
  <c r="V72" i="3"/>
  <c r="U73" i="3"/>
  <c r="U74" i="3"/>
  <c r="V74" i="3"/>
  <c r="U75" i="3"/>
  <c r="V75" i="3"/>
  <c r="U76" i="3"/>
  <c r="V76" i="3"/>
  <c r="U77" i="3"/>
  <c r="U78" i="3"/>
  <c r="V78" i="3"/>
  <c r="U79" i="3"/>
  <c r="V79" i="3"/>
  <c r="U80" i="3"/>
  <c r="V80" i="3"/>
  <c r="U81" i="3"/>
  <c r="U82" i="3"/>
  <c r="V82" i="3"/>
  <c r="U83" i="3"/>
  <c r="V83" i="3"/>
  <c r="U84" i="3"/>
  <c r="V84" i="3"/>
  <c r="U85" i="3"/>
  <c r="U86" i="3"/>
  <c r="V86" i="3"/>
  <c r="U87" i="3"/>
  <c r="V87" i="3"/>
  <c r="U88" i="3"/>
  <c r="V88" i="3"/>
  <c r="U89" i="3"/>
  <c r="U90" i="3"/>
  <c r="V90" i="3"/>
  <c r="U91" i="3"/>
  <c r="V91" i="3"/>
  <c r="U92" i="3"/>
  <c r="V92" i="3"/>
  <c r="U93" i="3"/>
  <c r="U94" i="3"/>
  <c r="V94" i="3"/>
  <c r="U95" i="3"/>
  <c r="V95" i="3"/>
  <c r="U96" i="3"/>
  <c r="V96" i="3"/>
  <c r="U97" i="3"/>
  <c r="U98" i="3"/>
  <c r="V98" i="3"/>
  <c r="U99" i="3"/>
  <c r="V99" i="3"/>
  <c r="U100" i="3"/>
  <c r="V100" i="3"/>
  <c r="U101" i="3"/>
  <c r="U102" i="3"/>
  <c r="V102" i="3"/>
  <c r="U103" i="3"/>
  <c r="V103" i="3"/>
  <c r="U104" i="3"/>
  <c r="V104" i="3"/>
  <c r="U105" i="3"/>
  <c r="U106" i="3"/>
  <c r="V106" i="3"/>
  <c r="U107" i="3"/>
  <c r="V107" i="3"/>
  <c r="U108" i="3"/>
  <c r="V108" i="3"/>
  <c r="U109" i="3"/>
  <c r="U110" i="3"/>
  <c r="V110" i="3"/>
  <c r="U111" i="3"/>
  <c r="V111" i="3"/>
  <c r="U112" i="3"/>
  <c r="V112" i="3"/>
  <c r="U113" i="3"/>
  <c r="U114" i="3"/>
  <c r="V114" i="3"/>
  <c r="U115" i="3"/>
  <c r="V115" i="3"/>
  <c r="U116" i="3"/>
  <c r="V116" i="3"/>
  <c r="U117" i="3"/>
  <c r="U118" i="3"/>
  <c r="V118" i="3"/>
  <c r="U119" i="3"/>
  <c r="V119" i="3"/>
  <c r="U120" i="3"/>
  <c r="V120" i="3"/>
  <c r="U121" i="3"/>
  <c r="U122" i="3"/>
  <c r="V122" i="3"/>
  <c r="U123" i="3"/>
  <c r="V123" i="3"/>
  <c r="U124" i="3"/>
  <c r="V124" i="3"/>
  <c r="U125" i="3"/>
  <c r="U126" i="3"/>
  <c r="V126" i="3"/>
  <c r="U127" i="3"/>
  <c r="V127" i="3"/>
  <c r="U128" i="3"/>
  <c r="V128" i="3"/>
  <c r="U129" i="3"/>
  <c r="U130" i="3"/>
  <c r="V130" i="3"/>
  <c r="U131" i="3"/>
  <c r="V131" i="3"/>
  <c r="U132" i="3"/>
  <c r="V132" i="3"/>
  <c r="U133" i="3"/>
  <c r="U134" i="3"/>
  <c r="V134" i="3"/>
  <c r="U135" i="3"/>
  <c r="V135" i="3"/>
  <c r="U136" i="3"/>
  <c r="V136" i="3"/>
  <c r="U137" i="3"/>
  <c r="U138" i="3"/>
  <c r="V138" i="3"/>
  <c r="U139" i="3"/>
  <c r="V139" i="3"/>
  <c r="U140" i="3"/>
  <c r="V140" i="3"/>
  <c r="U141" i="3"/>
  <c r="U142" i="3"/>
  <c r="V142" i="3"/>
  <c r="U143" i="3"/>
  <c r="V143" i="3"/>
  <c r="U144" i="3"/>
  <c r="V144" i="3"/>
  <c r="U145" i="3"/>
  <c r="U146" i="3"/>
  <c r="V146" i="3"/>
  <c r="U147" i="3"/>
  <c r="V147" i="3"/>
  <c r="U148" i="3"/>
  <c r="V148" i="3"/>
  <c r="U149" i="3"/>
  <c r="U150" i="3"/>
  <c r="V150" i="3"/>
  <c r="U151" i="3"/>
  <c r="V151" i="3"/>
  <c r="U152" i="3"/>
  <c r="V152" i="3"/>
  <c r="U153" i="3"/>
  <c r="U154" i="3"/>
  <c r="V154" i="3"/>
  <c r="U155" i="3"/>
  <c r="V155" i="3"/>
  <c r="U156" i="3"/>
  <c r="V156" i="3"/>
  <c r="U157" i="3"/>
  <c r="U158" i="3"/>
  <c r="V158" i="3"/>
  <c r="U159" i="3"/>
  <c r="V159" i="3"/>
  <c r="U160" i="3"/>
  <c r="V160" i="3"/>
  <c r="U161" i="3"/>
  <c r="U162" i="3"/>
  <c r="V162" i="3"/>
  <c r="U163" i="3"/>
  <c r="V163" i="3"/>
  <c r="U164" i="3"/>
  <c r="V164" i="3"/>
  <c r="U165" i="3"/>
  <c r="U166" i="3"/>
  <c r="V166" i="3"/>
  <c r="U167" i="3"/>
  <c r="V167" i="3"/>
  <c r="U168" i="3"/>
  <c r="V168" i="3"/>
  <c r="U169" i="3"/>
  <c r="U170" i="3"/>
  <c r="V170" i="3"/>
  <c r="U171" i="3"/>
  <c r="V171" i="3"/>
  <c r="U172" i="3"/>
  <c r="V172" i="3"/>
  <c r="U173" i="3"/>
  <c r="U174" i="3"/>
  <c r="V174" i="3"/>
  <c r="U175" i="3"/>
  <c r="V175" i="3"/>
  <c r="U176" i="3"/>
  <c r="V176" i="3"/>
  <c r="U177" i="3"/>
  <c r="U178" i="3"/>
  <c r="V178" i="3"/>
  <c r="U179" i="3"/>
  <c r="V179" i="3"/>
  <c r="U180" i="3"/>
  <c r="V180" i="3"/>
  <c r="U181" i="3"/>
  <c r="U182" i="3"/>
  <c r="V182" i="3"/>
  <c r="U183" i="3"/>
  <c r="V183" i="3"/>
  <c r="U184" i="3"/>
  <c r="V184" i="3"/>
  <c r="U185" i="3"/>
  <c r="U186" i="3"/>
  <c r="V186" i="3"/>
  <c r="U187" i="3"/>
  <c r="V187" i="3"/>
  <c r="U188" i="3"/>
  <c r="V188" i="3"/>
  <c r="U189" i="3"/>
  <c r="U190" i="3"/>
  <c r="V190" i="3"/>
  <c r="U191" i="3"/>
  <c r="V191" i="3"/>
  <c r="U192" i="3"/>
  <c r="V192" i="3"/>
  <c r="U193" i="3"/>
  <c r="U194" i="3"/>
  <c r="V194" i="3"/>
  <c r="U195" i="3"/>
  <c r="V195" i="3"/>
  <c r="U196" i="3"/>
  <c r="V196" i="3"/>
  <c r="U197" i="3"/>
  <c r="U198" i="3"/>
  <c r="V198" i="3"/>
  <c r="U199" i="3"/>
  <c r="V199" i="3"/>
  <c r="U200" i="3"/>
  <c r="V200" i="3"/>
  <c r="U201" i="3"/>
  <c r="U202" i="3"/>
  <c r="V202" i="3"/>
  <c r="U203" i="3"/>
  <c r="V203" i="3"/>
  <c r="U204" i="3"/>
  <c r="V204" i="3"/>
  <c r="U205" i="3"/>
  <c r="U206" i="3"/>
  <c r="V206" i="3"/>
  <c r="U207" i="3"/>
  <c r="V207" i="3"/>
  <c r="U208" i="3"/>
  <c r="V208" i="3"/>
  <c r="U209" i="3"/>
  <c r="U210" i="3"/>
  <c r="V210" i="3"/>
  <c r="U211" i="3"/>
  <c r="V211" i="3"/>
  <c r="U212" i="3"/>
  <c r="V212" i="3"/>
  <c r="U213" i="3"/>
  <c r="U214" i="3"/>
  <c r="V214" i="3"/>
  <c r="U215" i="3"/>
  <c r="V215" i="3"/>
  <c r="U216" i="3"/>
  <c r="V216" i="3"/>
  <c r="U217" i="3"/>
  <c r="U218" i="3"/>
  <c r="V218" i="3"/>
  <c r="U219" i="3"/>
  <c r="V219" i="3"/>
  <c r="U220" i="3"/>
  <c r="V220" i="3"/>
  <c r="U221" i="3"/>
  <c r="U222" i="3"/>
  <c r="V222" i="3"/>
  <c r="U223" i="3"/>
  <c r="V223" i="3"/>
  <c r="U224" i="3"/>
  <c r="V224" i="3"/>
  <c r="U225" i="3"/>
  <c r="U226" i="3"/>
  <c r="V226" i="3"/>
  <c r="U227" i="3"/>
  <c r="V227" i="3"/>
  <c r="U228" i="3"/>
  <c r="V228" i="3"/>
  <c r="U229" i="3"/>
  <c r="U230" i="3"/>
  <c r="V230" i="3"/>
  <c r="U231" i="3"/>
  <c r="V231" i="3"/>
  <c r="U232" i="3"/>
  <c r="V232" i="3"/>
  <c r="U233" i="3"/>
  <c r="U234" i="3"/>
  <c r="V234" i="3"/>
  <c r="U235" i="3"/>
  <c r="V235" i="3"/>
  <c r="U236" i="3"/>
  <c r="V236" i="3"/>
  <c r="U237" i="3"/>
  <c r="U238" i="3"/>
  <c r="V238" i="3"/>
  <c r="U239" i="3"/>
  <c r="V239" i="3"/>
  <c r="U240" i="3"/>
  <c r="V240" i="3"/>
  <c r="U241" i="3"/>
  <c r="U242" i="3"/>
  <c r="V242" i="3"/>
  <c r="U243" i="3"/>
  <c r="V243" i="3"/>
  <c r="U244" i="3"/>
  <c r="V244" i="3"/>
  <c r="U245" i="3"/>
  <c r="U246" i="3"/>
  <c r="V246" i="3"/>
  <c r="U247" i="3"/>
  <c r="V247" i="3"/>
  <c r="U248" i="3"/>
  <c r="V248" i="3"/>
  <c r="U249" i="3"/>
  <c r="U250" i="3"/>
  <c r="V250" i="3"/>
  <c r="U251" i="3"/>
  <c r="V251" i="3"/>
  <c r="U252" i="3"/>
  <c r="V252" i="3"/>
  <c r="U253" i="3"/>
  <c r="U254" i="3"/>
  <c r="V254" i="3"/>
  <c r="U255" i="3"/>
  <c r="V255" i="3"/>
  <c r="U256" i="3"/>
  <c r="V256" i="3"/>
  <c r="U257" i="3"/>
  <c r="U258" i="3"/>
  <c r="V258" i="3"/>
  <c r="U259" i="3"/>
  <c r="V259" i="3"/>
  <c r="U260" i="3"/>
  <c r="V260" i="3"/>
  <c r="U261" i="3"/>
  <c r="U262" i="3"/>
  <c r="V262" i="3"/>
  <c r="U263" i="3"/>
  <c r="V263" i="3"/>
  <c r="U264" i="3"/>
  <c r="V264" i="3"/>
  <c r="U265" i="3"/>
  <c r="U266" i="3"/>
  <c r="V266" i="3"/>
  <c r="U267" i="3"/>
  <c r="V267" i="3"/>
  <c r="U268" i="3"/>
  <c r="V268" i="3"/>
  <c r="U269" i="3"/>
  <c r="U270" i="3"/>
  <c r="V270" i="3"/>
  <c r="U271" i="3"/>
  <c r="V271" i="3"/>
  <c r="U272" i="3"/>
  <c r="V272" i="3"/>
  <c r="U273" i="3"/>
  <c r="U274" i="3"/>
  <c r="V274" i="3"/>
  <c r="U275" i="3"/>
  <c r="V275" i="3"/>
  <c r="U276" i="3"/>
  <c r="V276" i="3"/>
  <c r="U277" i="3"/>
  <c r="U278" i="3"/>
  <c r="V278" i="3"/>
  <c r="U279" i="3"/>
  <c r="V279" i="3"/>
  <c r="U280" i="3"/>
  <c r="V280" i="3"/>
  <c r="U281" i="3"/>
  <c r="U282" i="3"/>
  <c r="V282" i="3"/>
  <c r="U283" i="3"/>
  <c r="V283" i="3"/>
  <c r="U284" i="3"/>
  <c r="V284" i="3"/>
  <c r="U285" i="3"/>
  <c r="U286" i="3"/>
  <c r="V286" i="3"/>
  <c r="U287" i="3"/>
  <c r="V287" i="3"/>
  <c r="U288" i="3"/>
  <c r="V288" i="3"/>
  <c r="U289" i="3"/>
  <c r="U290" i="3"/>
  <c r="V290" i="3"/>
  <c r="U291" i="3"/>
  <c r="V291" i="3"/>
  <c r="U292" i="3"/>
  <c r="V292" i="3"/>
  <c r="U293" i="3"/>
  <c r="U294" i="3"/>
  <c r="V294" i="3"/>
  <c r="U295" i="3"/>
  <c r="V295" i="3"/>
  <c r="U296" i="3"/>
  <c r="V296" i="3"/>
  <c r="U297" i="3"/>
  <c r="U298" i="3"/>
  <c r="V298" i="3"/>
  <c r="U299" i="3"/>
  <c r="V299" i="3"/>
  <c r="U300" i="3"/>
  <c r="V300" i="3"/>
  <c r="U301" i="3"/>
  <c r="U302" i="3"/>
  <c r="V302" i="3"/>
  <c r="U303" i="3"/>
  <c r="V303" i="3"/>
  <c r="U304" i="3"/>
  <c r="V304" i="3"/>
  <c r="U305" i="3"/>
  <c r="U306" i="3"/>
  <c r="V306" i="3"/>
  <c r="U307" i="3"/>
  <c r="V307" i="3"/>
  <c r="U308" i="3"/>
  <c r="V308" i="3"/>
  <c r="U309" i="3"/>
  <c r="U310" i="3"/>
  <c r="V310" i="3"/>
  <c r="U311" i="3"/>
  <c r="V311" i="3"/>
  <c r="U312" i="3"/>
  <c r="V312" i="3"/>
  <c r="U313" i="3"/>
  <c r="U314" i="3"/>
  <c r="V314" i="3"/>
  <c r="U315" i="3"/>
  <c r="V315" i="3"/>
  <c r="U316" i="3"/>
  <c r="V316" i="3"/>
  <c r="U317" i="3"/>
  <c r="U318" i="3"/>
  <c r="V318" i="3"/>
  <c r="U319" i="3"/>
  <c r="V319" i="3"/>
  <c r="U320" i="3"/>
  <c r="V320" i="3"/>
  <c r="U321" i="3"/>
  <c r="U322" i="3"/>
  <c r="V322" i="3"/>
  <c r="U323" i="3"/>
  <c r="V323" i="3"/>
  <c r="U324" i="3"/>
  <c r="V324" i="3"/>
  <c r="U325" i="3"/>
  <c r="U326" i="3"/>
  <c r="V326" i="3"/>
  <c r="U327" i="3"/>
  <c r="V327" i="3"/>
  <c r="U328" i="3"/>
  <c r="V328" i="3"/>
  <c r="U329" i="3"/>
  <c r="U330" i="3"/>
  <c r="V330" i="3"/>
  <c r="U331" i="3"/>
  <c r="V331" i="3"/>
  <c r="U332" i="3"/>
  <c r="V332" i="3"/>
  <c r="U333" i="3"/>
  <c r="U334" i="3"/>
  <c r="V334" i="3"/>
  <c r="U335" i="3"/>
  <c r="V335" i="3"/>
  <c r="U336" i="3"/>
  <c r="V336" i="3"/>
  <c r="U337" i="3"/>
  <c r="U338" i="3"/>
  <c r="V338" i="3"/>
  <c r="U339" i="3"/>
  <c r="V339" i="3"/>
  <c r="U340" i="3"/>
  <c r="V340" i="3"/>
  <c r="U341" i="3"/>
  <c r="U342" i="3"/>
  <c r="V342" i="3"/>
  <c r="U343" i="3"/>
  <c r="V343" i="3"/>
  <c r="U344" i="3"/>
  <c r="V344" i="3"/>
  <c r="U345" i="3"/>
  <c r="V345" i="3"/>
  <c r="U346" i="3"/>
  <c r="V346" i="3"/>
  <c r="U347" i="3"/>
  <c r="V347" i="3"/>
  <c r="U348" i="3"/>
  <c r="V348" i="3"/>
  <c r="U349" i="3"/>
  <c r="V349" i="3"/>
  <c r="U350" i="3"/>
  <c r="V350" i="3"/>
  <c r="U351" i="3"/>
  <c r="V351" i="3"/>
  <c r="U352" i="3"/>
  <c r="V352" i="3"/>
  <c r="U353" i="3"/>
  <c r="V353" i="3"/>
  <c r="U354" i="3"/>
  <c r="V354" i="3"/>
  <c r="U355" i="3"/>
  <c r="V355" i="3"/>
  <c r="U356" i="3"/>
  <c r="V356" i="3"/>
  <c r="U357" i="3"/>
  <c r="V357" i="3"/>
  <c r="U358" i="3"/>
  <c r="V358" i="3"/>
  <c r="U359" i="3"/>
  <c r="V359" i="3"/>
  <c r="U360" i="3"/>
  <c r="V360" i="3"/>
  <c r="U361" i="3"/>
  <c r="V361" i="3"/>
  <c r="U362" i="3"/>
  <c r="V362" i="3"/>
  <c r="U363" i="3"/>
  <c r="V363" i="3"/>
  <c r="U364" i="3"/>
  <c r="V364" i="3"/>
  <c r="U365" i="3"/>
  <c r="V365" i="3"/>
  <c r="U366" i="3"/>
  <c r="V366" i="3"/>
  <c r="U367" i="3"/>
  <c r="V367" i="3"/>
  <c r="U368" i="3"/>
  <c r="V368" i="3"/>
  <c r="U369" i="3"/>
  <c r="V369" i="3"/>
  <c r="U370" i="3"/>
  <c r="V370" i="3"/>
  <c r="U371" i="3"/>
  <c r="V371" i="3"/>
  <c r="U372" i="3"/>
  <c r="V372" i="3"/>
  <c r="U373" i="3"/>
  <c r="V373" i="3"/>
  <c r="U374" i="3"/>
  <c r="V374" i="3"/>
  <c r="U375" i="3"/>
  <c r="V375" i="3"/>
  <c r="U376" i="3"/>
  <c r="V376" i="3"/>
  <c r="U377" i="3"/>
  <c r="V377" i="3"/>
  <c r="U378" i="3"/>
  <c r="V378" i="3"/>
  <c r="U379" i="3"/>
  <c r="V379" i="3"/>
  <c r="U380" i="3"/>
  <c r="V380" i="3"/>
  <c r="U381" i="3"/>
  <c r="V381" i="3"/>
  <c r="U382" i="3"/>
  <c r="V382" i="3"/>
  <c r="U383" i="3"/>
  <c r="V383" i="3"/>
  <c r="U384" i="3"/>
  <c r="V384" i="3"/>
  <c r="U385" i="3"/>
  <c r="V385" i="3"/>
  <c r="U386" i="3"/>
  <c r="V386" i="3"/>
  <c r="U387" i="3"/>
  <c r="V387" i="3"/>
  <c r="U388" i="3"/>
  <c r="V388" i="3"/>
  <c r="U389" i="3"/>
  <c r="V389" i="3"/>
  <c r="U390" i="3"/>
  <c r="V390" i="3"/>
  <c r="U391" i="3"/>
  <c r="V391" i="3"/>
  <c r="U392" i="3"/>
  <c r="V392" i="3"/>
  <c r="U393" i="3"/>
  <c r="V393" i="3"/>
  <c r="U394" i="3"/>
  <c r="V394" i="3"/>
  <c r="U395" i="3"/>
  <c r="V395" i="3"/>
  <c r="U396" i="3"/>
  <c r="V396" i="3"/>
  <c r="U397" i="3"/>
  <c r="V397" i="3"/>
  <c r="U398" i="3"/>
  <c r="V398" i="3"/>
  <c r="U399" i="3"/>
  <c r="V399" i="3"/>
  <c r="U400" i="3"/>
  <c r="V400" i="3"/>
  <c r="U401" i="3"/>
  <c r="V401" i="3"/>
  <c r="U402" i="3"/>
  <c r="V402" i="3"/>
  <c r="U403" i="3"/>
  <c r="V403" i="3"/>
  <c r="U404" i="3"/>
  <c r="V404" i="3"/>
  <c r="U405" i="3"/>
  <c r="V405" i="3"/>
  <c r="U406" i="3"/>
  <c r="V406" i="3"/>
  <c r="U407" i="3"/>
  <c r="V407" i="3"/>
  <c r="U408" i="3"/>
  <c r="V408" i="3"/>
  <c r="U409" i="3"/>
  <c r="V409" i="3"/>
  <c r="U410" i="3"/>
  <c r="V410" i="3"/>
  <c r="U411" i="3"/>
  <c r="V411" i="3"/>
  <c r="U412" i="3"/>
  <c r="V412" i="3"/>
  <c r="U413" i="3"/>
  <c r="V413" i="3"/>
  <c r="U414" i="3"/>
  <c r="V414" i="3"/>
  <c r="U415" i="3"/>
  <c r="V415" i="3"/>
  <c r="U416" i="3"/>
  <c r="V416" i="3"/>
  <c r="U417" i="3"/>
  <c r="V417" i="3"/>
  <c r="U418" i="3"/>
  <c r="V418" i="3"/>
  <c r="U419" i="3"/>
  <c r="V419" i="3"/>
  <c r="U420" i="3"/>
  <c r="V420" i="3"/>
  <c r="U421" i="3"/>
  <c r="V421" i="3"/>
  <c r="U422" i="3"/>
  <c r="V422" i="3"/>
  <c r="U423" i="3"/>
  <c r="V423" i="3"/>
  <c r="U424" i="3"/>
  <c r="V424" i="3"/>
  <c r="U425" i="3"/>
  <c r="V425" i="3"/>
  <c r="U426" i="3"/>
  <c r="V426" i="3"/>
  <c r="U427" i="3"/>
  <c r="V427" i="3"/>
  <c r="U428" i="3"/>
  <c r="V428" i="3"/>
  <c r="U429" i="3"/>
  <c r="V429" i="3"/>
  <c r="U430" i="3"/>
  <c r="V430" i="3"/>
  <c r="U431" i="3"/>
  <c r="V431" i="3"/>
  <c r="U432" i="3"/>
  <c r="V432" i="3"/>
  <c r="U433" i="3"/>
  <c r="V433" i="3"/>
  <c r="U434" i="3"/>
  <c r="V434" i="3"/>
  <c r="U435" i="3"/>
  <c r="V435" i="3"/>
  <c r="U436" i="3"/>
  <c r="V436" i="3"/>
  <c r="U437" i="3"/>
  <c r="V437" i="3"/>
  <c r="U438" i="3"/>
  <c r="V438" i="3"/>
  <c r="U439" i="3"/>
  <c r="V439" i="3"/>
  <c r="U440" i="3"/>
  <c r="V440" i="3"/>
  <c r="U441" i="3"/>
  <c r="V441" i="3"/>
  <c r="U442" i="3"/>
  <c r="V442" i="3"/>
  <c r="U443" i="3"/>
  <c r="V443" i="3"/>
  <c r="U444" i="3"/>
  <c r="V444" i="3"/>
  <c r="U445" i="3"/>
  <c r="V445" i="3"/>
  <c r="U446" i="3"/>
  <c r="V446" i="3"/>
  <c r="U447" i="3"/>
  <c r="V447" i="3"/>
  <c r="U448" i="3"/>
  <c r="V448" i="3"/>
  <c r="U449" i="3"/>
  <c r="V449" i="3"/>
  <c r="U450" i="3"/>
  <c r="V450" i="3"/>
  <c r="U451" i="3"/>
  <c r="V451" i="3"/>
  <c r="U452" i="3"/>
  <c r="V452" i="3"/>
  <c r="U453" i="3"/>
  <c r="V453" i="3"/>
  <c r="U454" i="3"/>
  <c r="V454" i="3"/>
  <c r="U455" i="3"/>
  <c r="V455" i="3"/>
  <c r="U456" i="3"/>
  <c r="V456" i="3"/>
  <c r="U457" i="3"/>
  <c r="V457" i="3"/>
  <c r="U458" i="3"/>
  <c r="V458" i="3"/>
  <c r="U459" i="3"/>
  <c r="V459" i="3"/>
  <c r="U460" i="3"/>
  <c r="V460" i="3"/>
  <c r="U461" i="3"/>
  <c r="V461" i="3"/>
  <c r="U462" i="3"/>
  <c r="V462" i="3"/>
  <c r="U463" i="3"/>
  <c r="V463" i="3"/>
  <c r="U464" i="3"/>
  <c r="V464" i="3"/>
  <c r="U465" i="3"/>
  <c r="V465" i="3"/>
  <c r="U466" i="3"/>
  <c r="V466" i="3"/>
  <c r="U467" i="3"/>
  <c r="V467" i="3"/>
  <c r="U468" i="3"/>
  <c r="V468" i="3"/>
  <c r="U469" i="3"/>
  <c r="V469" i="3"/>
  <c r="U470" i="3"/>
  <c r="V470" i="3"/>
  <c r="U471" i="3"/>
  <c r="V471" i="3"/>
  <c r="U472" i="3"/>
  <c r="V472" i="3"/>
  <c r="U473" i="3"/>
  <c r="V473" i="3"/>
  <c r="U474" i="3"/>
  <c r="V474" i="3"/>
  <c r="U475" i="3"/>
  <c r="V475" i="3"/>
  <c r="U476" i="3"/>
  <c r="V476" i="3"/>
  <c r="U477" i="3"/>
  <c r="V477" i="3"/>
  <c r="U478" i="3"/>
  <c r="V478" i="3"/>
  <c r="U479" i="3"/>
  <c r="V479" i="3"/>
  <c r="U480" i="3"/>
  <c r="V480" i="3"/>
  <c r="U481" i="3"/>
  <c r="V481" i="3"/>
  <c r="U482" i="3"/>
  <c r="V482" i="3"/>
  <c r="U483" i="3"/>
  <c r="V483" i="3"/>
  <c r="U484" i="3"/>
  <c r="V484" i="3"/>
  <c r="U485" i="3"/>
  <c r="V485" i="3"/>
  <c r="U486" i="3"/>
  <c r="V486" i="3"/>
  <c r="U487" i="3"/>
  <c r="V487" i="3"/>
  <c r="U488" i="3"/>
  <c r="V488" i="3"/>
  <c r="U489" i="3"/>
  <c r="V489" i="3"/>
  <c r="U490" i="3"/>
  <c r="V490" i="3"/>
  <c r="U491" i="3"/>
  <c r="V491" i="3"/>
  <c r="U492" i="3"/>
  <c r="V492" i="3"/>
  <c r="U493" i="3"/>
  <c r="V493" i="3"/>
  <c r="U494" i="3"/>
  <c r="V494" i="3"/>
  <c r="U495" i="3"/>
  <c r="V495" i="3"/>
  <c r="U496" i="3"/>
  <c r="V496" i="3"/>
  <c r="U497" i="3"/>
  <c r="V497" i="3"/>
  <c r="U498" i="3"/>
  <c r="V498" i="3"/>
  <c r="U499" i="3"/>
  <c r="V499" i="3"/>
  <c r="U500" i="3"/>
  <c r="V500" i="3"/>
  <c r="U501" i="3"/>
  <c r="V501" i="3"/>
  <c r="U502" i="3"/>
  <c r="V502" i="3"/>
  <c r="U503" i="3"/>
  <c r="V503" i="3"/>
  <c r="U504" i="3"/>
  <c r="V504" i="3"/>
  <c r="U505" i="3"/>
  <c r="V505" i="3"/>
  <c r="U506" i="3"/>
  <c r="V506" i="3"/>
  <c r="U507" i="3"/>
  <c r="V507" i="3"/>
  <c r="U508" i="3"/>
  <c r="V508" i="3"/>
  <c r="U509" i="3"/>
  <c r="V509" i="3"/>
  <c r="U510" i="3"/>
  <c r="V510" i="3"/>
  <c r="U511" i="3"/>
  <c r="V511" i="3"/>
  <c r="U512" i="3"/>
  <c r="V512" i="3"/>
  <c r="U513" i="3"/>
  <c r="V513" i="3"/>
  <c r="U514" i="3"/>
  <c r="V514" i="3"/>
  <c r="U515" i="3"/>
  <c r="V515" i="3"/>
  <c r="U516" i="3"/>
  <c r="V516" i="3"/>
  <c r="U517" i="3"/>
  <c r="V517" i="3"/>
  <c r="U518" i="3"/>
  <c r="V518" i="3"/>
  <c r="U519" i="3"/>
  <c r="V519" i="3"/>
  <c r="U520" i="3"/>
  <c r="V520" i="3"/>
  <c r="U521" i="3"/>
  <c r="V521" i="3"/>
  <c r="U522" i="3"/>
  <c r="V522" i="3"/>
  <c r="U523" i="3"/>
  <c r="V523" i="3"/>
  <c r="U524" i="3"/>
  <c r="V524" i="3"/>
  <c r="U525" i="3"/>
  <c r="V525" i="3"/>
  <c r="U526" i="3"/>
  <c r="V526" i="3"/>
  <c r="U527" i="3"/>
  <c r="V527" i="3"/>
  <c r="U528" i="3"/>
  <c r="V528" i="3"/>
  <c r="U529" i="3"/>
  <c r="V529" i="3"/>
  <c r="U530" i="3"/>
  <c r="V530" i="3"/>
  <c r="U531" i="3"/>
  <c r="V531" i="3"/>
  <c r="U532" i="3"/>
  <c r="V532" i="3"/>
  <c r="U533" i="3"/>
  <c r="V533" i="3"/>
  <c r="U534" i="3"/>
  <c r="V534" i="3"/>
  <c r="U535" i="3"/>
  <c r="V535" i="3"/>
  <c r="U536" i="3"/>
  <c r="V536" i="3"/>
  <c r="U537" i="3"/>
  <c r="V537" i="3"/>
  <c r="U538" i="3"/>
  <c r="V538" i="3"/>
  <c r="U539" i="3"/>
  <c r="V539" i="3"/>
  <c r="U540" i="3"/>
  <c r="V540" i="3"/>
  <c r="U541" i="3"/>
  <c r="V541" i="3"/>
  <c r="U542" i="3"/>
  <c r="V542" i="3"/>
  <c r="U543" i="3"/>
  <c r="V543" i="3"/>
  <c r="U544" i="3"/>
  <c r="V544" i="3"/>
  <c r="U545" i="3"/>
  <c r="V545" i="3"/>
  <c r="U546" i="3"/>
  <c r="V546" i="3"/>
  <c r="U547" i="3"/>
  <c r="V547" i="3"/>
  <c r="U548" i="3"/>
  <c r="V548" i="3"/>
  <c r="U549" i="3"/>
  <c r="V549" i="3"/>
  <c r="U550" i="3"/>
  <c r="V550" i="3"/>
  <c r="U551" i="3"/>
  <c r="V551" i="3"/>
  <c r="U552" i="3"/>
  <c r="V552" i="3"/>
  <c r="U553" i="3"/>
  <c r="V553" i="3"/>
  <c r="U554" i="3"/>
  <c r="V554" i="3"/>
  <c r="U555" i="3"/>
  <c r="V555" i="3"/>
  <c r="U556" i="3"/>
  <c r="V556" i="3"/>
  <c r="U557" i="3"/>
  <c r="V557" i="3"/>
  <c r="U558" i="3"/>
  <c r="V558" i="3"/>
  <c r="U559" i="3"/>
  <c r="V559" i="3"/>
  <c r="U560" i="3"/>
  <c r="V560" i="3"/>
  <c r="U561" i="3"/>
  <c r="V561" i="3"/>
  <c r="U562" i="3"/>
  <c r="V562" i="3"/>
  <c r="U563" i="3"/>
  <c r="V563" i="3"/>
  <c r="U564" i="3"/>
  <c r="V564" i="3"/>
  <c r="U565" i="3"/>
  <c r="V565" i="3"/>
  <c r="U566" i="3"/>
  <c r="V566" i="3"/>
  <c r="U567" i="3"/>
  <c r="V567" i="3"/>
  <c r="U568" i="3"/>
  <c r="V568" i="3"/>
  <c r="U569" i="3"/>
  <c r="V569" i="3"/>
  <c r="U570" i="3"/>
  <c r="V570" i="3"/>
  <c r="U571" i="3"/>
  <c r="V571" i="3"/>
  <c r="U572" i="3"/>
  <c r="V572" i="3"/>
  <c r="U573" i="3"/>
  <c r="V573" i="3"/>
  <c r="U574" i="3"/>
  <c r="V574" i="3"/>
  <c r="U575" i="3"/>
  <c r="V575" i="3"/>
  <c r="U576" i="3"/>
  <c r="V576" i="3"/>
  <c r="U577" i="3"/>
  <c r="V577" i="3"/>
  <c r="U578" i="3"/>
  <c r="V578" i="3"/>
  <c r="U579" i="3"/>
  <c r="V579" i="3"/>
  <c r="U580" i="3"/>
  <c r="V580" i="3"/>
  <c r="U581" i="3"/>
  <c r="V581" i="3"/>
  <c r="U582" i="3"/>
  <c r="V582" i="3"/>
  <c r="U583" i="3"/>
  <c r="V583" i="3"/>
  <c r="U584" i="3"/>
  <c r="V584" i="3"/>
  <c r="U585" i="3"/>
  <c r="V585" i="3"/>
  <c r="U586" i="3"/>
  <c r="V586" i="3"/>
  <c r="U587" i="3"/>
  <c r="V587" i="3"/>
  <c r="U588" i="3"/>
  <c r="V588" i="3"/>
  <c r="U589" i="3"/>
  <c r="V589" i="3"/>
  <c r="U590" i="3"/>
  <c r="V590" i="3"/>
  <c r="U591" i="3"/>
  <c r="V591" i="3"/>
  <c r="U592" i="3"/>
  <c r="V592" i="3"/>
  <c r="U593" i="3"/>
  <c r="V593" i="3"/>
  <c r="U594" i="3"/>
  <c r="V594" i="3"/>
  <c r="U595" i="3"/>
  <c r="V595" i="3"/>
  <c r="U596" i="3"/>
  <c r="V596" i="3"/>
  <c r="U597" i="3"/>
  <c r="V597" i="3"/>
  <c r="U598" i="3"/>
  <c r="V598" i="3"/>
  <c r="U599" i="3"/>
  <c r="V599" i="3"/>
  <c r="U600" i="3"/>
  <c r="V600" i="3"/>
  <c r="U601" i="3"/>
  <c r="V601" i="3"/>
  <c r="U602" i="3"/>
  <c r="V602" i="3"/>
  <c r="U603" i="3"/>
  <c r="V603" i="3"/>
  <c r="U604" i="3"/>
  <c r="V604" i="3"/>
  <c r="U605" i="3"/>
  <c r="V605" i="3"/>
  <c r="U606" i="3"/>
  <c r="V606" i="3"/>
  <c r="U607" i="3"/>
  <c r="V607" i="3"/>
  <c r="U608" i="3"/>
  <c r="V608" i="3"/>
  <c r="U609" i="3"/>
  <c r="V609" i="3"/>
  <c r="U610" i="3"/>
  <c r="V610" i="3"/>
  <c r="U611" i="3"/>
  <c r="V611" i="3"/>
  <c r="U612" i="3"/>
  <c r="V612" i="3"/>
  <c r="U613" i="3"/>
  <c r="V613" i="3"/>
  <c r="U614" i="3"/>
  <c r="V614" i="3"/>
  <c r="U615" i="3"/>
  <c r="V615" i="3"/>
  <c r="U616" i="3"/>
  <c r="V616" i="3"/>
  <c r="U617" i="3"/>
  <c r="V617" i="3"/>
  <c r="U618" i="3"/>
  <c r="V618" i="3"/>
  <c r="U619" i="3"/>
  <c r="V619" i="3"/>
  <c r="U620" i="3"/>
  <c r="V620" i="3"/>
  <c r="U621" i="3"/>
  <c r="V621" i="3"/>
  <c r="U622" i="3"/>
  <c r="V622" i="3"/>
  <c r="U623" i="3"/>
  <c r="V623" i="3"/>
  <c r="U624" i="3"/>
  <c r="V624" i="3"/>
  <c r="U625" i="3"/>
  <c r="V625" i="3"/>
  <c r="U626" i="3"/>
  <c r="V626" i="3"/>
  <c r="U627" i="3"/>
  <c r="V627" i="3"/>
  <c r="U628" i="3"/>
  <c r="V628" i="3"/>
  <c r="U629" i="3"/>
  <c r="V629" i="3"/>
  <c r="U630" i="3"/>
  <c r="V630" i="3"/>
  <c r="U631" i="3"/>
  <c r="V631" i="3"/>
  <c r="U632" i="3"/>
  <c r="V632" i="3"/>
  <c r="U633" i="3"/>
  <c r="V633" i="3"/>
  <c r="U634" i="3"/>
  <c r="V634" i="3"/>
  <c r="U635" i="3"/>
  <c r="V635" i="3"/>
  <c r="U636" i="3"/>
  <c r="V636" i="3"/>
  <c r="U637" i="3"/>
  <c r="V637" i="3"/>
  <c r="U638" i="3"/>
  <c r="V638" i="3"/>
  <c r="U639" i="3"/>
  <c r="V639" i="3"/>
  <c r="U640" i="3"/>
  <c r="V640" i="3"/>
  <c r="U641" i="3"/>
  <c r="V641" i="3"/>
  <c r="U642" i="3"/>
  <c r="V642" i="3"/>
  <c r="U643" i="3"/>
  <c r="V643" i="3"/>
  <c r="U644" i="3"/>
  <c r="V644" i="3"/>
  <c r="U645" i="3"/>
  <c r="V645" i="3"/>
  <c r="U646" i="3"/>
  <c r="V646" i="3"/>
  <c r="U647" i="3"/>
  <c r="V647" i="3"/>
  <c r="U648" i="3"/>
  <c r="V648" i="3"/>
  <c r="U649" i="3"/>
  <c r="V649" i="3"/>
  <c r="U650" i="3"/>
  <c r="V650" i="3"/>
  <c r="U651" i="3"/>
  <c r="V651" i="3"/>
  <c r="U652" i="3"/>
  <c r="V652" i="3"/>
  <c r="U653" i="3"/>
  <c r="V653" i="3"/>
  <c r="U654" i="3"/>
  <c r="V654" i="3"/>
  <c r="U655" i="3"/>
  <c r="V655" i="3"/>
  <c r="U656" i="3"/>
  <c r="V656" i="3"/>
  <c r="U657" i="3"/>
  <c r="V657" i="3"/>
  <c r="U658" i="3"/>
  <c r="V658" i="3"/>
  <c r="U659" i="3"/>
  <c r="V659" i="3"/>
  <c r="U660" i="3"/>
  <c r="V660" i="3"/>
  <c r="U661" i="3"/>
  <c r="V661" i="3"/>
  <c r="U662" i="3"/>
  <c r="V662" i="3"/>
  <c r="U663" i="3"/>
  <c r="V663" i="3"/>
  <c r="U664" i="3"/>
  <c r="V664" i="3"/>
  <c r="U665" i="3"/>
  <c r="V665" i="3"/>
  <c r="U666" i="3"/>
  <c r="V666" i="3"/>
  <c r="U667" i="3"/>
  <c r="V667" i="3"/>
  <c r="U668" i="3"/>
  <c r="V668" i="3"/>
  <c r="U669" i="3"/>
  <c r="V669" i="3"/>
  <c r="U670" i="3"/>
  <c r="V670" i="3"/>
  <c r="U671" i="3"/>
  <c r="V671" i="3"/>
  <c r="U672" i="3"/>
  <c r="V672" i="3"/>
  <c r="U673" i="3"/>
  <c r="V673" i="3"/>
  <c r="U674" i="3"/>
  <c r="V674" i="3"/>
  <c r="U675" i="3"/>
  <c r="V675" i="3"/>
  <c r="U676" i="3"/>
  <c r="V676" i="3"/>
  <c r="U677" i="3"/>
  <c r="V677" i="3"/>
  <c r="U678" i="3"/>
  <c r="V678" i="3"/>
  <c r="U679" i="3"/>
  <c r="V679" i="3"/>
  <c r="U680" i="3"/>
  <c r="V680" i="3"/>
  <c r="U681" i="3"/>
  <c r="V681" i="3"/>
  <c r="U682" i="3"/>
  <c r="V682" i="3"/>
  <c r="U683" i="3"/>
  <c r="V683" i="3"/>
  <c r="U684" i="3"/>
  <c r="V684" i="3"/>
  <c r="U685" i="3"/>
  <c r="V685" i="3"/>
  <c r="U686" i="3"/>
  <c r="V686" i="3"/>
  <c r="U687" i="3"/>
  <c r="V687" i="3"/>
  <c r="U688" i="3"/>
  <c r="V688" i="3"/>
  <c r="U689" i="3"/>
  <c r="V689" i="3"/>
  <c r="U690" i="3"/>
  <c r="V690" i="3"/>
  <c r="U691" i="3"/>
  <c r="V691" i="3"/>
  <c r="U692" i="3"/>
  <c r="V692" i="3"/>
  <c r="U693" i="3"/>
  <c r="V693" i="3"/>
  <c r="U694" i="3"/>
  <c r="V694" i="3"/>
  <c r="U695" i="3"/>
  <c r="V695" i="3"/>
  <c r="U696" i="3"/>
  <c r="V696" i="3"/>
  <c r="U697" i="3"/>
  <c r="V697" i="3"/>
  <c r="U698" i="3"/>
  <c r="V698" i="3"/>
  <c r="U699" i="3"/>
  <c r="V699" i="3"/>
  <c r="U700" i="3"/>
  <c r="V700" i="3"/>
  <c r="U701" i="3"/>
  <c r="V701" i="3"/>
  <c r="U702" i="3"/>
  <c r="V702" i="3"/>
  <c r="U703" i="3"/>
  <c r="V703" i="3"/>
  <c r="U704" i="3"/>
  <c r="V704" i="3"/>
  <c r="U705" i="3"/>
  <c r="V705" i="3"/>
  <c r="U706" i="3"/>
  <c r="V706" i="3"/>
  <c r="U707" i="3"/>
  <c r="V707" i="3"/>
  <c r="U708" i="3"/>
  <c r="V708" i="3"/>
  <c r="U709" i="3"/>
  <c r="V709" i="3"/>
  <c r="U710" i="3"/>
  <c r="V710" i="3"/>
  <c r="U711" i="3"/>
  <c r="V711" i="3"/>
  <c r="U712" i="3"/>
  <c r="V712" i="3"/>
  <c r="U713" i="3"/>
  <c r="V713" i="3"/>
  <c r="U714" i="3"/>
  <c r="V714" i="3"/>
  <c r="U715" i="3"/>
  <c r="V715" i="3"/>
  <c r="U716" i="3"/>
  <c r="V716" i="3"/>
  <c r="U717" i="3"/>
  <c r="V717" i="3"/>
  <c r="U718" i="3"/>
  <c r="V718" i="3"/>
  <c r="U719" i="3"/>
  <c r="V719" i="3"/>
  <c r="U720" i="3"/>
  <c r="V720" i="3"/>
  <c r="U721" i="3"/>
  <c r="V721" i="3"/>
  <c r="U722" i="3"/>
  <c r="V722" i="3"/>
  <c r="U723" i="3"/>
  <c r="V723" i="3"/>
  <c r="U724" i="3"/>
  <c r="V724" i="3"/>
  <c r="U725" i="3"/>
  <c r="V725" i="3"/>
  <c r="U726" i="3"/>
  <c r="V726" i="3"/>
  <c r="U727" i="3"/>
  <c r="V727" i="3"/>
  <c r="U728" i="3"/>
  <c r="V728" i="3"/>
  <c r="U729" i="3"/>
  <c r="V729" i="3"/>
  <c r="U730" i="3"/>
  <c r="V730" i="3"/>
  <c r="U731" i="3"/>
  <c r="V731" i="3"/>
  <c r="U732" i="3"/>
  <c r="V732" i="3"/>
  <c r="U733" i="3"/>
  <c r="V733" i="3"/>
  <c r="U734" i="3"/>
  <c r="V734" i="3"/>
  <c r="U735" i="3"/>
  <c r="V735" i="3"/>
  <c r="U736" i="3"/>
  <c r="V736" i="3"/>
  <c r="U737" i="3"/>
  <c r="V737" i="3"/>
  <c r="U738" i="3"/>
  <c r="V738" i="3"/>
  <c r="U739" i="3"/>
  <c r="V739" i="3"/>
  <c r="U740" i="3"/>
  <c r="V740" i="3"/>
  <c r="U741" i="3"/>
  <c r="V741" i="3"/>
  <c r="U742" i="3"/>
  <c r="V742" i="3"/>
  <c r="U743" i="3"/>
  <c r="V743" i="3"/>
  <c r="U744" i="3"/>
  <c r="V744" i="3"/>
  <c r="U745" i="3"/>
  <c r="V745" i="3"/>
  <c r="U746" i="3"/>
  <c r="V746" i="3"/>
  <c r="U747" i="3"/>
  <c r="V747" i="3"/>
  <c r="U748" i="3"/>
  <c r="V748" i="3"/>
  <c r="U749" i="3"/>
  <c r="V749" i="3"/>
  <c r="U750" i="3"/>
  <c r="V750" i="3"/>
  <c r="U751" i="3"/>
  <c r="V751" i="3"/>
  <c r="U752" i="3"/>
  <c r="V752" i="3"/>
  <c r="U753" i="3"/>
  <c r="V753" i="3"/>
  <c r="U754" i="3"/>
  <c r="V754" i="3"/>
  <c r="U755" i="3"/>
  <c r="V755" i="3"/>
  <c r="U756" i="3"/>
  <c r="V756" i="3"/>
  <c r="U757" i="3"/>
  <c r="V757" i="3"/>
  <c r="U758" i="3"/>
  <c r="V758" i="3"/>
  <c r="U759" i="3"/>
  <c r="V759" i="3"/>
  <c r="U760" i="3"/>
  <c r="V760" i="3"/>
  <c r="U761" i="3"/>
  <c r="V761" i="3"/>
  <c r="U762" i="3"/>
  <c r="V762" i="3"/>
  <c r="U763" i="3"/>
  <c r="V763" i="3"/>
  <c r="U764" i="3"/>
  <c r="V764" i="3"/>
  <c r="U765" i="3"/>
  <c r="V765" i="3"/>
  <c r="U766" i="3"/>
  <c r="V766" i="3"/>
  <c r="U767" i="3"/>
  <c r="V767" i="3"/>
  <c r="U768" i="3"/>
  <c r="V768" i="3"/>
  <c r="U769" i="3"/>
  <c r="V769" i="3"/>
  <c r="U770" i="3"/>
  <c r="V770" i="3"/>
  <c r="U771" i="3"/>
  <c r="V771" i="3"/>
  <c r="U772" i="3"/>
  <c r="V772" i="3"/>
  <c r="U773" i="3"/>
  <c r="V773" i="3"/>
  <c r="U774" i="3"/>
  <c r="V774" i="3"/>
  <c r="U775" i="3"/>
  <c r="V775" i="3"/>
  <c r="U776" i="3"/>
  <c r="V776" i="3"/>
  <c r="U777" i="3"/>
  <c r="V777" i="3"/>
  <c r="U778" i="3"/>
  <c r="V778" i="3"/>
  <c r="U779" i="3"/>
  <c r="V779" i="3"/>
  <c r="U780" i="3"/>
  <c r="V780" i="3"/>
  <c r="U781" i="3"/>
  <c r="V781" i="3"/>
  <c r="U782" i="3"/>
  <c r="V782" i="3"/>
  <c r="U783" i="3"/>
  <c r="V783" i="3"/>
  <c r="U784" i="3"/>
  <c r="V784" i="3"/>
  <c r="U785" i="3"/>
  <c r="V785" i="3"/>
  <c r="U786" i="3"/>
  <c r="V786" i="3"/>
  <c r="U787" i="3"/>
  <c r="V787" i="3"/>
  <c r="U788" i="3"/>
  <c r="V788" i="3"/>
  <c r="U789" i="3"/>
  <c r="V789" i="3"/>
  <c r="U790" i="3"/>
  <c r="V790" i="3"/>
  <c r="U791" i="3"/>
  <c r="V791" i="3"/>
  <c r="U792" i="3"/>
  <c r="V792" i="3"/>
  <c r="U793" i="3"/>
  <c r="V793" i="3"/>
  <c r="U794" i="3"/>
  <c r="V794" i="3"/>
  <c r="U795" i="3"/>
  <c r="V795" i="3"/>
  <c r="U796" i="3"/>
  <c r="V796" i="3"/>
  <c r="U797" i="3"/>
  <c r="V797" i="3"/>
  <c r="U798" i="3"/>
  <c r="V798" i="3"/>
  <c r="U799" i="3"/>
  <c r="V799" i="3"/>
  <c r="U800" i="3"/>
  <c r="V800" i="3"/>
  <c r="U801" i="3"/>
  <c r="V801" i="3"/>
  <c r="U802" i="3"/>
  <c r="V802" i="3"/>
  <c r="U803" i="3"/>
  <c r="V803" i="3"/>
  <c r="U804" i="3"/>
  <c r="V804" i="3"/>
  <c r="U805" i="3"/>
  <c r="V805" i="3"/>
  <c r="U806" i="3"/>
  <c r="V806" i="3"/>
  <c r="U807" i="3"/>
  <c r="V807" i="3"/>
  <c r="U808" i="3"/>
  <c r="V808" i="3"/>
  <c r="U809" i="3"/>
  <c r="V809" i="3"/>
  <c r="U810" i="3"/>
  <c r="V810" i="3"/>
  <c r="U811" i="3"/>
  <c r="V811" i="3"/>
  <c r="U812" i="3"/>
  <c r="V812" i="3"/>
  <c r="U813" i="3"/>
  <c r="V813" i="3"/>
  <c r="U814" i="3"/>
  <c r="V814" i="3"/>
  <c r="U815" i="3"/>
  <c r="V815" i="3"/>
  <c r="U816" i="3"/>
  <c r="V816" i="3"/>
  <c r="U817" i="3"/>
  <c r="V817" i="3"/>
  <c r="U818" i="3"/>
  <c r="V818" i="3"/>
  <c r="U819" i="3"/>
  <c r="V819" i="3"/>
  <c r="U820" i="3"/>
  <c r="V820" i="3"/>
  <c r="U821" i="3"/>
  <c r="V821" i="3"/>
  <c r="U822" i="3"/>
  <c r="V822" i="3"/>
  <c r="U823" i="3"/>
  <c r="V823" i="3"/>
  <c r="U824" i="3"/>
  <c r="V824" i="3"/>
  <c r="U825" i="3"/>
  <c r="V825" i="3"/>
  <c r="U826" i="3"/>
  <c r="V826" i="3"/>
  <c r="U827" i="3"/>
  <c r="V827" i="3"/>
  <c r="U828" i="3"/>
  <c r="V828" i="3"/>
  <c r="U829" i="3"/>
  <c r="V829" i="3"/>
  <c r="U830" i="3"/>
  <c r="V830" i="3"/>
  <c r="U831" i="3"/>
  <c r="V831" i="3"/>
  <c r="U832" i="3"/>
  <c r="V832" i="3"/>
  <c r="U833" i="3"/>
  <c r="V833" i="3"/>
  <c r="U834" i="3"/>
  <c r="V834" i="3"/>
  <c r="U835" i="3"/>
  <c r="V835" i="3"/>
  <c r="U836" i="3"/>
  <c r="V836" i="3"/>
  <c r="U837" i="3"/>
  <c r="V837" i="3"/>
  <c r="U838" i="3"/>
  <c r="V838" i="3"/>
  <c r="U839" i="3"/>
  <c r="V839" i="3"/>
  <c r="U840" i="3"/>
  <c r="V840" i="3"/>
  <c r="U841" i="3"/>
  <c r="V841" i="3"/>
  <c r="U842" i="3"/>
  <c r="V842" i="3"/>
  <c r="U843" i="3"/>
  <c r="V843" i="3"/>
  <c r="U844" i="3"/>
  <c r="V844" i="3"/>
  <c r="U845" i="3"/>
  <c r="V845" i="3"/>
  <c r="U846" i="3"/>
  <c r="V846" i="3"/>
  <c r="U847" i="3"/>
  <c r="V847" i="3"/>
  <c r="U848" i="3"/>
  <c r="V848" i="3"/>
  <c r="U849" i="3"/>
  <c r="V849" i="3"/>
  <c r="U850" i="3"/>
  <c r="V850" i="3"/>
  <c r="U851" i="3"/>
  <c r="V851" i="3"/>
  <c r="U852" i="3"/>
  <c r="V852" i="3"/>
  <c r="U853" i="3"/>
  <c r="V853" i="3"/>
  <c r="U854" i="3"/>
  <c r="V854" i="3"/>
  <c r="U855" i="3"/>
  <c r="V855" i="3"/>
  <c r="U856" i="3"/>
  <c r="V856" i="3"/>
  <c r="U857" i="3"/>
  <c r="V857" i="3"/>
  <c r="U858" i="3"/>
  <c r="V858" i="3"/>
  <c r="U859" i="3"/>
  <c r="V859" i="3"/>
  <c r="U860" i="3"/>
  <c r="V860" i="3"/>
  <c r="U861" i="3"/>
  <c r="V861" i="3"/>
  <c r="U862" i="3"/>
  <c r="V862" i="3"/>
  <c r="U863" i="3"/>
  <c r="V863" i="3"/>
  <c r="U864" i="3"/>
  <c r="V864" i="3"/>
  <c r="U865" i="3"/>
  <c r="V865" i="3"/>
  <c r="U866" i="3"/>
  <c r="V866" i="3"/>
  <c r="U867" i="3"/>
  <c r="V867" i="3"/>
  <c r="U868" i="3"/>
  <c r="V868" i="3"/>
  <c r="U869" i="3"/>
  <c r="V869" i="3"/>
  <c r="U870" i="3"/>
  <c r="V870" i="3"/>
  <c r="U871" i="3"/>
  <c r="V871" i="3"/>
  <c r="U872" i="3"/>
  <c r="V872" i="3"/>
  <c r="U873" i="3"/>
  <c r="V873" i="3"/>
  <c r="U874" i="3"/>
  <c r="V874" i="3"/>
  <c r="U875" i="3"/>
  <c r="V875" i="3"/>
  <c r="U876" i="3"/>
  <c r="V876" i="3"/>
  <c r="U877" i="3"/>
  <c r="V877" i="3"/>
  <c r="U878" i="3"/>
  <c r="V878" i="3"/>
  <c r="U879" i="3"/>
  <c r="V879" i="3"/>
  <c r="U880" i="3"/>
  <c r="V880" i="3"/>
  <c r="U881" i="3"/>
  <c r="V881" i="3"/>
  <c r="U882" i="3"/>
  <c r="V882" i="3"/>
  <c r="U883" i="3"/>
  <c r="V883" i="3"/>
  <c r="U884" i="3"/>
  <c r="V884" i="3"/>
  <c r="U885" i="3"/>
  <c r="V885" i="3"/>
  <c r="U886" i="3"/>
  <c r="V886" i="3"/>
  <c r="U887" i="3"/>
  <c r="V887" i="3"/>
  <c r="U888" i="3"/>
  <c r="V888" i="3"/>
  <c r="U889" i="3"/>
  <c r="V889" i="3"/>
  <c r="U890" i="3"/>
  <c r="V890" i="3"/>
  <c r="U891" i="3"/>
  <c r="V891" i="3"/>
  <c r="U892" i="3"/>
  <c r="V892" i="3"/>
  <c r="U893" i="3"/>
  <c r="V893" i="3"/>
  <c r="U894" i="3"/>
  <c r="V894" i="3"/>
  <c r="U895" i="3"/>
  <c r="V895" i="3"/>
  <c r="U896" i="3"/>
  <c r="V896" i="3"/>
  <c r="U897" i="3"/>
  <c r="V897" i="3"/>
  <c r="U898" i="3"/>
  <c r="V898" i="3"/>
  <c r="U899" i="3"/>
  <c r="V899" i="3"/>
  <c r="U900" i="3"/>
  <c r="V900" i="3"/>
  <c r="U901" i="3"/>
  <c r="V901" i="3"/>
  <c r="U902" i="3"/>
  <c r="V902" i="3"/>
  <c r="U903" i="3"/>
  <c r="V903" i="3"/>
  <c r="U904" i="3"/>
  <c r="V904" i="3"/>
  <c r="U905" i="3"/>
  <c r="V905" i="3"/>
  <c r="U906" i="3"/>
  <c r="V906" i="3"/>
  <c r="U907" i="3"/>
  <c r="V907" i="3"/>
  <c r="U908" i="3"/>
  <c r="V908" i="3"/>
  <c r="U909" i="3"/>
  <c r="V909" i="3"/>
  <c r="U910" i="3"/>
  <c r="V910" i="3"/>
  <c r="U911" i="3"/>
  <c r="V911" i="3"/>
  <c r="U912" i="3"/>
  <c r="V912" i="3"/>
  <c r="U913" i="3"/>
  <c r="V913" i="3"/>
  <c r="U914" i="3"/>
  <c r="V914" i="3"/>
  <c r="U915" i="3"/>
  <c r="V915" i="3"/>
  <c r="U916" i="3"/>
  <c r="V916" i="3"/>
  <c r="U917" i="3"/>
  <c r="V917" i="3"/>
  <c r="U918" i="3"/>
  <c r="V918" i="3"/>
  <c r="U919" i="3"/>
  <c r="V919" i="3"/>
  <c r="U920" i="3"/>
  <c r="V920" i="3"/>
  <c r="U921" i="3"/>
  <c r="V921" i="3"/>
  <c r="U922" i="3"/>
  <c r="V922" i="3"/>
  <c r="U923" i="3"/>
  <c r="V923" i="3"/>
  <c r="U924" i="3"/>
  <c r="V924" i="3"/>
  <c r="U925" i="3"/>
  <c r="V925" i="3"/>
  <c r="U926" i="3"/>
  <c r="V926" i="3"/>
  <c r="U927" i="3"/>
  <c r="V927" i="3"/>
  <c r="U928" i="3"/>
  <c r="V928" i="3"/>
  <c r="U929" i="3"/>
  <c r="V929" i="3"/>
  <c r="U930" i="3"/>
  <c r="V930" i="3"/>
  <c r="U931" i="3"/>
  <c r="V931" i="3"/>
  <c r="U932" i="3"/>
  <c r="V932" i="3"/>
  <c r="U933" i="3"/>
  <c r="V933" i="3"/>
  <c r="U934" i="3"/>
  <c r="V934" i="3"/>
  <c r="U935" i="3"/>
  <c r="V935" i="3"/>
  <c r="U936" i="3"/>
  <c r="V936" i="3"/>
  <c r="U937" i="3"/>
  <c r="V937" i="3"/>
  <c r="U938" i="3"/>
  <c r="V938" i="3"/>
  <c r="U939" i="3"/>
  <c r="V939" i="3"/>
  <c r="U940" i="3"/>
  <c r="V940" i="3"/>
  <c r="U941" i="3"/>
  <c r="V941" i="3"/>
  <c r="U942" i="3"/>
  <c r="V942" i="3"/>
  <c r="U943" i="3"/>
  <c r="V943" i="3"/>
  <c r="U944" i="3"/>
  <c r="V944" i="3"/>
  <c r="U945" i="3"/>
  <c r="V945" i="3"/>
  <c r="U946" i="3"/>
  <c r="V946" i="3"/>
  <c r="U947" i="3"/>
  <c r="V947" i="3"/>
  <c r="U948" i="3"/>
  <c r="V948" i="3"/>
  <c r="U949" i="3"/>
  <c r="V949" i="3"/>
  <c r="U950" i="3"/>
  <c r="V950" i="3"/>
  <c r="U951" i="3"/>
  <c r="V951" i="3"/>
  <c r="U952" i="3"/>
  <c r="V952" i="3"/>
  <c r="U953" i="3"/>
  <c r="V953" i="3"/>
  <c r="U954" i="3"/>
  <c r="V954" i="3"/>
  <c r="U955" i="3"/>
  <c r="V955" i="3"/>
  <c r="U956" i="3"/>
  <c r="V956" i="3"/>
  <c r="U957" i="3"/>
  <c r="V957" i="3"/>
  <c r="U958" i="3"/>
  <c r="V958" i="3"/>
  <c r="U959" i="3"/>
  <c r="V959" i="3"/>
  <c r="U960" i="3"/>
  <c r="V960" i="3"/>
  <c r="U961" i="3"/>
  <c r="V961" i="3"/>
  <c r="U962" i="3"/>
  <c r="V962" i="3"/>
  <c r="U963" i="3"/>
  <c r="V963" i="3"/>
  <c r="U964" i="3"/>
  <c r="V964" i="3"/>
  <c r="U965" i="3"/>
  <c r="V965" i="3"/>
  <c r="U966" i="3"/>
  <c r="V966" i="3"/>
  <c r="U967" i="3"/>
  <c r="V967" i="3"/>
  <c r="U968" i="3"/>
  <c r="V968" i="3"/>
  <c r="U969" i="3"/>
  <c r="V969" i="3"/>
  <c r="U970" i="3"/>
  <c r="V970" i="3"/>
  <c r="U971" i="3"/>
  <c r="V971" i="3"/>
  <c r="U972" i="3"/>
  <c r="V972" i="3"/>
  <c r="U973" i="3"/>
  <c r="V973" i="3"/>
  <c r="U974" i="3"/>
  <c r="V974" i="3"/>
  <c r="U975" i="3"/>
  <c r="V975" i="3"/>
  <c r="U976" i="3"/>
  <c r="V976" i="3"/>
  <c r="U977" i="3"/>
  <c r="V977" i="3"/>
  <c r="U978" i="3"/>
  <c r="V978" i="3"/>
  <c r="U979" i="3"/>
  <c r="V979" i="3"/>
  <c r="U980" i="3"/>
  <c r="V980" i="3"/>
  <c r="U981" i="3"/>
  <c r="V981" i="3"/>
  <c r="U982" i="3"/>
  <c r="V982" i="3"/>
  <c r="U983" i="3"/>
  <c r="V983" i="3"/>
  <c r="U984" i="3"/>
  <c r="V984" i="3"/>
  <c r="U985" i="3"/>
  <c r="V985" i="3"/>
  <c r="U986" i="3"/>
  <c r="V986" i="3"/>
  <c r="U987" i="3"/>
  <c r="V987" i="3"/>
  <c r="U988" i="3"/>
  <c r="V988" i="3"/>
  <c r="U989" i="3"/>
  <c r="V989" i="3"/>
  <c r="U990" i="3"/>
  <c r="V990" i="3"/>
  <c r="U991" i="3"/>
  <c r="V991" i="3"/>
  <c r="U992" i="3"/>
  <c r="V992" i="3"/>
  <c r="U993" i="3"/>
  <c r="V993" i="3"/>
  <c r="U994" i="3"/>
  <c r="V994" i="3"/>
  <c r="U995" i="3"/>
  <c r="V995" i="3"/>
  <c r="U996" i="3"/>
  <c r="V996" i="3"/>
  <c r="U997" i="3"/>
  <c r="V997" i="3"/>
  <c r="U998" i="3"/>
  <c r="V998" i="3"/>
  <c r="U999" i="3"/>
  <c r="V999" i="3"/>
  <c r="U1000" i="3"/>
  <c r="V1000" i="3"/>
  <c r="U1001" i="3"/>
  <c r="V1001" i="3"/>
  <c r="U1002" i="3"/>
  <c r="V1002" i="3"/>
  <c r="U1003" i="3"/>
  <c r="V1003" i="3"/>
  <c r="U1004" i="3"/>
  <c r="V1004" i="3"/>
  <c r="U1005" i="3"/>
  <c r="V1005" i="3"/>
  <c r="U1006" i="3"/>
  <c r="V1006" i="3"/>
  <c r="U1007" i="3"/>
  <c r="V1007" i="3"/>
  <c r="U1008" i="3"/>
  <c r="V1008" i="3"/>
  <c r="U1009" i="3"/>
  <c r="V1009" i="3"/>
  <c r="U1010" i="3"/>
  <c r="V1010" i="3"/>
  <c r="U1011" i="3"/>
  <c r="V1011" i="3"/>
  <c r="U1012" i="3"/>
  <c r="V1012" i="3"/>
  <c r="U1013" i="3"/>
  <c r="V1013" i="3"/>
  <c r="U1014" i="3"/>
  <c r="V1014" i="3"/>
  <c r="U1015" i="3"/>
  <c r="V1015" i="3"/>
  <c r="U1016" i="3"/>
  <c r="V1016" i="3"/>
  <c r="U1017" i="3"/>
  <c r="V1017" i="3"/>
  <c r="U1018" i="3"/>
  <c r="V1018" i="3"/>
  <c r="U1019" i="3"/>
  <c r="V1019" i="3"/>
  <c r="U1020" i="3"/>
  <c r="V1020" i="3"/>
  <c r="U1021" i="3"/>
  <c r="V1021" i="3"/>
  <c r="U1022" i="3"/>
  <c r="V1022" i="3"/>
  <c r="U1023" i="3"/>
  <c r="V1023" i="3"/>
  <c r="U1024" i="3"/>
  <c r="V1024" i="3"/>
  <c r="U1025" i="3"/>
  <c r="V1025" i="3"/>
  <c r="U1026" i="3"/>
  <c r="V1026" i="3"/>
  <c r="U1027" i="3"/>
  <c r="V1027" i="3"/>
  <c r="U1028" i="3"/>
  <c r="V1028" i="3"/>
  <c r="U1029" i="3"/>
  <c r="V1029" i="3"/>
  <c r="U1030" i="3"/>
  <c r="V1030" i="3"/>
  <c r="U1031" i="3"/>
  <c r="V1031" i="3"/>
  <c r="U1032" i="3"/>
  <c r="V1032" i="3"/>
  <c r="U1033" i="3"/>
  <c r="V1033" i="3"/>
  <c r="U1034" i="3"/>
  <c r="V1034" i="3"/>
  <c r="U1035" i="3"/>
  <c r="V1035" i="3"/>
  <c r="U1036" i="3"/>
  <c r="V1036" i="3"/>
  <c r="U1037" i="3"/>
  <c r="V1037" i="3"/>
  <c r="U1038" i="3"/>
  <c r="V1038" i="3"/>
  <c r="U1039" i="3"/>
  <c r="V1039" i="3"/>
  <c r="U1040" i="3"/>
  <c r="V1040" i="3"/>
  <c r="U1041" i="3"/>
  <c r="V1041" i="3"/>
  <c r="U1042" i="3"/>
  <c r="V1042" i="3"/>
  <c r="U1043" i="3"/>
  <c r="V1043" i="3"/>
  <c r="U1044" i="3"/>
  <c r="V1044" i="3"/>
  <c r="U1045" i="3"/>
  <c r="V1045" i="3"/>
  <c r="U1046" i="3"/>
  <c r="V1046" i="3"/>
  <c r="U1047" i="3"/>
  <c r="V1047" i="3"/>
  <c r="U1048" i="3"/>
  <c r="V1048" i="3"/>
  <c r="U1049" i="3"/>
  <c r="V1049" i="3"/>
  <c r="U1050" i="3"/>
  <c r="V1050" i="3"/>
  <c r="U1051" i="3"/>
  <c r="V1051" i="3"/>
  <c r="U1052" i="3"/>
  <c r="V1052" i="3"/>
  <c r="U1053" i="3"/>
  <c r="V1053" i="3"/>
  <c r="U1054" i="3"/>
  <c r="V1054" i="3"/>
  <c r="U1055" i="3"/>
  <c r="V1055" i="3"/>
  <c r="U1056" i="3"/>
  <c r="V1056" i="3"/>
  <c r="U1057" i="3"/>
  <c r="V1057" i="3"/>
  <c r="U1058" i="3"/>
  <c r="V1058" i="3"/>
  <c r="U1059" i="3"/>
  <c r="V1059" i="3"/>
  <c r="U1060" i="3"/>
  <c r="V1060" i="3"/>
  <c r="U1061" i="3"/>
  <c r="V1061" i="3"/>
  <c r="U1062" i="3"/>
  <c r="V1062" i="3"/>
  <c r="U1063" i="3"/>
  <c r="V1063" i="3"/>
  <c r="U1064" i="3"/>
  <c r="V1064" i="3"/>
  <c r="U1065" i="3"/>
  <c r="V1065" i="3"/>
  <c r="U1066" i="3"/>
  <c r="V1066" i="3"/>
  <c r="U1067" i="3"/>
  <c r="V1067" i="3"/>
  <c r="U1068" i="3"/>
  <c r="V1068" i="3"/>
  <c r="U1069" i="3"/>
  <c r="V1069" i="3"/>
  <c r="U1070" i="3"/>
  <c r="V1070" i="3"/>
  <c r="U1071" i="3"/>
  <c r="V1071" i="3"/>
  <c r="U1072" i="3"/>
  <c r="V1072" i="3"/>
  <c r="U1073" i="3"/>
  <c r="V1073" i="3"/>
  <c r="U1074" i="3"/>
  <c r="V1074" i="3"/>
  <c r="U1075" i="3"/>
  <c r="V1075" i="3"/>
  <c r="U1076" i="3"/>
  <c r="V1076" i="3"/>
  <c r="U1077" i="3"/>
  <c r="V1077" i="3"/>
  <c r="U1078" i="3"/>
  <c r="V1078" i="3"/>
  <c r="U1079" i="3"/>
  <c r="V1079" i="3"/>
  <c r="U1080" i="3"/>
  <c r="V1080" i="3"/>
  <c r="U1081" i="3"/>
  <c r="V1081" i="3"/>
  <c r="U1082" i="3"/>
  <c r="V1082" i="3"/>
  <c r="U1083" i="3"/>
  <c r="V1083" i="3"/>
  <c r="U1084" i="3"/>
  <c r="V1084" i="3"/>
  <c r="U1085" i="3"/>
  <c r="V1085" i="3"/>
  <c r="U1086" i="3"/>
  <c r="V1086" i="3"/>
  <c r="U1087" i="3"/>
  <c r="V1087" i="3"/>
  <c r="U1088" i="3"/>
  <c r="V1088" i="3"/>
  <c r="U1089" i="3"/>
  <c r="V1089" i="3"/>
  <c r="U1090" i="3"/>
  <c r="V1090" i="3"/>
  <c r="U1091" i="3"/>
  <c r="V1091" i="3"/>
  <c r="U1092" i="3"/>
  <c r="V1092" i="3"/>
  <c r="U1093" i="3"/>
  <c r="V1093" i="3"/>
  <c r="U1094" i="3"/>
  <c r="V1094" i="3"/>
  <c r="U1095" i="3"/>
  <c r="V1095" i="3"/>
  <c r="U1096" i="3"/>
  <c r="V1096" i="3"/>
  <c r="U1097" i="3"/>
  <c r="V1097" i="3"/>
  <c r="U1098" i="3"/>
  <c r="V1098" i="3"/>
  <c r="U1099" i="3"/>
  <c r="V1099" i="3"/>
  <c r="U1100" i="3"/>
  <c r="V1100" i="3"/>
  <c r="U1101" i="3"/>
  <c r="V1101" i="3"/>
  <c r="U1102" i="3"/>
  <c r="V1102" i="3"/>
  <c r="U1103" i="3"/>
  <c r="V1103" i="3"/>
  <c r="U1104" i="3"/>
  <c r="V1104" i="3"/>
  <c r="U1105" i="3"/>
  <c r="V1105" i="3"/>
  <c r="U1106" i="3"/>
  <c r="V1106" i="3"/>
  <c r="U1107" i="3"/>
  <c r="V1107" i="3"/>
  <c r="U1108" i="3"/>
  <c r="V1108" i="3"/>
  <c r="U1109" i="3"/>
  <c r="V1109" i="3"/>
  <c r="U1110" i="3"/>
  <c r="V1110" i="3"/>
  <c r="U1111" i="3"/>
  <c r="V1111" i="3"/>
  <c r="U1112" i="3"/>
  <c r="V1112" i="3"/>
  <c r="U1113" i="3"/>
  <c r="V1113" i="3"/>
  <c r="U1114" i="3"/>
  <c r="V1114" i="3"/>
  <c r="U1115" i="3"/>
  <c r="V1115" i="3"/>
  <c r="U1116" i="3"/>
  <c r="V1116" i="3"/>
  <c r="U1117" i="3"/>
  <c r="V1117" i="3"/>
  <c r="U1118" i="3"/>
  <c r="V1118" i="3"/>
  <c r="U1119" i="3"/>
  <c r="V1119" i="3"/>
  <c r="U1120" i="3"/>
  <c r="V1120" i="3"/>
  <c r="U1121" i="3"/>
  <c r="V1121" i="3"/>
  <c r="U1122" i="3"/>
  <c r="V1122" i="3"/>
  <c r="U1123" i="3"/>
  <c r="V1123" i="3"/>
  <c r="U1124" i="3"/>
  <c r="V1124" i="3"/>
  <c r="U1125" i="3"/>
  <c r="V1125" i="3"/>
  <c r="U1126" i="3"/>
  <c r="V1126" i="3"/>
  <c r="U1127" i="3"/>
  <c r="V1127" i="3"/>
  <c r="U1128" i="3"/>
  <c r="V1128" i="3"/>
  <c r="U1129" i="3"/>
  <c r="V1129" i="3"/>
  <c r="U1130" i="3"/>
  <c r="V1130" i="3"/>
  <c r="U1131" i="3"/>
  <c r="V1131" i="3"/>
  <c r="U1132" i="3"/>
  <c r="V1132" i="3"/>
  <c r="U1133" i="3"/>
  <c r="V1133" i="3"/>
  <c r="U1134" i="3"/>
  <c r="V1134" i="3"/>
  <c r="U1135" i="3"/>
  <c r="V1135" i="3"/>
  <c r="U1136" i="3"/>
  <c r="V1136" i="3"/>
  <c r="U1137" i="3"/>
  <c r="V1137" i="3"/>
  <c r="U1138" i="3"/>
  <c r="V1138" i="3"/>
  <c r="U1139" i="3"/>
  <c r="V1139" i="3"/>
  <c r="U1140" i="3"/>
  <c r="V1140" i="3"/>
  <c r="U1141" i="3"/>
  <c r="V1141" i="3"/>
  <c r="U1142" i="3"/>
  <c r="V1142" i="3"/>
  <c r="U1143" i="3"/>
  <c r="V1143" i="3"/>
  <c r="U1144" i="3"/>
  <c r="V1144" i="3"/>
  <c r="U1145" i="3"/>
  <c r="V1145" i="3"/>
  <c r="U1146" i="3"/>
  <c r="V1146" i="3"/>
  <c r="U1147" i="3"/>
  <c r="V1147" i="3"/>
  <c r="U1148" i="3"/>
  <c r="V1148" i="3"/>
  <c r="U1149" i="3"/>
  <c r="V1149" i="3"/>
  <c r="U1150" i="3"/>
  <c r="V1150" i="3"/>
  <c r="U1151" i="3"/>
  <c r="V1151" i="3"/>
  <c r="U1152" i="3"/>
  <c r="V1152" i="3"/>
  <c r="U1153" i="3"/>
  <c r="V1153" i="3"/>
  <c r="U1154" i="3"/>
  <c r="V1154" i="3"/>
  <c r="U1155" i="3"/>
  <c r="V1155" i="3"/>
  <c r="U1156" i="3"/>
  <c r="V1156" i="3"/>
  <c r="U1157" i="3"/>
  <c r="V1157" i="3"/>
  <c r="U1158" i="3"/>
  <c r="V1158" i="3"/>
  <c r="U1159" i="3"/>
  <c r="V1159" i="3"/>
  <c r="U1160" i="3"/>
  <c r="V1160" i="3"/>
  <c r="U1161" i="3"/>
  <c r="V1161" i="3"/>
  <c r="U1162" i="3"/>
  <c r="V1162" i="3"/>
  <c r="U1163" i="3"/>
  <c r="V1163" i="3"/>
  <c r="U1164" i="3"/>
  <c r="V1164" i="3"/>
  <c r="U1165" i="3"/>
  <c r="V1165" i="3"/>
  <c r="U1166" i="3"/>
  <c r="V1166" i="3"/>
  <c r="U1167" i="3"/>
  <c r="V1167" i="3"/>
  <c r="U1168" i="3"/>
  <c r="V1168" i="3"/>
  <c r="U1169" i="3"/>
  <c r="V1169" i="3"/>
  <c r="U1170" i="3"/>
  <c r="V1170" i="3"/>
  <c r="U1171" i="3"/>
  <c r="V1171" i="3"/>
  <c r="U1172" i="3"/>
  <c r="V1172" i="3"/>
  <c r="U1173" i="3"/>
  <c r="V1173" i="3"/>
  <c r="U1174" i="3"/>
  <c r="V1174" i="3"/>
  <c r="U1175" i="3"/>
  <c r="V1175" i="3"/>
  <c r="U1176" i="3"/>
  <c r="V1176" i="3"/>
  <c r="U1177" i="3"/>
  <c r="V1177" i="3"/>
  <c r="U1178" i="3"/>
  <c r="V1178" i="3"/>
  <c r="U1179" i="3"/>
  <c r="V1179" i="3"/>
  <c r="U1180" i="3"/>
  <c r="V1180" i="3"/>
  <c r="U1181" i="3"/>
  <c r="V1181" i="3"/>
  <c r="U1182" i="3"/>
  <c r="V1182" i="3"/>
  <c r="U1183" i="3"/>
  <c r="V1183" i="3"/>
  <c r="U1184" i="3"/>
  <c r="V1184" i="3"/>
  <c r="U1185" i="3"/>
  <c r="V1185" i="3"/>
  <c r="U1186" i="3"/>
  <c r="V1186" i="3"/>
  <c r="U1187" i="3"/>
  <c r="V1187" i="3"/>
  <c r="U1188" i="3"/>
  <c r="V1188" i="3"/>
  <c r="U1189" i="3"/>
  <c r="V1189" i="3"/>
  <c r="U1190" i="3"/>
  <c r="V1190" i="3"/>
  <c r="U1191" i="3"/>
  <c r="V1191" i="3"/>
  <c r="U1192" i="3"/>
  <c r="V1192" i="3"/>
  <c r="U1193" i="3"/>
  <c r="V1193" i="3"/>
  <c r="U1194" i="3"/>
  <c r="V1194" i="3"/>
  <c r="U1195" i="3"/>
  <c r="V1195" i="3"/>
  <c r="U1196" i="3"/>
  <c r="V1196" i="3"/>
  <c r="U1197" i="3"/>
  <c r="V1197" i="3"/>
  <c r="U1198" i="3"/>
  <c r="V1198" i="3"/>
  <c r="U1199" i="3"/>
  <c r="V1199" i="3"/>
  <c r="U1200" i="3"/>
  <c r="V1200" i="3"/>
  <c r="U1201" i="3"/>
  <c r="V1201" i="3"/>
  <c r="U1202" i="3"/>
  <c r="V1202" i="3"/>
  <c r="U1203" i="3"/>
  <c r="V1203" i="3"/>
  <c r="U1204" i="3"/>
  <c r="V1204" i="3"/>
  <c r="U1205" i="3"/>
  <c r="V1205" i="3"/>
  <c r="U1206" i="3"/>
  <c r="V1206" i="3"/>
  <c r="U1207" i="3"/>
  <c r="V1207" i="3"/>
  <c r="U1208" i="3"/>
  <c r="V1208" i="3"/>
  <c r="U1209" i="3"/>
  <c r="V1209" i="3"/>
  <c r="U1210" i="3"/>
  <c r="V1210" i="3"/>
  <c r="U1211" i="3"/>
  <c r="V1211" i="3"/>
  <c r="U1212" i="3"/>
  <c r="V1212" i="3"/>
  <c r="U1213" i="3"/>
  <c r="V1213" i="3"/>
  <c r="U1214" i="3"/>
  <c r="V1214" i="3"/>
  <c r="U1215" i="3"/>
  <c r="V1215" i="3"/>
  <c r="U1216" i="3"/>
  <c r="V1216" i="3"/>
  <c r="U1217" i="3"/>
  <c r="V1217" i="3"/>
  <c r="U1218" i="3"/>
  <c r="V1218" i="3"/>
  <c r="U1219" i="3"/>
  <c r="V1219" i="3"/>
  <c r="U1220" i="3"/>
  <c r="V1220" i="3"/>
  <c r="U1221" i="3"/>
  <c r="V1221" i="3"/>
  <c r="U1222" i="3"/>
  <c r="V1222" i="3"/>
  <c r="U1223" i="3"/>
  <c r="V1223" i="3"/>
  <c r="U1224" i="3"/>
  <c r="V1224" i="3"/>
  <c r="U1225" i="3"/>
  <c r="V1225" i="3"/>
  <c r="U1226" i="3"/>
  <c r="V1226" i="3"/>
  <c r="U1227" i="3"/>
  <c r="V1227" i="3"/>
  <c r="U1228" i="3"/>
  <c r="V1228" i="3"/>
  <c r="U1229" i="3"/>
  <c r="V1229" i="3"/>
  <c r="U1230" i="3"/>
  <c r="V1230" i="3"/>
  <c r="U1231" i="3"/>
  <c r="V1231" i="3"/>
  <c r="U1232" i="3"/>
  <c r="V1232" i="3"/>
  <c r="U1233" i="3"/>
  <c r="V1233" i="3"/>
  <c r="U1234" i="3"/>
  <c r="V1234" i="3"/>
  <c r="U1235" i="3"/>
  <c r="V1235" i="3"/>
  <c r="U1236" i="3"/>
  <c r="V1236" i="3"/>
  <c r="U1237" i="3"/>
  <c r="V1237" i="3"/>
  <c r="U1238" i="3"/>
  <c r="V1238" i="3"/>
  <c r="U1239" i="3"/>
  <c r="V1239" i="3"/>
  <c r="U1240" i="3"/>
  <c r="V1240" i="3"/>
  <c r="U1241" i="3"/>
  <c r="V1241" i="3"/>
  <c r="U1242" i="3"/>
  <c r="V1242" i="3"/>
  <c r="U1243" i="3"/>
  <c r="V1243" i="3"/>
  <c r="U1244" i="3"/>
  <c r="V1244" i="3"/>
  <c r="U1245" i="3"/>
  <c r="V1245" i="3"/>
  <c r="U1246" i="3"/>
  <c r="V1246" i="3"/>
  <c r="U1247" i="3"/>
  <c r="V1247" i="3"/>
  <c r="U1248" i="3"/>
  <c r="V1248" i="3"/>
  <c r="U1249" i="3"/>
  <c r="V1249" i="3"/>
  <c r="U1250" i="3"/>
  <c r="V1250" i="3"/>
  <c r="U1251" i="3"/>
  <c r="V1251" i="3"/>
  <c r="U1252" i="3"/>
  <c r="V1252" i="3"/>
  <c r="U1253" i="3"/>
  <c r="V1253" i="3"/>
  <c r="U1254" i="3"/>
  <c r="V1254" i="3"/>
  <c r="U1255" i="3"/>
  <c r="V1255" i="3"/>
  <c r="U1256" i="3"/>
  <c r="V1256" i="3"/>
  <c r="U1257" i="3"/>
  <c r="V1257" i="3"/>
  <c r="U1258" i="3"/>
  <c r="V1258" i="3"/>
  <c r="U1259" i="3"/>
  <c r="V1259" i="3"/>
  <c r="U1260" i="3"/>
  <c r="V1260" i="3"/>
  <c r="U1261" i="3"/>
  <c r="V1261" i="3"/>
  <c r="U1262" i="3"/>
  <c r="V1262" i="3"/>
  <c r="U1263" i="3"/>
  <c r="V1263" i="3"/>
  <c r="U1264" i="3"/>
  <c r="V1264" i="3"/>
  <c r="U1265" i="3"/>
  <c r="V1265" i="3"/>
  <c r="U1266" i="3"/>
  <c r="V1266" i="3"/>
  <c r="U1267" i="3"/>
  <c r="V1267" i="3"/>
  <c r="U1268" i="3"/>
  <c r="V1268" i="3"/>
  <c r="U1269" i="3"/>
  <c r="V1269" i="3"/>
  <c r="U1270" i="3"/>
  <c r="V1270" i="3"/>
  <c r="U1271" i="3"/>
  <c r="V1271" i="3"/>
  <c r="U1272" i="3"/>
  <c r="V1272" i="3"/>
  <c r="U1273" i="3"/>
  <c r="V1273" i="3"/>
  <c r="U1274" i="3"/>
  <c r="V1274" i="3"/>
  <c r="U1275" i="3"/>
  <c r="V1275" i="3"/>
  <c r="U1276" i="3"/>
  <c r="V1276" i="3"/>
  <c r="U1277" i="3"/>
  <c r="V1277" i="3"/>
  <c r="U1278" i="3"/>
  <c r="V1278" i="3"/>
  <c r="U1279" i="3"/>
  <c r="V1279" i="3"/>
  <c r="U1280" i="3"/>
  <c r="V1280" i="3"/>
  <c r="U1281" i="3"/>
  <c r="V1281" i="3"/>
  <c r="U1282" i="3"/>
  <c r="V1282" i="3"/>
  <c r="U1283" i="3"/>
  <c r="V1283" i="3"/>
  <c r="U1284" i="3"/>
  <c r="V1284" i="3"/>
  <c r="U1285" i="3"/>
  <c r="V1285" i="3"/>
  <c r="U1286" i="3"/>
  <c r="V1286" i="3"/>
  <c r="U1287" i="3"/>
  <c r="V1287" i="3"/>
  <c r="U1288" i="3"/>
  <c r="V1288" i="3"/>
  <c r="U1289" i="3"/>
  <c r="V1289" i="3"/>
  <c r="U1290" i="3"/>
  <c r="V1290" i="3"/>
  <c r="U1291" i="3"/>
  <c r="V1291" i="3"/>
  <c r="U1292" i="3"/>
  <c r="V1292" i="3"/>
  <c r="U1293" i="3"/>
  <c r="V1293" i="3"/>
  <c r="U1294" i="3"/>
  <c r="V1294" i="3"/>
  <c r="U1295" i="3"/>
  <c r="V1295" i="3"/>
  <c r="U1296" i="3"/>
  <c r="V1296" i="3"/>
  <c r="U1297" i="3"/>
  <c r="V1297" i="3"/>
  <c r="U1298" i="3"/>
  <c r="V1298" i="3"/>
  <c r="U1299" i="3"/>
  <c r="V1299" i="3"/>
  <c r="U1300" i="3"/>
  <c r="V1300" i="3"/>
  <c r="U1301" i="3"/>
  <c r="V1301" i="3"/>
  <c r="U1302" i="3"/>
  <c r="V1302" i="3"/>
  <c r="U1303" i="3"/>
  <c r="V1303" i="3"/>
  <c r="U1304" i="3"/>
  <c r="V1304" i="3"/>
  <c r="U1305" i="3"/>
  <c r="V1305" i="3"/>
  <c r="U1306" i="3"/>
  <c r="V1306" i="3"/>
  <c r="U1307" i="3"/>
  <c r="V1307" i="3"/>
  <c r="U1308" i="3"/>
  <c r="V1308" i="3"/>
  <c r="U1309" i="3"/>
  <c r="V1309" i="3"/>
  <c r="U1310" i="3"/>
  <c r="V1310" i="3"/>
  <c r="U1311" i="3"/>
  <c r="V1311" i="3"/>
  <c r="U1312" i="3"/>
  <c r="V1312" i="3"/>
  <c r="U1313" i="3"/>
  <c r="V1313" i="3"/>
  <c r="U1314" i="3"/>
  <c r="V1314" i="3"/>
  <c r="U1315" i="3"/>
  <c r="V1315" i="3"/>
  <c r="U1316" i="3"/>
  <c r="V1316" i="3"/>
  <c r="U1317" i="3"/>
  <c r="V1317" i="3"/>
  <c r="U1318" i="3"/>
  <c r="V1318" i="3"/>
  <c r="U1319" i="3"/>
  <c r="V1319" i="3"/>
  <c r="U1320" i="3"/>
  <c r="V1320" i="3"/>
  <c r="U1321" i="3"/>
  <c r="V1321" i="3"/>
  <c r="U1322" i="3"/>
  <c r="V1322" i="3"/>
  <c r="U1323" i="3"/>
  <c r="V1323" i="3"/>
  <c r="U1324" i="3"/>
  <c r="V1324" i="3"/>
  <c r="U1325" i="3"/>
  <c r="V1325" i="3"/>
  <c r="U1326" i="3"/>
  <c r="V1326" i="3"/>
  <c r="U1327" i="3"/>
  <c r="V1327" i="3"/>
  <c r="U1328" i="3"/>
  <c r="V1328" i="3"/>
  <c r="U1329" i="3"/>
  <c r="U1330" i="3"/>
  <c r="V1330" i="3"/>
  <c r="U1331" i="3"/>
  <c r="V1331" i="3"/>
  <c r="U1332" i="3"/>
  <c r="V1332" i="3"/>
  <c r="U1333" i="3"/>
  <c r="V1333" i="3"/>
  <c r="U1334" i="3"/>
  <c r="V1334" i="3"/>
  <c r="U1335" i="3"/>
  <c r="V1335" i="3"/>
  <c r="U1336" i="3"/>
  <c r="V1336" i="3"/>
  <c r="U1337" i="3"/>
  <c r="V1337" i="3"/>
  <c r="U1338" i="3"/>
  <c r="V1338" i="3"/>
  <c r="U1339" i="3"/>
  <c r="V1339" i="3"/>
  <c r="U1340" i="3"/>
  <c r="V1340" i="3"/>
  <c r="U1341" i="3"/>
  <c r="V1341" i="3"/>
  <c r="U1342" i="3"/>
  <c r="V1342" i="3"/>
  <c r="U1343" i="3"/>
  <c r="V1343" i="3"/>
  <c r="U1344" i="3"/>
  <c r="V1344" i="3"/>
  <c r="U1345" i="3"/>
  <c r="V1345" i="3"/>
  <c r="U1346" i="3"/>
  <c r="V1346" i="3"/>
  <c r="U1347" i="3"/>
  <c r="V1347" i="3"/>
  <c r="U1348" i="3"/>
  <c r="V1348" i="3"/>
  <c r="U1349" i="3"/>
  <c r="V1349" i="3"/>
  <c r="U1350" i="3"/>
  <c r="V1350" i="3"/>
  <c r="U1351" i="3"/>
  <c r="V1351" i="3"/>
  <c r="U1352" i="3"/>
  <c r="V1352" i="3"/>
  <c r="U1353" i="3"/>
  <c r="V1353" i="3"/>
  <c r="U1354" i="3"/>
  <c r="V1354" i="3"/>
  <c r="U1355" i="3"/>
  <c r="V1355" i="3"/>
  <c r="U1356" i="3"/>
  <c r="V1356" i="3"/>
  <c r="U1357" i="3"/>
  <c r="V1357" i="3"/>
  <c r="U1358" i="3"/>
  <c r="V1358" i="3"/>
  <c r="U1359" i="3"/>
  <c r="V1359" i="3"/>
  <c r="U1360" i="3"/>
  <c r="V1360" i="3"/>
  <c r="U1361" i="3"/>
  <c r="V1361" i="3"/>
  <c r="U1362" i="3"/>
  <c r="V1362" i="3"/>
  <c r="U1363" i="3"/>
  <c r="V1363" i="3"/>
  <c r="U1364" i="3"/>
  <c r="V1364" i="3"/>
  <c r="U1365" i="3"/>
  <c r="V1365" i="3"/>
  <c r="U1366" i="3"/>
  <c r="V1366" i="3"/>
  <c r="U1367" i="3"/>
  <c r="V1367" i="3"/>
  <c r="U1368" i="3"/>
  <c r="V1368" i="3"/>
  <c r="U1369" i="3"/>
  <c r="V1369" i="3"/>
  <c r="U1370" i="3"/>
  <c r="V1370" i="3"/>
  <c r="U1371" i="3"/>
  <c r="V1371" i="3"/>
  <c r="U1372" i="3"/>
  <c r="V1372" i="3"/>
  <c r="U1373" i="3"/>
  <c r="V1373" i="3"/>
  <c r="U1374" i="3"/>
  <c r="V1374" i="3"/>
  <c r="U1375" i="3"/>
  <c r="V1375" i="3"/>
  <c r="U1376" i="3"/>
  <c r="V1376" i="3"/>
  <c r="U1377" i="3"/>
  <c r="V1377" i="3"/>
  <c r="U1378" i="3"/>
  <c r="V1378" i="3"/>
  <c r="U1379" i="3"/>
  <c r="V1379" i="3"/>
  <c r="U1380" i="3"/>
  <c r="V1380" i="3"/>
  <c r="U1381" i="3"/>
  <c r="V1381" i="3"/>
  <c r="U1382" i="3"/>
  <c r="V1382" i="3"/>
  <c r="U1383" i="3"/>
  <c r="V1383" i="3"/>
  <c r="U1384" i="3"/>
  <c r="V1384" i="3"/>
  <c r="U1385" i="3"/>
  <c r="V1385" i="3"/>
  <c r="U1386" i="3"/>
  <c r="V1386" i="3"/>
  <c r="U1387" i="3"/>
  <c r="V1387" i="3"/>
  <c r="U1388" i="3"/>
  <c r="V1388" i="3"/>
  <c r="U1389" i="3"/>
  <c r="V1389" i="3"/>
  <c r="U1390" i="3"/>
  <c r="V1390" i="3"/>
  <c r="U1391" i="3"/>
  <c r="V1391" i="3"/>
  <c r="U1392" i="3"/>
  <c r="V1392" i="3"/>
  <c r="U1393" i="3"/>
  <c r="V1393" i="3"/>
  <c r="U1394" i="3"/>
  <c r="V1394" i="3"/>
  <c r="U1395" i="3"/>
  <c r="V1395" i="3"/>
  <c r="U1396" i="3"/>
  <c r="V1396" i="3"/>
  <c r="U1397" i="3"/>
  <c r="V1397" i="3"/>
  <c r="U1398" i="3"/>
  <c r="V1398" i="3"/>
  <c r="U1399" i="3"/>
  <c r="V1399" i="3"/>
  <c r="U1400" i="3"/>
  <c r="V1400" i="3"/>
  <c r="U1401" i="3"/>
  <c r="V1401" i="3"/>
  <c r="U1402" i="3"/>
  <c r="V1402" i="3"/>
  <c r="U1403" i="3"/>
  <c r="V1403" i="3"/>
  <c r="U1404" i="3"/>
  <c r="V1404" i="3"/>
  <c r="U1405" i="3"/>
  <c r="V1405" i="3"/>
  <c r="U1406" i="3"/>
  <c r="V1406" i="3"/>
  <c r="U1407" i="3"/>
  <c r="V1407" i="3"/>
  <c r="U1408" i="3"/>
  <c r="V1408" i="3"/>
  <c r="U1409" i="3"/>
  <c r="V1409" i="3"/>
  <c r="U1410" i="3"/>
  <c r="V1410" i="3"/>
  <c r="U1411" i="3"/>
  <c r="V1411" i="3"/>
  <c r="U1412" i="3"/>
  <c r="V1412" i="3"/>
  <c r="U1413" i="3"/>
  <c r="U1414" i="3"/>
  <c r="V1414" i="3"/>
  <c r="U1415" i="3"/>
  <c r="V1415" i="3"/>
  <c r="U1416" i="3"/>
  <c r="V1416" i="3"/>
  <c r="U1417" i="3"/>
  <c r="U1418" i="3"/>
  <c r="V1418" i="3"/>
  <c r="U1419" i="3"/>
  <c r="V1419" i="3"/>
  <c r="U1420" i="3"/>
  <c r="V1420" i="3"/>
  <c r="U1421" i="3"/>
  <c r="U1422" i="3"/>
  <c r="V1422" i="3"/>
  <c r="U1423" i="3"/>
  <c r="V1423" i="3"/>
  <c r="U1424" i="3"/>
  <c r="V1424" i="3"/>
  <c r="U1425" i="3"/>
  <c r="U1426" i="3"/>
  <c r="V1426" i="3"/>
  <c r="U1427" i="3"/>
  <c r="V1427" i="3"/>
  <c r="U1428" i="3"/>
  <c r="V1428" i="3"/>
  <c r="U1429" i="3"/>
  <c r="U1430" i="3"/>
  <c r="V1430" i="3"/>
  <c r="U1431" i="3"/>
  <c r="V1431" i="3"/>
  <c r="U1432" i="3"/>
  <c r="V1432" i="3"/>
  <c r="U1433" i="3"/>
  <c r="U1434" i="3"/>
  <c r="V1434" i="3"/>
  <c r="U1435" i="3"/>
  <c r="V1435" i="3"/>
  <c r="U1436" i="3"/>
  <c r="V1436" i="3"/>
  <c r="U1437" i="3"/>
  <c r="U1438" i="3"/>
  <c r="V1438" i="3"/>
  <c r="U1439" i="3"/>
  <c r="V1439" i="3"/>
  <c r="U1440" i="3"/>
  <c r="V1440" i="3"/>
  <c r="U1441" i="3"/>
  <c r="U1442" i="3"/>
  <c r="V1442" i="3"/>
  <c r="U1443" i="3"/>
  <c r="V1443" i="3"/>
  <c r="U1444" i="3"/>
  <c r="V1444" i="3"/>
  <c r="U1445" i="3"/>
  <c r="U1446" i="3"/>
  <c r="V1446" i="3"/>
  <c r="U1447" i="3"/>
  <c r="V1447" i="3"/>
  <c r="U1448" i="3"/>
  <c r="V1448" i="3"/>
  <c r="U1449" i="3"/>
  <c r="U1450" i="3"/>
  <c r="V1450" i="3"/>
  <c r="U1451" i="3"/>
  <c r="V1451" i="3"/>
  <c r="U1452" i="3"/>
  <c r="V1452" i="3"/>
  <c r="U1453" i="3"/>
  <c r="U1454" i="3"/>
  <c r="V1454" i="3"/>
  <c r="U1455" i="3"/>
  <c r="V1455" i="3"/>
  <c r="U1456" i="3"/>
  <c r="V1456" i="3"/>
  <c r="U1457" i="3"/>
  <c r="U1458" i="3"/>
  <c r="V1458" i="3"/>
  <c r="U1459" i="3"/>
  <c r="V1459" i="3"/>
  <c r="U1460" i="3"/>
  <c r="V1460" i="3"/>
  <c r="U1461" i="3"/>
  <c r="U1462" i="3"/>
  <c r="V1462" i="3"/>
  <c r="U1463" i="3"/>
  <c r="V1463" i="3"/>
  <c r="U1464" i="3"/>
  <c r="V1464" i="3"/>
  <c r="U1465" i="3"/>
  <c r="U1466" i="3"/>
  <c r="V1466" i="3"/>
  <c r="U1467" i="3"/>
  <c r="V1467" i="3"/>
  <c r="U1468" i="3"/>
  <c r="V1468" i="3"/>
  <c r="U1469" i="3"/>
  <c r="U1470" i="3"/>
  <c r="V1470" i="3"/>
  <c r="U1471" i="3"/>
  <c r="V1471" i="3"/>
  <c r="U1472" i="3"/>
  <c r="V1472" i="3"/>
  <c r="U1473" i="3"/>
  <c r="U1474" i="3"/>
  <c r="V1474" i="3"/>
  <c r="U1475" i="3"/>
  <c r="V1475" i="3"/>
  <c r="U1476" i="3"/>
  <c r="V1476" i="3"/>
  <c r="U1477" i="3"/>
  <c r="U1478" i="3"/>
  <c r="V1478" i="3"/>
  <c r="U1479" i="3"/>
  <c r="V1479" i="3"/>
  <c r="U1480" i="3"/>
  <c r="V1480" i="3"/>
  <c r="U1481" i="3"/>
  <c r="U1482" i="3"/>
  <c r="V1482" i="3"/>
  <c r="U1483" i="3"/>
  <c r="V1483" i="3"/>
  <c r="U1484" i="3"/>
  <c r="V1484" i="3"/>
  <c r="U1485" i="3"/>
  <c r="U1486" i="3"/>
  <c r="V1486" i="3"/>
  <c r="U1487" i="3"/>
  <c r="V1487" i="3"/>
  <c r="U1488" i="3"/>
  <c r="V1488" i="3"/>
  <c r="U1489" i="3"/>
  <c r="U1490" i="3"/>
  <c r="V1490" i="3"/>
  <c r="U1491" i="3"/>
  <c r="V1491" i="3"/>
  <c r="U1492" i="3"/>
  <c r="V1492" i="3"/>
  <c r="U1493" i="3"/>
  <c r="U1494" i="3"/>
  <c r="V1494" i="3"/>
  <c r="U1495" i="3"/>
  <c r="V1495" i="3"/>
  <c r="U1496" i="3"/>
  <c r="V1496" i="3"/>
  <c r="U1497" i="3"/>
  <c r="U1498" i="3"/>
  <c r="V1498" i="3"/>
  <c r="U1499" i="3"/>
  <c r="V1499" i="3"/>
  <c r="U1500" i="3"/>
  <c r="V1500" i="3"/>
  <c r="U1501" i="3"/>
  <c r="U1502" i="3"/>
  <c r="V1502" i="3"/>
  <c r="U1503" i="3"/>
  <c r="V1503" i="3"/>
  <c r="U1504" i="3"/>
  <c r="V1504" i="3"/>
  <c r="U1505" i="3"/>
  <c r="U1506" i="3"/>
  <c r="V1506" i="3"/>
  <c r="U1507" i="3"/>
  <c r="V1507" i="3"/>
  <c r="U1508" i="3"/>
  <c r="V1508" i="3"/>
  <c r="U1509" i="3"/>
  <c r="U1510" i="3"/>
  <c r="V1510" i="3"/>
  <c r="U1511" i="3"/>
  <c r="V1511" i="3"/>
  <c r="U1512" i="3"/>
  <c r="V1512" i="3"/>
  <c r="U1513" i="3"/>
  <c r="U1514" i="3"/>
  <c r="V1514" i="3"/>
  <c r="U1515" i="3"/>
  <c r="V1515" i="3"/>
  <c r="U1516" i="3"/>
  <c r="V1516" i="3"/>
  <c r="U1517" i="3"/>
  <c r="U1518" i="3"/>
  <c r="V1518" i="3"/>
  <c r="U1519" i="3"/>
  <c r="V1519" i="3"/>
  <c r="U1520" i="3"/>
  <c r="V1520" i="3"/>
  <c r="U1521" i="3"/>
  <c r="U1522" i="3"/>
  <c r="V1522" i="3"/>
  <c r="U1523" i="3"/>
  <c r="V1523" i="3"/>
  <c r="U1524" i="3"/>
  <c r="V1524" i="3"/>
  <c r="U1525" i="3"/>
  <c r="U1526" i="3"/>
  <c r="V1526" i="3"/>
  <c r="U1527" i="3"/>
  <c r="V1527" i="3"/>
  <c r="U1528" i="3"/>
  <c r="V1528" i="3"/>
  <c r="U1529" i="3"/>
  <c r="U1530" i="3"/>
  <c r="V1530" i="3"/>
  <c r="U1531" i="3"/>
  <c r="V1531" i="3"/>
  <c r="U1532" i="3"/>
  <c r="V1532" i="3"/>
  <c r="U1533" i="3"/>
  <c r="U1534" i="3"/>
  <c r="V1534" i="3"/>
  <c r="U1535" i="3"/>
  <c r="V1535" i="3"/>
  <c r="U1536" i="3"/>
  <c r="V1536" i="3"/>
  <c r="U1537" i="3"/>
  <c r="U1538" i="3"/>
  <c r="V1538" i="3"/>
  <c r="U1539" i="3"/>
  <c r="V1539" i="3"/>
  <c r="U1540" i="3"/>
  <c r="V1540" i="3"/>
  <c r="U1541" i="3"/>
  <c r="U1542" i="3"/>
  <c r="V1542" i="3"/>
  <c r="U1543" i="3"/>
  <c r="V1543" i="3"/>
  <c r="U1544" i="3"/>
  <c r="V1544" i="3"/>
  <c r="U1545" i="3"/>
  <c r="U1546" i="3"/>
  <c r="V1546" i="3"/>
  <c r="U1547" i="3"/>
  <c r="V1547" i="3"/>
  <c r="U1548" i="3"/>
  <c r="V1548" i="3"/>
  <c r="U1549" i="3"/>
  <c r="U1550" i="3"/>
  <c r="V1550" i="3"/>
  <c r="U1551" i="3"/>
  <c r="V1551" i="3"/>
  <c r="U1552" i="3"/>
  <c r="V1552" i="3"/>
  <c r="U1553" i="3"/>
  <c r="U1554" i="3"/>
  <c r="V1554" i="3"/>
  <c r="U1555" i="3"/>
  <c r="V1555" i="3"/>
  <c r="U1556" i="3"/>
  <c r="V1556" i="3"/>
  <c r="U1557" i="3"/>
  <c r="U1558" i="3"/>
  <c r="V1558" i="3"/>
  <c r="U1559" i="3"/>
  <c r="V1559" i="3"/>
  <c r="U1560" i="3"/>
  <c r="V1560" i="3"/>
  <c r="U1561" i="3"/>
  <c r="U1562" i="3"/>
  <c r="V1562" i="3"/>
  <c r="U1563" i="3"/>
  <c r="V1563" i="3"/>
  <c r="U1564" i="3"/>
  <c r="V1564" i="3"/>
  <c r="U1565" i="3"/>
  <c r="U1566" i="3"/>
  <c r="V1566" i="3"/>
  <c r="U1567" i="3"/>
  <c r="V1567" i="3"/>
  <c r="U1568" i="3"/>
  <c r="V1568" i="3"/>
  <c r="U1569" i="3"/>
  <c r="U1570" i="3"/>
  <c r="V1570" i="3"/>
  <c r="U1571" i="3"/>
  <c r="V1571" i="3"/>
  <c r="U1572" i="3"/>
  <c r="V1572" i="3"/>
  <c r="U1573" i="3"/>
  <c r="U1574" i="3"/>
  <c r="V1574" i="3"/>
  <c r="U1575" i="3"/>
  <c r="V1575" i="3"/>
  <c r="U1576" i="3"/>
  <c r="V1576" i="3"/>
  <c r="U1577" i="3"/>
  <c r="U1578" i="3"/>
  <c r="V1578" i="3"/>
  <c r="U1579" i="3"/>
  <c r="V1579" i="3"/>
  <c r="U1580" i="3"/>
  <c r="V1580" i="3"/>
  <c r="U1581" i="3"/>
  <c r="U1582" i="3"/>
  <c r="V1582" i="3"/>
  <c r="U1583" i="3"/>
  <c r="V1583" i="3"/>
  <c r="U1584" i="3"/>
  <c r="V1584" i="3"/>
  <c r="U1585" i="3"/>
  <c r="U1586" i="3"/>
  <c r="V1586" i="3"/>
  <c r="U1587" i="3"/>
  <c r="V1587" i="3"/>
  <c r="U1588" i="3"/>
  <c r="V1588" i="3"/>
  <c r="U1589" i="3"/>
  <c r="U1590" i="3"/>
  <c r="V1590" i="3"/>
  <c r="U1591" i="3"/>
  <c r="V1591" i="3"/>
  <c r="U1592" i="3"/>
  <c r="V1592" i="3"/>
  <c r="U1593" i="3"/>
  <c r="U1594" i="3"/>
  <c r="V1594" i="3"/>
  <c r="U1595" i="3"/>
  <c r="V1595" i="3"/>
  <c r="U1596" i="3"/>
  <c r="V1596" i="3"/>
  <c r="U1597" i="3"/>
  <c r="U1598" i="3"/>
  <c r="V1598" i="3"/>
  <c r="U1599" i="3"/>
  <c r="V1599" i="3"/>
  <c r="U1600" i="3"/>
  <c r="V1600" i="3"/>
  <c r="U1601" i="3"/>
  <c r="U1602" i="3"/>
  <c r="V1602" i="3"/>
  <c r="U1603" i="3"/>
  <c r="V1603" i="3"/>
  <c r="U1604" i="3"/>
  <c r="V1604" i="3"/>
  <c r="U1605" i="3"/>
  <c r="U1606" i="3"/>
  <c r="V1606" i="3"/>
  <c r="U1607" i="3"/>
  <c r="V1607" i="3"/>
  <c r="U1608" i="3"/>
  <c r="V1608" i="3"/>
  <c r="U1609" i="3"/>
  <c r="U1610" i="3"/>
  <c r="V1610" i="3"/>
  <c r="U1611" i="3"/>
  <c r="V1611" i="3"/>
  <c r="U1612" i="3"/>
  <c r="V1612" i="3"/>
  <c r="U1613" i="3"/>
  <c r="U1614" i="3"/>
  <c r="V1614" i="3"/>
  <c r="U1615" i="3"/>
  <c r="V1615" i="3"/>
  <c r="U1616" i="3"/>
  <c r="V1616" i="3"/>
  <c r="U1617" i="3"/>
  <c r="U1618" i="3"/>
  <c r="V1618" i="3"/>
  <c r="U1619" i="3"/>
  <c r="V1619" i="3"/>
  <c r="U1620" i="3"/>
  <c r="V1620" i="3"/>
  <c r="U1621" i="3"/>
  <c r="U1622" i="3"/>
  <c r="V1622" i="3"/>
  <c r="U1623" i="3"/>
  <c r="V1623" i="3"/>
  <c r="U1624" i="3"/>
  <c r="V1624" i="3"/>
  <c r="U1625" i="3"/>
  <c r="U1626" i="3"/>
  <c r="V1626" i="3"/>
  <c r="U1627" i="3"/>
  <c r="V1627" i="3"/>
  <c r="U1628" i="3"/>
  <c r="V1628" i="3"/>
  <c r="U1629" i="3"/>
  <c r="U1630" i="3"/>
  <c r="V1630" i="3"/>
  <c r="U1631" i="3"/>
  <c r="V1631" i="3"/>
  <c r="U1632" i="3"/>
  <c r="V1632" i="3"/>
  <c r="U1633" i="3"/>
  <c r="U1634" i="3"/>
  <c r="V1634" i="3"/>
  <c r="U1635" i="3"/>
  <c r="V1635" i="3"/>
  <c r="U1636" i="3"/>
  <c r="V1636" i="3"/>
  <c r="U1637" i="3"/>
  <c r="U1638" i="3"/>
  <c r="V1638" i="3"/>
  <c r="U1639" i="3"/>
  <c r="V1639" i="3"/>
  <c r="U1640" i="3"/>
  <c r="V1640" i="3"/>
  <c r="U1641" i="3"/>
  <c r="U1642" i="3"/>
  <c r="V1642" i="3"/>
  <c r="U1643" i="3"/>
  <c r="V1643" i="3"/>
  <c r="U1644" i="3"/>
  <c r="V1644" i="3"/>
  <c r="U1645" i="3"/>
  <c r="U1646" i="3"/>
  <c r="V1646" i="3"/>
  <c r="U1647" i="3"/>
  <c r="V1647" i="3"/>
  <c r="U1648" i="3"/>
  <c r="V1648" i="3"/>
  <c r="U1649" i="3"/>
  <c r="U1650" i="3"/>
  <c r="V1650" i="3"/>
  <c r="U1651" i="3"/>
  <c r="V1651" i="3"/>
  <c r="U1652" i="3"/>
  <c r="V1652" i="3"/>
  <c r="U1653" i="3"/>
  <c r="U1654" i="3"/>
  <c r="V1654" i="3"/>
  <c r="U1655" i="3"/>
  <c r="V1655" i="3"/>
  <c r="U1656" i="3"/>
  <c r="V1656" i="3"/>
  <c r="U1657" i="3"/>
  <c r="U1658" i="3"/>
  <c r="V1658" i="3"/>
  <c r="U1659" i="3"/>
  <c r="V1659" i="3"/>
  <c r="U1660" i="3"/>
  <c r="V1660" i="3"/>
  <c r="U1661" i="3"/>
  <c r="U1662" i="3"/>
  <c r="V1662" i="3"/>
  <c r="U1663" i="3"/>
  <c r="V1663" i="3"/>
  <c r="U1664" i="3"/>
  <c r="V1664" i="3"/>
  <c r="U1665" i="3"/>
  <c r="U1666" i="3"/>
  <c r="V1666" i="3"/>
  <c r="U1667" i="3"/>
  <c r="V1667" i="3"/>
  <c r="U1668" i="3"/>
  <c r="V1668" i="3"/>
  <c r="U1669" i="3"/>
  <c r="U1670" i="3"/>
  <c r="V1670" i="3"/>
  <c r="U1671" i="3"/>
  <c r="V1671" i="3"/>
  <c r="U1672" i="3"/>
  <c r="V1672" i="3"/>
  <c r="U1673" i="3"/>
  <c r="U1674" i="3"/>
  <c r="V1674" i="3"/>
  <c r="U1675" i="3"/>
  <c r="V1675" i="3"/>
  <c r="U1676" i="3"/>
  <c r="V1676" i="3"/>
  <c r="U1677" i="3"/>
  <c r="U1678" i="3"/>
  <c r="V1678" i="3"/>
  <c r="U1679" i="3"/>
  <c r="V1679" i="3"/>
  <c r="U1680" i="3"/>
  <c r="V1680" i="3"/>
  <c r="U1681" i="3"/>
  <c r="U1682" i="3"/>
  <c r="V1682" i="3"/>
  <c r="U1683" i="3"/>
  <c r="V1683" i="3"/>
  <c r="U1684" i="3"/>
  <c r="V1684" i="3"/>
  <c r="U1685" i="3"/>
  <c r="U1686" i="3"/>
  <c r="V1686" i="3"/>
  <c r="U1687" i="3"/>
  <c r="V1687" i="3"/>
  <c r="U1688" i="3"/>
  <c r="V1688" i="3"/>
  <c r="U1689" i="3"/>
  <c r="U1690" i="3"/>
  <c r="V1690" i="3"/>
  <c r="U1691" i="3"/>
  <c r="V1691" i="3"/>
  <c r="U1692" i="3"/>
  <c r="V1692" i="3"/>
  <c r="U1693" i="3"/>
  <c r="U1694" i="3"/>
  <c r="V1694" i="3"/>
  <c r="U1695" i="3"/>
  <c r="V1695" i="3"/>
  <c r="U1696" i="3"/>
  <c r="V1696" i="3"/>
  <c r="U1697" i="3"/>
  <c r="U1698" i="3"/>
  <c r="V1698" i="3"/>
  <c r="U1699" i="3"/>
  <c r="V1699" i="3"/>
  <c r="U1700" i="3"/>
  <c r="V1700" i="3"/>
  <c r="U1701" i="3"/>
  <c r="U1702" i="3"/>
  <c r="V1702" i="3"/>
  <c r="U1703" i="3"/>
  <c r="V1703" i="3"/>
  <c r="U1704" i="3"/>
  <c r="V1704" i="3"/>
  <c r="U1705" i="3"/>
  <c r="U1706" i="3"/>
  <c r="V1706" i="3"/>
  <c r="U1707" i="3"/>
  <c r="V1707" i="3"/>
  <c r="U1708" i="3"/>
  <c r="V1708" i="3"/>
  <c r="U1709" i="3"/>
  <c r="U1710" i="3"/>
  <c r="V1710" i="3"/>
  <c r="U1711" i="3"/>
  <c r="V1711" i="3"/>
  <c r="U1712" i="3"/>
  <c r="V1712" i="3"/>
  <c r="U1713" i="3"/>
  <c r="U1714" i="3"/>
  <c r="V1714" i="3"/>
  <c r="U1715" i="3"/>
  <c r="V1715" i="3"/>
  <c r="U1716" i="3"/>
  <c r="V1716" i="3"/>
  <c r="U1717" i="3"/>
  <c r="U1718" i="3"/>
  <c r="V1718" i="3"/>
  <c r="U1719" i="3"/>
  <c r="V1719" i="3"/>
  <c r="U1720" i="3"/>
  <c r="V1720" i="3"/>
  <c r="U1721" i="3"/>
  <c r="U1722" i="3"/>
  <c r="V1722" i="3"/>
  <c r="U1723" i="3"/>
  <c r="V1723" i="3"/>
  <c r="U1724" i="3"/>
  <c r="V1724" i="3"/>
  <c r="U1725" i="3"/>
  <c r="U1726" i="3"/>
  <c r="V1726" i="3"/>
  <c r="U1727" i="3"/>
  <c r="V1727" i="3"/>
  <c r="U1728" i="3"/>
  <c r="V1728" i="3"/>
  <c r="U1729" i="3"/>
  <c r="U1730" i="3"/>
  <c r="V1730" i="3"/>
  <c r="U1731" i="3"/>
  <c r="V1731" i="3"/>
  <c r="U1732" i="3"/>
  <c r="V1732" i="3"/>
  <c r="U1733" i="3"/>
  <c r="U1734" i="3"/>
  <c r="V1734" i="3"/>
  <c r="U1735" i="3"/>
  <c r="V1735" i="3"/>
  <c r="U1736" i="3"/>
  <c r="V1736" i="3"/>
  <c r="U1737" i="3"/>
  <c r="U1738" i="3"/>
  <c r="V1738" i="3"/>
  <c r="U1739" i="3"/>
  <c r="V1739" i="3"/>
  <c r="U1740" i="3"/>
  <c r="V1740" i="3"/>
  <c r="U1741" i="3"/>
  <c r="U1742" i="3"/>
  <c r="V1742" i="3"/>
  <c r="U1743" i="3"/>
  <c r="V1743" i="3"/>
  <c r="U1744" i="3"/>
  <c r="V1744" i="3"/>
  <c r="U1745" i="3"/>
  <c r="U1746" i="3"/>
  <c r="V1746" i="3"/>
  <c r="U1747" i="3"/>
  <c r="V1747" i="3"/>
  <c r="U1748" i="3"/>
  <c r="V1748" i="3"/>
  <c r="U1749" i="3"/>
  <c r="U1750" i="3"/>
  <c r="V1750" i="3"/>
  <c r="U1751" i="3"/>
  <c r="V1751" i="3"/>
  <c r="U1752" i="3"/>
  <c r="V1752" i="3"/>
  <c r="U1753" i="3"/>
  <c r="U1754" i="3"/>
  <c r="V1754" i="3"/>
  <c r="U1755" i="3"/>
  <c r="V1755" i="3"/>
  <c r="U1756" i="3"/>
  <c r="V1756" i="3"/>
  <c r="U1757" i="3"/>
  <c r="U1758" i="3"/>
  <c r="V1758" i="3"/>
  <c r="U1759" i="3"/>
  <c r="V1759" i="3"/>
  <c r="U1760" i="3"/>
  <c r="V1760" i="3"/>
  <c r="U1761" i="3"/>
  <c r="U1762" i="3"/>
  <c r="V1762" i="3"/>
  <c r="U1763" i="3"/>
  <c r="V1763" i="3"/>
  <c r="U1764" i="3"/>
  <c r="V1764" i="3"/>
  <c r="U1765" i="3"/>
  <c r="U1766" i="3"/>
  <c r="V1766" i="3"/>
  <c r="U1767" i="3"/>
  <c r="V1767" i="3"/>
  <c r="U1768" i="3"/>
  <c r="V1768" i="3"/>
  <c r="U1769" i="3"/>
  <c r="U1770" i="3"/>
  <c r="V1770" i="3"/>
  <c r="U1771" i="3"/>
  <c r="V1771" i="3"/>
  <c r="U1772" i="3"/>
  <c r="V1772" i="3"/>
  <c r="U1773" i="3"/>
  <c r="U1774" i="3"/>
  <c r="V1774" i="3"/>
  <c r="U1775" i="3"/>
  <c r="V1775" i="3"/>
  <c r="U1776" i="3"/>
  <c r="V1776" i="3"/>
  <c r="U1777" i="3"/>
  <c r="U1778" i="3"/>
  <c r="V1778" i="3"/>
  <c r="U1779" i="3"/>
  <c r="V1779" i="3"/>
  <c r="U1780" i="3"/>
  <c r="V1780" i="3"/>
  <c r="U1781" i="3"/>
  <c r="U1782" i="3"/>
  <c r="V1782" i="3"/>
  <c r="U1783" i="3"/>
  <c r="V1783" i="3"/>
  <c r="U1784" i="3"/>
  <c r="V1784" i="3"/>
  <c r="U1785" i="3"/>
  <c r="U1786" i="3"/>
  <c r="V1786" i="3"/>
  <c r="U1787" i="3"/>
  <c r="V1787" i="3"/>
  <c r="U1788" i="3"/>
  <c r="V1788" i="3"/>
  <c r="U1789" i="3"/>
  <c r="U1790" i="3"/>
  <c r="V1790" i="3"/>
  <c r="U1791" i="3"/>
  <c r="V1791" i="3"/>
  <c r="U1792" i="3"/>
  <c r="V1792" i="3"/>
  <c r="U1793" i="3"/>
  <c r="U1794" i="3"/>
  <c r="V1794" i="3"/>
  <c r="U1795" i="3"/>
  <c r="V1795" i="3"/>
  <c r="U1796" i="3"/>
  <c r="V1796" i="3"/>
  <c r="U1797" i="3"/>
  <c r="U1798" i="3"/>
  <c r="V1798" i="3"/>
  <c r="U1799" i="3"/>
  <c r="V1799" i="3"/>
  <c r="U1800" i="3"/>
  <c r="V1800" i="3"/>
  <c r="U1801" i="3"/>
  <c r="U1802" i="3"/>
  <c r="V1802" i="3"/>
  <c r="U1803" i="3"/>
  <c r="V1803" i="3"/>
  <c r="U1804" i="3"/>
  <c r="V1804" i="3"/>
  <c r="U1805" i="3"/>
  <c r="U1806" i="3"/>
  <c r="V1806" i="3"/>
  <c r="U1807" i="3"/>
  <c r="V1807" i="3"/>
  <c r="U1808" i="3"/>
  <c r="V1808" i="3"/>
  <c r="U1809" i="3"/>
  <c r="U1810" i="3"/>
  <c r="V1810" i="3"/>
  <c r="U1811" i="3"/>
  <c r="V1811" i="3"/>
  <c r="U1812" i="3"/>
  <c r="V1812" i="3"/>
  <c r="U1813" i="3"/>
  <c r="U1814" i="3"/>
  <c r="V1814" i="3"/>
  <c r="U1815" i="3"/>
  <c r="V1815" i="3"/>
  <c r="U1816" i="3"/>
  <c r="V1816" i="3"/>
  <c r="U1817" i="3"/>
  <c r="U1818" i="3"/>
  <c r="V1818" i="3"/>
  <c r="U1819" i="3"/>
  <c r="V1819" i="3"/>
  <c r="U1820" i="3"/>
  <c r="V1820" i="3"/>
  <c r="U1821" i="3"/>
  <c r="U1822" i="3"/>
  <c r="V1822" i="3"/>
  <c r="U1823" i="3"/>
  <c r="V1823" i="3"/>
  <c r="U1824" i="3"/>
  <c r="V1824" i="3"/>
  <c r="U1825" i="3"/>
  <c r="U1826" i="3"/>
  <c r="V1826" i="3"/>
  <c r="U1827" i="3"/>
  <c r="V1827" i="3"/>
  <c r="U1828" i="3"/>
  <c r="V1828" i="3"/>
  <c r="U1829" i="3"/>
  <c r="U1830" i="3"/>
  <c r="V1830" i="3"/>
  <c r="U1831" i="3"/>
  <c r="V1831" i="3"/>
  <c r="U1832" i="3"/>
  <c r="V1832" i="3"/>
  <c r="U1833" i="3"/>
  <c r="U1834" i="3"/>
  <c r="V1834" i="3"/>
  <c r="U1835" i="3"/>
  <c r="V1835" i="3"/>
  <c r="U1836" i="3"/>
  <c r="V1836" i="3"/>
  <c r="U1837" i="3"/>
  <c r="U1838" i="3"/>
  <c r="V1838" i="3"/>
  <c r="U1839" i="3"/>
  <c r="V1839" i="3"/>
  <c r="U1840" i="3"/>
  <c r="V1840" i="3"/>
  <c r="U1841" i="3"/>
  <c r="U1842" i="3"/>
  <c r="V1842" i="3"/>
  <c r="U1843" i="3"/>
  <c r="V1843" i="3"/>
  <c r="U1844" i="3"/>
  <c r="V1844" i="3"/>
  <c r="U1845" i="3"/>
  <c r="U1846" i="3"/>
  <c r="V1846" i="3"/>
  <c r="U1847" i="3"/>
  <c r="V1847" i="3"/>
  <c r="U1848" i="3"/>
  <c r="V1848" i="3"/>
  <c r="U1849" i="3"/>
  <c r="U1850" i="3"/>
  <c r="V1850" i="3"/>
  <c r="U1851" i="3"/>
  <c r="V1851" i="3"/>
  <c r="U1852" i="3"/>
  <c r="V1852" i="3"/>
  <c r="U1853" i="3"/>
  <c r="U1854" i="3"/>
  <c r="V1854" i="3"/>
  <c r="U1855" i="3"/>
  <c r="V1855" i="3"/>
  <c r="U1856" i="3"/>
  <c r="V1856" i="3"/>
  <c r="U1857" i="3"/>
  <c r="U1858" i="3"/>
  <c r="V1858" i="3"/>
  <c r="U1859" i="3"/>
  <c r="V1859" i="3"/>
  <c r="U1860" i="3"/>
  <c r="V1860" i="3"/>
  <c r="U1861" i="3"/>
  <c r="U1862" i="3"/>
  <c r="V1862" i="3"/>
  <c r="U1863" i="3"/>
  <c r="V1863" i="3"/>
  <c r="U1864" i="3"/>
  <c r="V1864" i="3"/>
  <c r="U1865" i="3"/>
  <c r="U1866" i="3"/>
  <c r="V1866" i="3"/>
  <c r="U1867" i="3"/>
  <c r="V1867" i="3"/>
  <c r="U1868" i="3"/>
  <c r="V1868" i="3"/>
  <c r="U1869" i="3"/>
  <c r="U1870" i="3"/>
  <c r="V1870" i="3"/>
  <c r="U1871" i="3"/>
  <c r="V1871" i="3"/>
  <c r="U1872" i="3"/>
  <c r="V1872" i="3"/>
  <c r="U1873" i="3"/>
  <c r="U1874" i="3"/>
  <c r="V1874" i="3"/>
  <c r="U1875" i="3"/>
  <c r="V1875" i="3"/>
  <c r="U1876" i="3"/>
  <c r="V1876" i="3"/>
  <c r="U1877" i="3"/>
  <c r="U1878" i="3"/>
  <c r="V1878" i="3"/>
  <c r="U1879" i="3"/>
  <c r="V1879" i="3"/>
  <c r="U1880" i="3"/>
  <c r="V1880" i="3"/>
  <c r="U1881" i="3"/>
  <c r="U1882" i="3"/>
  <c r="V1882" i="3"/>
  <c r="U1883" i="3"/>
  <c r="V1883" i="3"/>
  <c r="U1884" i="3"/>
  <c r="V1884" i="3"/>
  <c r="U1885" i="3"/>
  <c r="U1886" i="3"/>
  <c r="V1886" i="3"/>
  <c r="U1887" i="3"/>
  <c r="V1887" i="3"/>
  <c r="U1888" i="3"/>
  <c r="V1888" i="3"/>
  <c r="U1889" i="3"/>
  <c r="U1890" i="3"/>
  <c r="V1890" i="3"/>
  <c r="U1891" i="3"/>
  <c r="V1891" i="3"/>
  <c r="U1892" i="3"/>
  <c r="V1892" i="3"/>
  <c r="U1893" i="3"/>
  <c r="U1894" i="3"/>
  <c r="V1894" i="3"/>
  <c r="U1895" i="3"/>
  <c r="V1895" i="3"/>
  <c r="U1896" i="3"/>
  <c r="V1896" i="3"/>
  <c r="U1897" i="3"/>
  <c r="U1898" i="3"/>
  <c r="V1898" i="3"/>
  <c r="U1899" i="3"/>
  <c r="V1899" i="3"/>
  <c r="U1900" i="3"/>
  <c r="V1900" i="3"/>
  <c r="U1901" i="3"/>
  <c r="U1902" i="3"/>
  <c r="V1902" i="3"/>
  <c r="U1903" i="3"/>
  <c r="V1903" i="3"/>
  <c r="U1904" i="3"/>
  <c r="V1904" i="3"/>
  <c r="U1905" i="3"/>
  <c r="U1906" i="3"/>
  <c r="V1906" i="3"/>
  <c r="U1907" i="3"/>
  <c r="V1907" i="3"/>
  <c r="U1908" i="3"/>
  <c r="V1908" i="3"/>
  <c r="U1909" i="3"/>
  <c r="U1910" i="3"/>
  <c r="V1910" i="3"/>
  <c r="U1911" i="3"/>
  <c r="V1911" i="3"/>
  <c r="U1912" i="3"/>
  <c r="V1912" i="3"/>
  <c r="U1913" i="3"/>
  <c r="U1914" i="3"/>
  <c r="V1914" i="3"/>
  <c r="U1915" i="3"/>
  <c r="V1915" i="3"/>
  <c r="U1916" i="3"/>
  <c r="V1916" i="3"/>
  <c r="U1917" i="3"/>
  <c r="U1918" i="3"/>
  <c r="V1918" i="3"/>
  <c r="U1919" i="3"/>
  <c r="V1919" i="3"/>
  <c r="U1920" i="3"/>
  <c r="V1920" i="3"/>
  <c r="U1921" i="3"/>
  <c r="U1922" i="3"/>
  <c r="V1922" i="3"/>
  <c r="U1923" i="3"/>
  <c r="V1923" i="3"/>
  <c r="U1924" i="3"/>
  <c r="V1924" i="3"/>
  <c r="U1925" i="3"/>
  <c r="U1926" i="3"/>
  <c r="V1926" i="3"/>
  <c r="U1927" i="3"/>
  <c r="V1927" i="3"/>
  <c r="U1928" i="3"/>
  <c r="V1928" i="3"/>
  <c r="U1929" i="3"/>
  <c r="U1930" i="3"/>
  <c r="V1930" i="3"/>
  <c r="U1931" i="3"/>
  <c r="V1931" i="3"/>
  <c r="U1932" i="3"/>
  <c r="V1932" i="3"/>
  <c r="U1933" i="3"/>
  <c r="U1934" i="3"/>
  <c r="V1934" i="3"/>
  <c r="U1935" i="3"/>
  <c r="V1935" i="3"/>
  <c r="U1936" i="3"/>
  <c r="V1936" i="3"/>
  <c r="U1937" i="3"/>
  <c r="U1938" i="3"/>
  <c r="V1938" i="3"/>
  <c r="U1939" i="3"/>
  <c r="V1939" i="3"/>
  <c r="U1940" i="3"/>
  <c r="V1940" i="3"/>
  <c r="U1941" i="3"/>
  <c r="U1942" i="3"/>
  <c r="V1942" i="3"/>
  <c r="U1943" i="3"/>
  <c r="V1943" i="3"/>
  <c r="U1944" i="3"/>
  <c r="V1944" i="3"/>
  <c r="U1945" i="3"/>
  <c r="U1946" i="3"/>
  <c r="V1946" i="3"/>
  <c r="U1947" i="3"/>
  <c r="V1947" i="3"/>
  <c r="U1948" i="3"/>
  <c r="V1948" i="3"/>
  <c r="U1949" i="3"/>
  <c r="U1950" i="3"/>
  <c r="V1950" i="3"/>
  <c r="U1951" i="3"/>
  <c r="V1951" i="3"/>
  <c r="U1952" i="3"/>
  <c r="V1952" i="3"/>
  <c r="U1953" i="3"/>
  <c r="U1954" i="3"/>
  <c r="V1954" i="3"/>
  <c r="U1955" i="3"/>
  <c r="V1955" i="3"/>
  <c r="U1956" i="3"/>
  <c r="V1956" i="3"/>
  <c r="U1957" i="3"/>
  <c r="U1958" i="3"/>
  <c r="V1958" i="3"/>
  <c r="U1959" i="3"/>
  <c r="V1959" i="3"/>
  <c r="U1960" i="3"/>
  <c r="V1960" i="3"/>
  <c r="U1961" i="3"/>
  <c r="U1962" i="3"/>
  <c r="V1962" i="3"/>
  <c r="U1963" i="3"/>
  <c r="V1963" i="3"/>
  <c r="U1964" i="3"/>
  <c r="V1964" i="3"/>
  <c r="U1965" i="3"/>
  <c r="U1966" i="3"/>
  <c r="V1966" i="3"/>
  <c r="U1967" i="3"/>
  <c r="V1967" i="3"/>
  <c r="U1968" i="3"/>
  <c r="V1968" i="3"/>
  <c r="U1969" i="3"/>
  <c r="U1970" i="3"/>
  <c r="V1970" i="3"/>
  <c r="U1971" i="3"/>
  <c r="V1971" i="3"/>
  <c r="U1972" i="3"/>
  <c r="V1972" i="3"/>
  <c r="U1973" i="3"/>
  <c r="U1974" i="3"/>
  <c r="V1974" i="3"/>
  <c r="U1975" i="3"/>
  <c r="V1975" i="3"/>
  <c r="U1976" i="3"/>
  <c r="V1976" i="3"/>
  <c r="U1977" i="3"/>
  <c r="U1978" i="3"/>
  <c r="V1978" i="3"/>
  <c r="U1979" i="3"/>
  <c r="V1979" i="3"/>
  <c r="U1980" i="3"/>
  <c r="V1980" i="3"/>
  <c r="U1981" i="3"/>
  <c r="U1982" i="3"/>
  <c r="V1982" i="3"/>
  <c r="U1983" i="3"/>
  <c r="V1983" i="3"/>
  <c r="U1984" i="3"/>
  <c r="V1984" i="3"/>
  <c r="U1985" i="3"/>
  <c r="U1986" i="3"/>
  <c r="V1986" i="3"/>
  <c r="U1987" i="3"/>
  <c r="V1987" i="3"/>
  <c r="U1988" i="3"/>
  <c r="V1988" i="3"/>
  <c r="U1989" i="3"/>
  <c r="U1990" i="3"/>
  <c r="V1990" i="3"/>
  <c r="U1991" i="3"/>
  <c r="V1991" i="3"/>
  <c r="U1992" i="3"/>
  <c r="V1992" i="3"/>
  <c r="U1993" i="3"/>
  <c r="U1994" i="3"/>
  <c r="V1994" i="3"/>
  <c r="U1995" i="3"/>
  <c r="V1995" i="3"/>
  <c r="U1996" i="3"/>
  <c r="V1996" i="3"/>
  <c r="U1997" i="3"/>
  <c r="U1998" i="3"/>
  <c r="V1998" i="3"/>
  <c r="U1999" i="3"/>
  <c r="V1999" i="3"/>
  <c r="U2000" i="3"/>
  <c r="V2000" i="3"/>
  <c r="U2001" i="3"/>
  <c r="U2002" i="3"/>
  <c r="V2002" i="3"/>
  <c r="U2003" i="3"/>
  <c r="V2003" i="3"/>
  <c r="U2004" i="3"/>
  <c r="V2004" i="3"/>
  <c r="U2005" i="3"/>
  <c r="U2006" i="3"/>
  <c r="V2006" i="3"/>
  <c r="U2007" i="3"/>
  <c r="V2007" i="3"/>
  <c r="U2008" i="3"/>
  <c r="V2008" i="3"/>
  <c r="U2009" i="3"/>
  <c r="U2010" i="3"/>
  <c r="V2010" i="3"/>
  <c r="U2011" i="3"/>
  <c r="V2011" i="3"/>
  <c r="U2012" i="3"/>
  <c r="V2012" i="3"/>
  <c r="U2013" i="3"/>
  <c r="U2014" i="3"/>
  <c r="V2014" i="3"/>
  <c r="U2015" i="3"/>
  <c r="V2015" i="3"/>
  <c r="U2016" i="3"/>
  <c r="V2016" i="3"/>
  <c r="U2017" i="3"/>
  <c r="U2018" i="3"/>
  <c r="V2018" i="3"/>
  <c r="U2019" i="3"/>
  <c r="V2019" i="3"/>
  <c r="U2020" i="3"/>
  <c r="V2020" i="3"/>
  <c r="U2021" i="3"/>
  <c r="U2022" i="3"/>
  <c r="V2022" i="3"/>
  <c r="U2023" i="3"/>
  <c r="V2023" i="3"/>
  <c r="U2024" i="3"/>
  <c r="V2024" i="3"/>
  <c r="U2025" i="3"/>
  <c r="U2026" i="3"/>
  <c r="V2026" i="3"/>
  <c r="U2027" i="3"/>
  <c r="V2027" i="3"/>
  <c r="U2028" i="3"/>
  <c r="V2028" i="3"/>
  <c r="U2029" i="3"/>
  <c r="U2030" i="3"/>
  <c r="V2030" i="3"/>
  <c r="U2031" i="3"/>
  <c r="V2031" i="3"/>
  <c r="U2032" i="3"/>
  <c r="V2032" i="3"/>
  <c r="U2033" i="3"/>
  <c r="U2034" i="3"/>
  <c r="V2034" i="3"/>
  <c r="U2035" i="3"/>
  <c r="V2035" i="3"/>
  <c r="U2036" i="3"/>
  <c r="V2036" i="3"/>
  <c r="U2037" i="3"/>
  <c r="U2038" i="3"/>
  <c r="V2038" i="3"/>
  <c r="U2039" i="3"/>
  <c r="V2039" i="3"/>
  <c r="U2040" i="3"/>
  <c r="V2040" i="3"/>
  <c r="U2041" i="3"/>
  <c r="U2042" i="3"/>
  <c r="V2042" i="3"/>
  <c r="U2043" i="3"/>
  <c r="V2043" i="3"/>
  <c r="U2044" i="3"/>
  <c r="V2044" i="3"/>
  <c r="U2045" i="3"/>
  <c r="U2046" i="3"/>
  <c r="V2046" i="3"/>
  <c r="U2047" i="3"/>
  <c r="V2047" i="3"/>
  <c r="U2048" i="3"/>
  <c r="V2048" i="3"/>
  <c r="U2049" i="3"/>
  <c r="U2050" i="3"/>
  <c r="V2050" i="3"/>
  <c r="U2051" i="3"/>
  <c r="V2051" i="3"/>
  <c r="U2052" i="3"/>
  <c r="V2052" i="3"/>
  <c r="U2053" i="3"/>
  <c r="U2054" i="3"/>
  <c r="V2054" i="3"/>
  <c r="U2055" i="3"/>
  <c r="V2055" i="3"/>
  <c r="U2056" i="3"/>
  <c r="V2056" i="3"/>
  <c r="U2057" i="3"/>
  <c r="U2058" i="3"/>
  <c r="V2058" i="3"/>
  <c r="U2059" i="3"/>
  <c r="V2059" i="3"/>
  <c r="U2060" i="3"/>
  <c r="V2060" i="3"/>
  <c r="U2061" i="3"/>
  <c r="U2062" i="3"/>
  <c r="V2062" i="3"/>
  <c r="U2063" i="3"/>
  <c r="V2063" i="3"/>
  <c r="U2064" i="3"/>
  <c r="V2064" i="3"/>
  <c r="U2065" i="3"/>
  <c r="U2066" i="3"/>
  <c r="V2066" i="3"/>
  <c r="U2067" i="3"/>
  <c r="V2067" i="3"/>
  <c r="U2068" i="3"/>
  <c r="V2068" i="3"/>
  <c r="U2069" i="3"/>
  <c r="U2070" i="3"/>
  <c r="V2070" i="3"/>
  <c r="U2071" i="3"/>
  <c r="V2071" i="3"/>
  <c r="U2072" i="3"/>
  <c r="V2072" i="3"/>
  <c r="U2073" i="3"/>
  <c r="U2074" i="3"/>
  <c r="V2074" i="3"/>
  <c r="U2075" i="3"/>
  <c r="V2075" i="3"/>
  <c r="U2076" i="3"/>
  <c r="V2076" i="3"/>
  <c r="U2077" i="3"/>
  <c r="U2078" i="3"/>
  <c r="V2078" i="3"/>
  <c r="U2079" i="3"/>
  <c r="V2079" i="3"/>
  <c r="U2080" i="3"/>
  <c r="V2080" i="3"/>
  <c r="U2081" i="3"/>
  <c r="U2082" i="3"/>
  <c r="V2082" i="3"/>
  <c r="U2083" i="3"/>
  <c r="V2083" i="3"/>
  <c r="U2084" i="3"/>
  <c r="V2084" i="3"/>
  <c r="U2085" i="3"/>
  <c r="U2086" i="3"/>
  <c r="V2086" i="3"/>
  <c r="U2087" i="3"/>
  <c r="V2087" i="3"/>
  <c r="U2088" i="3"/>
  <c r="V2088" i="3"/>
  <c r="U2089" i="3"/>
  <c r="U2090" i="3"/>
  <c r="V2090" i="3"/>
  <c r="U2091" i="3"/>
  <c r="V2091" i="3"/>
  <c r="U2092" i="3"/>
  <c r="V2092" i="3"/>
  <c r="U2093" i="3"/>
  <c r="U2094" i="3"/>
  <c r="V2094" i="3"/>
  <c r="U2095" i="3"/>
  <c r="V2095" i="3"/>
  <c r="U2096" i="3"/>
  <c r="V2096" i="3"/>
  <c r="U2097" i="3"/>
  <c r="U2098" i="3"/>
  <c r="V2098" i="3"/>
  <c r="U2099" i="3"/>
  <c r="V2099" i="3"/>
  <c r="U2100" i="3"/>
  <c r="V2100" i="3"/>
  <c r="U2101" i="3"/>
  <c r="U2102" i="3"/>
  <c r="V2102" i="3"/>
  <c r="U2103" i="3"/>
  <c r="V2103" i="3"/>
  <c r="U2104" i="3"/>
  <c r="V2104" i="3"/>
  <c r="U2105" i="3"/>
  <c r="U2106" i="3"/>
  <c r="V2106" i="3"/>
  <c r="U2107" i="3"/>
  <c r="V2107" i="3"/>
  <c r="U2108" i="3"/>
  <c r="V2108" i="3"/>
  <c r="U2109" i="3"/>
  <c r="U2110" i="3"/>
  <c r="V2110" i="3"/>
  <c r="U2111" i="3"/>
  <c r="V2111" i="3"/>
  <c r="U2112" i="3"/>
  <c r="V2112" i="3"/>
  <c r="U2113" i="3"/>
  <c r="U2114" i="3"/>
  <c r="V2114" i="3"/>
  <c r="U2115" i="3"/>
  <c r="V2115" i="3"/>
  <c r="U2116" i="3"/>
  <c r="V2116" i="3"/>
  <c r="U2117" i="3"/>
  <c r="U2118" i="3"/>
  <c r="V2118" i="3"/>
  <c r="U2119" i="3"/>
  <c r="V2119" i="3"/>
  <c r="U2120" i="3"/>
  <c r="V2120" i="3"/>
  <c r="U2121" i="3"/>
  <c r="U2122" i="3"/>
  <c r="V2122" i="3"/>
  <c r="U2123" i="3"/>
  <c r="V2123" i="3"/>
  <c r="U2124" i="3"/>
  <c r="V2124" i="3"/>
  <c r="U2125" i="3"/>
  <c r="U2126" i="3"/>
  <c r="V2126" i="3"/>
  <c r="U2127" i="3"/>
  <c r="V2127" i="3"/>
  <c r="U2128" i="3"/>
  <c r="V2128" i="3"/>
  <c r="U2129" i="3"/>
  <c r="U2130" i="3"/>
  <c r="V2130" i="3"/>
  <c r="U2131" i="3"/>
  <c r="V2131" i="3"/>
  <c r="U2132" i="3"/>
  <c r="V2132" i="3"/>
  <c r="U2133" i="3"/>
  <c r="U2134" i="3"/>
  <c r="V2134" i="3"/>
  <c r="U2135" i="3"/>
  <c r="V2135" i="3"/>
  <c r="U2136" i="3"/>
  <c r="V2136" i="3"/>
  <c r="U2137" i="3"/>
  <c r="U2138" i="3"/>
  <c r="V2138" i="3"/>
  <c r="U2139" i="3"/>
  <c r="V2139" i="3"/>
  <c r="U2140" i="3"/>
  <c r="V2140" i="3"/>
  <c r="U2141" i="3"/>
  <c r="U2142" i="3"/>
  <c r="V2142" i="3"/>
  <c r="U2143" i="3"/>
  <c r="V2143" i="3"/>
  <c r="U2144" i="3"/>
  <c r="V2144" i="3"/>
  <c r="U2145" i="3"/>
  <c r="U2146" i="3"/>
  <c r="V2146" i="3"/>
  <c r="U2147" i="3"/>
  <c r="V2147" i="3"/>
  <c r="U2148" i="3"/>
  <c r="V2148" i="3"/>
  <c r="U2149" i="3"/>
  <c r="U2150" i="3"/>
  <c r="V2150" i="3"/>
  <c r="U2151" i="3"/>
  <c r="V2151" i="3"/>
  <c r="U2152" i="3"/>
  <c r="V2152" i="3"/>
  <c r="U2153" i="3"/>
  <c r="U2154" i="3"/>
  <c r="V2154" i="3"/>
  <c r="U2155" i="3"/>
  <c r="V2155" i="3"/>
  <c r="U2156" i="3"/>
  <c r="V2156" i="3"/>
  <c r="U2157" i="3"/>
  <c r="U2158" i="3"/>
  <c r="V2158" i="3"/>
  <c r="U2159" i="3"/>
  <c r="V2159" i="3"/>
  <c r="U2160" i="3"/>
  <c r="V2160" i="3"/>
  <c r="U2161" i="3"/>
  <c r="U2162" i="3"/>
  <c r="V2162" i="3"/>
  <c r="U2163" i="3"/>
  <c r="V2163" i="3"/>
  <c r="U2164" i="3"/>
  <c r="V2164" i="3"/>
  <c r="U2165" i="3"/>
  <c r="U2166" i="3"/>
  <c r="V2166" i="3"/>
  <c r="U2167" i="3"/>
  <c r="V2167" i="3"/>
  <c r="U2168" i="3"/>
  <c r="V2168" i="3"/>
  <c r="U2169" i="3"/>
  <c r="U2170" i="3"/>
  <c r="V2170" i="3"/>
  <c r="U2171" i="3"/>
  <c r="V2171" i="3"/>
  <c r="U2172" i="3"/>
  <c r="V2172" i="3"/>
  <c r="U2173" i="3"/>
  <c r="U2174" i="3"/>
  <c r="V2174" i="3"/>
  <c r="U2175" i="3"/>
  <c r="V2175" i="3"/>
  <c r="U2176" i="3"/>
  <c r="V2176" i="3"/>
  <c r="U2177" i="3"/>
  <c r="U2178" i="3"/>
  <c r="V2178" i="3"/>
  <c r="U2179" i="3"/>
  <c r="V2179" i="3"/>
  <c r="U2180" i="3"/>
  <c r="V2180" i="3"/>
  <c r="U2181" i="3"/>
  <c r="U2182" i="3"/>
  <c r="V2182" i="3"/>
  <c r="U2183" i="3"/>
  <c r="V2183" i="3"/>
  <c r="U2184" i="3"/>
  <c r="V2184" i="3"/>
  <c r="U2185" i="3"/>
  <c r="U2186" i="3"/>
  <c r="V2186" i="3"/>
  <c r="U2187" i="3"/>
  <c r="V2187" i="3"/>
  <c r="U2188" i="3"/>
  <c r="V2188" i="3"/>
  <c r="U2189" i="3"/>
  <c r="U2190" i="3"/>
  <c r="V2190" i="3"/>
  <c r="U2191" i="3"/>
  <c r="V2191" i="3"/>
  <c r="U2192" i="3"/>
  <c r="V2192" i="3"/>
  <c r="U2193" i="3"/>
  <c r="U2194" i="3"/>
  <c r="V2194" i="3"/>
  <c r="U2195" i="3"/>
  <c r="V2195" i="3"/>
  <c r="U2196" i="3"/>
  <c r="V2196" i="3"/>
  <c r="U2197" i="3"/>
  <c r="U2198" i="3"/>
  <c r="V2198" i="3"/>
  <c r="U2199" i="3"/>
  <c r="V2199" i="3"/>
  <c r="U2200" i="3"/>
  <c r="V2200" i="3"/>
  <c r="U2201" i="3"/>
  <c r="U2202" i="3"/>
  <c r="V2202" i="3"/>
  <c r="U2203" i="3"/>
  <c r="V2203" i="3"/>
  <c r="U2204" i="3"/>
  <c r="V2204" i="3"/>
  <c r="U2205" i="3"/>
  <c r="U2206" i="3"/>
  <c r="V2206" i="3"/>
  <c r="U2207" i="3"/>
  <c r="V2207" i="3"/>
  <c r="U2208" i="3"/>
  <c r="V2208" i="3"/>
  <c r="U2209" i="3"/>
  <c r="U2210" i="3"/>
  <c r="V2210" i="3"/>
  <c r="U2211" i="3"/>
  <c r="V2211" i="3"/>
  <c r="U2212" i="3"/>
  <c r="V2212" i="3"/>
  <c r="U2213" i="3"/>
  <c r="U2214" i="3"/>
  <c r="V2214" i="3"/>
  <c r="U2215" i="3"/>
  <c r="V2215" i="3"/>
  <c r="U2216" i="3"/>
  <c r="V2216" i="3"/>
  <c r="U2217" i="3"/>
  <c r="U2218" i="3"/>
  <c r="V2218" i="3"/>
  <c r="U2219" i="3"/>
  <c r="V2219" i="3"/>
  <c r="U2220" i="3"/>
  <c r="V2220" i="3"/>
  <c r="U2221" i="3"/>
  <c r="U2222" i="3"/>
  <c r="V2222" i="3"/>
  <c r="U2223" i="3"/>
  <c r="V2223" i="3"/>
  <c r="U2224" i="3"/>
  <c r="V2224" i="3"/>
  <c r="U2225" i="3"/>
  <c r="U2226" i="3"/>
  <c r="V2226" i="3"/>
  <c r="U2227" i="3"/>
  <c r="V2227" i="3"/>
  <c r="U2228" i="3"/>
  <c r="V2228" i="3"/>
  <c r="U2229" i="3"/>
  <c r="U2230" i="3"/>
  <c r="V2230" i="3"/>
  <c r="U2231" i="3"/>
  <c r="V2231" i="3"/>
  <c r="U2232" i="3"/>
  <c r="V2232" i="3"/>
  <c r="U2233" i="3"/>
  <c r="U2234" i="3"/>
  <c r="V2234" i="3"/>
  <c r="U2235" i="3"/>
  <c r="V2235" i="3"/>
  <c r="U2236" i="3"/>
  <c r="V2236" i="3"/>
  <c r="U2237" i="3"/>
  <c r="U2238" i="3"/>
  <c r="V2238" i="3"/>
  <c r="U2239" i="3"/>
  <c r="V2239" i="3"/>
  <c r="U2240" i="3"/>
  <c r="V2240" i="3"/>
  <c r="U2241" i="3"/>
  <c r="U2242" i="3"/>
  <c r="V2242" i="3"/>
  <c r="U2243" i="3"/>
  <c r="V2243" i="3"/>
  <c r="U2244" i="3"/>
  <c r="V2244" i="3"/>
  <c r="U2245" i="3"/>
  <c r="U2246" i="3"/>
  <c r="V2246" i="3"/>
  <c r="U2247" i="3"/>
  <c r="V2247" i="3"/>
  <c r="U2248" i="3"/>
  <c r="V2248" i="3"/>
  <c r="U2249" i="3"/>
  <c r="U2250" i="3"/>
  <c r="V2250" i="3"/>
  <c r="U2251" i="3"/>
  <c r="V2251" i="3"/>
  <c r="U2252" i="3"/>
  <c r="V2252" i="3"/>
  <c r="U2253" i="3"/>
  <c r="U2254" i="3"/>
  <c r="V2254" i="3"/>
  <c r="U2255" i="3"/>
  <c r="V2255" i="3"/>
  <c r="U2256" i="3"/>
  <c r="V2256" i="3"/>
  <c r="U2257" i="3"/>
  <c r="U2258" i="3"/>
  <c r="V2258" i="3"/>
  <c r="U2259" i="3"/>
  <c r="V2259" i="3"/>
  <c r="U2260" i="3"/>
  <c r="V2260" i="3"/>
  <c r="U2261" i="3"/>
  <c r="U2262" i="3"/>
  <c r="V2262" i="3"/>
  <c r="U2263" i="3"/>
  <c r="V2263" i="3"/>
  <c r="U2264" i="3"/>
  <c r="V2264" i="3"/>
  <c r="U2265" i="3"/>
  <c r="U2266" i="3"/>
  <c r="V2266" i="3"/>
  <c r="U2267" i="3"/>
  <c r="V2267" i="3"/>
  <c r="U2268" i="3"/>
  <c r="V2268" i="3"/>
  <c r="U2269" i="3"/>
  <c r="U2270" i="3"/>
  <c r="V2270" i="3"/>
  <c r="U2271" i="3"/>
  <c r="V2271" i="3"/>
  <c r="U2272" i="3"/>
  <c r="V2272" i="3"/>
  <c r="U2273" i="3"/>
  <c r="U2274" i="3"/>
  <c r="V2274" i="3"/>
  <c r="U2275" i="3"/>
  <c r="V2275" i="3"/>
  <c r="U2276" i="3"/>
  <c r="V2276" i="3"/>
  <c r="U2277" i="3"/>
  <c r="U2278" i="3"/>
  <c r="V2278" i="3"/>
  <c r="U2279" i="3"/>
  <c r="V2279" i="3"/>
  <c r="U2280" i="3"/>
  <c r="V2280" i="3"/>
  <c r="U2281" i="3"/>
  <c r="U2282" i="3"/>
  <c r="V2282" i="3"/>
  <c r="U2283" i="3"/>
  <c r="V2283" i="3"/>
  <c r="U2284" i="3"/>
  <c r="V2284" i="3"/>
  <c r="U2285" i="3"/>
  <c r="U2286" i="3"/>
  <c r="V2286" i="3"/>
  <c r="U2287" i="3"/>
  <c r="V2287" i="3"/>
  <c r="U2288" i="3"/>
  <c r="V2288" i="3"/>
  <c r="U2289" i="3"/>
  <c r="U2290" i="3"/>
  <c r="V2290" i="3"/>
  <c r="U2291" i="3"/>
  <c r="V2291" i="3"/>
  <c r="U2292" i="3"/>
  <c r="V2292" i="3"/>
  <c r="U2293" i="3"/>
  <c r="U2294" i="3"/>
  <c r="V2294" i="3"/>
  <c r="U2295" i="3"/>
  <c r="V2295" i="3"/>
  <c r="U2296" i="3"/>
  <c r="V2296" i="3"/>
  <c r="U2297" i="3"/>
  <c r="U2298" i="3"/>
  <c r="V2298" i="3"/>
  <c r="U2299" i="3"/>
  <c r="V2299" i="3"/>
  <c r="U2300" i="3"/>
  <c r="V2300" i="3"/>
  <c r="U2301" i="3"/>
  <c r="U2302" i="3"/>
  <c r="V2302" i="3"/>
  <c r="U2303" i="3"/>
  <c r="V2303" i="3"/>
  <c r="U2304" i="3"/>
  <c r="V2304" i="3"/>
  <c r="U2305" i="3"/>
  <c r="U2306" i="3"/>
  <c r="V2306" i="3"/>
  <c r="U2307" i="3"/>
  <c r="V2307" i="3"/>
  <c r="U2308" i="3"/>
  <c r="V2308" i="3"/>
  <c r="U2309" i="3"/>
  <c r="U2310" i="3"/>
  <c r="V2310" i="3"/>
  <c r="U2311" i="3"/>
  <c r="V2311" i="3"/>
  <c r="U2312" i="3"/>
  <c r="V2312" i="3"/>
  <c r="U2313" i="3"/>
  <c r="U2314" i="3"/>
  <c r="V2314" i="3"/>
  <c r="U2315" i="3"/>
  <c r="V2315" i="3"/>
  <c r="U2316" i="3"/>
  <c r="V2316" i="3"/>
  <c r="U2317" i="3"/>
  <c r="U2318" i="3"/>
  <c r="V2318" i="3"/>
  <c r="U2319" i="3"/>
  <c r="V2319" i="3"/>
  <c r="U2320" i="3"/>
  <c r="V2320" i="3"/>
  <c r="U2321" i="3"/>
  <c r="U2322" i="3"/>
  <c r="V2322" i="3"/>
  <c r="U2323" i="3"/>
  <c r="V2323" i="3"/>
  <c r="U2324" i="3"/>
  <c r="V2324" i="3"/>
  <c r="U2325" i="3"/>
  <c r="U2326" i="3"/>
  <c r="V2326" i="3"/>
  <c r="U2327" i="3"/>
  <c r="V2327" i="3"/>
  <c r="U2328" i="3"/>
  <c r="V2328" i="3"/>
  <c r="U2329" i="3"/>
  <c r="U2330" i="3"/>
  <c r="V2330" i="3"/>
  <c r="U2331" i="3"/>
  <c r="V2331" i="3"/>
  <c r="U2332" i="3"/>
  <c r="V2332" i="3"/>
  <c r="U2333" i="3"/>
  <c r="U2334" i="3"/>
  <c r="V2334" i="3"/>
  <c r="U2335" i="3"/>
  <c r="V2335" i="3"/>
  <c r="U2336" i="3"/>
  <c r="V2336" i="3"/>
  <c r="U2337" i="3"/>
  <c r="U2338" i="3"/>
  <c r="V2338" i="3"/>
  <c r="U2339" i="3"/>
  <c r="V2339" i="3"/>
  <c r="U2340" i="3"/>
  <c r="V2340" i="3"/>
  <c r="U2341" i="3"/>
  <c r="U2342" i="3"/>
  <c r="V2342" i="3"/>
  <c r="U2343" i="3"/>
  <c r="V2343" i="3"/>
  <c r="U2344" i="3"/>
  <c r="V2344" i="3"/>
  <c r="U2345" i="3"/>
  <c r="U2346" i="3"/>
  <c r="V2346" i="3"/>
  <c r="U2347" i="3"/>
  <c r="V2347" i="3"/>
  <c r="U2348" i="3"/>
  <c r="V2348" i="3"/>
  <c r="U2349" i="3"/>
  <c r="U2350" i="3"/>
  <c r="V2350" i="3"/>
  <c r="U2351" i="3"/>
  <c r="V2351" i="3"/>
  <c r="U2352" i="3"/>
  <c r="V2352" i="3"/>
  <c r="U2353" i="3"/>
  <c r="U2354" i="3"/>
  <c r="V2354" i="3"/>
  <c r="U2355" i="3"/>
  <c r="V2355" i="3"/>
  <c r="U2356" i="3"/>
  <c r="V2356" i="3"/>
  <c r="U2357" i="3"/>
  <c r="U2358" i="3"/>
  <c r="V2358" i="3"/>
  <c r="U2359" i="3"/>
  <c r="V2359" i="3"/>
  <c r="U2360" i="3"/>
  <c r="V2360" i="3"/>
  <c r="U2361" i="3"/>
  <c r="U2362" i="3"/>
  <c r="V2362" i="3"/>
  <c r="U2363" i="3"/>
  <c r="V2363" i="3"/>
  <c r="U2364" i="3"/>
  <c r="V2364" i="3"/>
  <c r="U2365" i="3"/>
  <c r="U2366" i="3"/>
  <c r="V2366" i="3"/>
  <c r="U2367" i="3"/>
  <c r="V2367" i="3"/>
  <c r="U2368" i="3"/>
  <c r="V2368" i="3"/>
  <c r="U2369" i="3"/>
  <c r="U2370" i="3"/>
  <c r="V2370" i="3"/>
  <c r="U2371" i="3"/>
  <c r="V2371" i="3"/>
  <c r="U2372" i="3"/>
  <c r="V2372" i="3"/>
  <c r="U2373" i="3"/>
  <c r="U2374" i="3"/>
  <c r="V2374" i="3"/>
  <c r="U2375" i="3"/>
  <c r="V2375" i="3"/>
  <c r="U2376" i="3"/>
  <c r="V2376" i="3"/>
  <c r="U2377" i="3"/>
  <c r="U2378" i="3"/>
  <c r="V2378" i="3"/>
  <c r="U2379" i="3"/>
  <c r="V2379" i="3"/>
  <c r="U2380" i="3"/>
  <c r="V2380" i="3"/>
  <c r="U2381" i="3"/>
  <c r="U2382" i="3"/>
  <c r="V2382" i="3"/>
  <c r="U2383" i="3"/>
  <c r="V2383" i="3"/>
  <c r="U2384" i="3"/>
  <c r="V2384" i="3"/>
  <c r="U2385" i="3"/>
  <c r="U2386" i="3"/>
  <c r="V2386" i="3"/>
  <c r="U2387" i="3"/>
  <c r="V2387" i="3"/>
  <c r="U2388" i="3"/>
  <c r="V2388" i="3"/>
  <c r="U2389" i="3"/>
  <c r="U2390" i="3"/>
  <c r="V2390" i="3"/>
  <c r="U2391" i="3"/>
  <c r="V2391" i="3"/>
  <c r="U2392" i="3"/>
  <c r="V2392" i="3"/>
  <c r="U2393" i="3"/>
  <c r="U2394" i="3"/>
  <c r="V2394" i="3"/>
  <c r="U2395" i="3"/>
  <c r="V2395" i="3"/>
  <c r="U2396" i="3"/>
  <c r="V2396" i="3"/>
  <c r="U2397" i="3"/>
  <c r="U2398" i="3"/>
  <c r="V2398" i="3"/>
  <c r="U2399" i="3"/>
  <c r="V2399" i="3"/>
  <c r="U2400" i="3"/>
  <c r="V2400" i="3"/>
  <c r="U2401" i="3"/>
  <c r="U2402" i="3"/>
  <c r="V2402" i="3"/>
  <c r="U2403" i="3"/>
  <c r="V2403" i="3"/>
  <c r="U2404" i="3"/>
  <c r="V2404" i="3"/>
  <c r="U2405" i="3"/>
  <c r="U2406" i="3"/>
  <c r="V2406" i="3"/>
  <c r="U2407" i="3"/>
  <c r="V2407" i="3"/>
  <c r="U2408" i="3"/>
  <c r="V2408" i="3"/>
  <c r="U2409" i="3"/>
  <c r="U2410" i="3"/>
  <c r="V2410" i="3"/>
  <c r="U2411" i="3"/>
  <c r="V2411" i="3"/>
  <c r="U2412" i="3"/>
  <c r="V2412" i="3"/>
  <c r="U2413" i="3"/>
  <c r="U2414" i="3"/>
  <c r="V2414" i="3"/>
  <c r="U2415" i="3"/>
  <c r="V2415" i="3"/>
  <c r="U2416" i="3"/>
  <c r="V2416" i="3"/>
  <c r="U2417" i="3"/>
  <c r="U2418" i="3"/>
  <c r="V2418" i="3"/>
  <c r="U2419" i="3"/>
  <c r="V2419" i="3"/>
  <c r="U2420" i="3"/>
  <c r="V2420" i="3"/>
  <c r="U2421" i="3"/>
  <c r="U2422" i="3"/>
  <c r="V2422" i="3"/>
  <c r="U2423" i="3"/>
  <c r="V2423" i="3"/>
  <c r="U2424" i="3"/>
  <c r="V2424" i="3"/>
  <c r="U2425" i="3"/>
  <c r="U2426" i="3"/>
  <c r="V2426" i="3"/>
  <c r="U2427" i="3"/>
  <c r="V2427" i="3"/>
  <c r="U2428" i="3"/>
  <c r="V2428" i="3"/>
  <c r="U2429" i="3"/>
  <c r="V2429" i="3"/>
  <c r="U2430" i="3"/>
  <c r="V2430" i="3"/>
  <c r="U2431" i="3"/>
  <c r="V2431" i="3"/>
  <c r="U2432" i="3"/>
  <c r="V2432" i="3"/>
  <c r="U2433" i="3"/>
  <c r="V2433" i="3"/>
  <c r="U2434" i="3"/>
  <c r="V2434" i="3"/>
  <c r="U2435" i="3"/>
  <c r="V2435" i="3"/>
  <c r="U2436" i="3"/>
  <c r="V2436" i="3"/>
  <c r="U2437" i="3"/>
  <c r="V2437" i="3"/>
  <c r="U2438" i="3"/>
  <c r="V2438" i="3"/>
  <c r="U2439" i="3"/>
  <c r="V2439" i="3"/>
  <c r="U2440" i="3"/>
  <c r="V2440" i="3"/>
  <c r="U2441" i="3"/>
  <c r="V2441" i="3"/>
  <c r="U2442" i="3"/>
  <c r="V2442" i="3"/>
  <c r="U2443" i="3"/>
  <c r="V2443" i="3"/>
  <c r="U2444" i="3"/>
  <c r="V2444" i="3"/>
  <c r="U2445" i="3"/>
  <c r="V2445" i="3"/>
  <c r="U2446" i="3"/>
  <c r="V2446" i="3"/>
  <c r="U2447" i="3"/>
  <c r="V2447" i="3"/>
  <c r="U2448" i="3"/>
  <c r="V2448" i="3"/>
  <c r="U2449" i="3"/>
  <c r="V2449" i="3"/>
  <c r="U2450" i="3"/>
  <c r="V2450" i="3"/>
  <c r="U2451" i="3"/>
  <c r="V2451" i="3"/>
  <c r="U2452" i="3"/>
  <c r="V2452" i="3"/>
  <c r="U2453" i="3"/>
  <c r="V2453" i="3"/>
  <c r="U2454" i="3"/>
  <c r="V2454" i="3"/>
  <c r="U2455" i="3"/>
  <c r="V2455" i="3"/>
  <c r="U2456" i="3"/>
  <c r="V2456" i="3"/>
  <c r="U2457" i="3"/>
  <c r="V2457" i="3"/>
  <c r="U2458" i="3"/>
  <c r="V2458" i="3"/>
  <c r="U2459" i="3"/>
  <c r="V2459" i="3"/>
  <c r="U2460" i="3"/>
  <c r="V2460" i="3"/>
  <c r="U2461" i="3"/>
  <c r="V2461" i="3"/>
  <c r="U2462" i="3"/>
  <c r="V2462" i="3"/>
  <c r="U2463" i="3"/>
  <c r="V2463" i="3"/>
  <c r="U2464" i="3"/>
  <c r="V2464" i="3"/>
  <c r="U2465" i="3"/>
  <c r="V2465" i="3"/>
  <c r="U2466" i="3"/>
  <c r="V2466" i="3"/>
  <c r="U2467" i="3"/>
  <c r="V2467" i="3"/>
  <c r="U2468" i="3"/>
  <c r="V2468" i="3"/>
  <c r="U2469" i="3"/>
  <c r="V2469" i="3"/>
  <c r="U2470" i="3"/>
  <c r="V2470" i="3"/>
  <c r="U2471" i="3"/>
  <c r="V2471" i="3"/>
  <c r="U2472" i="3"/>
  <c r="V2472" i="3"/>
  <c r="U2473" i="3"/>
  <c r="V2473" i="3"/>
  <c r="U2474" i="3"/>
  <c r="V2474" i="3"/>
  <c r="U2475" i="3"/>
  <c r="V2475" i="3"/>
  <c r="U2476" i="3"/>
  <c r="V2476" i="3"/>
  <c r="U2477" i="3"/>
  <c r="V2477" i="3"/>
  <c r="U2478" i="3"/>
  <c r="V2478" i="3"/>
  <c r="U2479" i="3"/>
  <c r="V2479" i="3"/>
  <c r="U2480" i="3"/>
  <c r="V2480" i="3"/>
  <c r="U2481" i="3"/>
  <c r="V2481" i="3"/>
  <c r="U2482" i="3"/>
  <c r="V2482" i="3"/>
  <c r="U2483" i="3"/>
  <c r="V2483" i="3"/>
  <c r="U2484" i="3"/>
  <c r="V2484" i="3"/>
  <c r="U2485" i="3"/>
  <c r="V2485" i="3"/>
  <c r="U2486" i="3"/>
  <c r="V2486" i="3"/>
  <c r="U2487" i="3"/>
  <c r="V2487" i="3"/>
  <c r="U2488" i="3"/>
  <c r="V2488" i="3"/>
  <c r="U2489" i="3"/>
  <c r="V2489" i="3"/>
  <c r="U2490" i="3"/>
  <c r="U2491" i="3"/>
  <c r="V2491" i="3"/>
  <c r="U2492" i="3"/>
  <c r="V2492" i="3"/>
  <c r="U2493" i="3"/>
  <c r="U2494" i="3"/>
  <c r="U2495" i="3"/>
  <c r="V2495" i="3"/>
  <c r="U2496" i="3"/>
  <c r="V2496" i="3"/>
  <c r="U2497" i="3"/>
  <c r="U2498" i="3"/>
  <c r="U2499" i="3"/>
  <c r="V2499" i="3"/>
  <c r="U2500" i="3"/>
  <c r="V2500" i="3"/>
  <c r="U2501" i="3"/>
  <c r="U2502" i="3"/>
  <c r="U2503" i="3"/>
  <c r="V2503" i="3"/>
  <c r="U2504" i="3"/>
  <c r="V2504" i="3"/>
  <c r="U2505" i="3"/>
  <c r="U2506" i="3"/>
  <c r="U2507" i="3"/>
  <c r="V2507" i="3"/>
  <c r="U2508" i="3"/>
  <c r="V2508" i="3"/>
  <c r="U2509" i="3"/>
  <c r="U2510" i="3"/>
  <c r="U2511" i="3"/>
  <c r="V2511" i="3"/>
  <c r="U2512" i="3"/>
  <c r="V2512" i="3"/>
  <c r="U2513" i="3"/>
  <c r="U2514" i="3"/>
  <c r="U2515" i="3"/>
  <c r="V2515" i="3"/>
  <c r="U2516" i="3"/>
  <c r="V2516" i="3"/>
  <c r="U2517" i="3"/>
  <c r="U2518" i="3"/>
  <c r="U2519" i="3"/>
  <c r="V2519" i="3"/>
  <c r="U2520" i="3"/>
  <c r="V2520" i="3"/>
  <c r="U2521" i="3"/>
  <c r="U2522" i="3"/>
  <c r="U2523" i="3"/>
  <c r="V2523" i="3"/>
  <c r="U2524" i="3"/>
  <c r="V2524" i="3"/>
  <c r="U2525" i="3"/>
  <c r="U2526" i="3"/>
  <c r="U2527" i="3"/>
  <c r="V2527" i="3"/>
  <c r="U2528" i="3"/>
  <c r="V2528" i="3"/>
  <c r="U2529" i="3"/>
  <c r="U2530" i="3"/>
  <c r="U2531" i="3"/>
  <c r="V2531" i="3"/>
  <c r="U2532" i="3"/>
  <c r="V2532" i="3"/>
  <c r="U2533" i="3"/>
  <c r="U2534" i="3"/>
  <c r="U2535" i="3"/>
  <c r="V2535" i="3"/>
  <c r="U2536" i="3"/>
  <c r="V2536" i="3"/>
  <c r="U2537" i="3"/>
  <c r="U2538" i="3"/>
  <c r="U2539" i="3"/>
  <c r="V2539" i="3"/>
  <c r="U2540" i="3"/>
  <c r="V2540" i="3"/>
  <c r="U2541" i="3"/>
  <c r="U2542" i="3"/>
  <c r="U2543" i="3"/>
  <c r="V2543" i="3"/>
  <c r="U2544" i="3"/>
  <c r="V2544" i="3"/>
  <c r="U2545" i="3"/>
  <c r="U2546" i="3"/>
  <c r="U2547" i="3"/>
  <c r="V2547" i="3"/>
  <c r="U2548" i="3"/>
  <c r="V2548" i="3"/>
  <c r="U2549" i="3"/>
  <c r="U2550" i="3"/>
  <c r="U2551" i="3"/>
  <c r="V2551" i="3"/>
  <c r="U2552" i="3"/>
  <c r="V2552" i="3"/>
  <c r="U2553" i="3"/>
  <c r="U2554" i="3"/>
  <c r="U2555" i="3"/>
  <c r="V2555" i="3"/>
  <c r="U2556" i="3"/>
  <c r="V2556" i="3"/>
  <c r="U2557" i="3"/>
  <c r="U2558" i="3"/>
  <c r="U2559" i="3"/>
  <c r="V2559" i="3"/>
  <c r="U2560" i="3"/>
  <c r="V2560" i="3"/>
  <c r="U2561" i="3"/>
  <c r="U2562" i="3"/>
  <c r="U2563" i="3"/>
  <c r="V2563" i="3"/>
  <c r="U2564" i="3"/>
  <c r="V2564" i="3"/>
  <c r="U2565" i="3"/>
  <c r="U2566" i="3"/>
  <c r="U2567" i="3"/>
  <c r="V2567" i="3"/>
  <c r="U2568" i="3"/>
  <c r="V2568" i="3"/>
  <c r="U2569" i="3"/>
  <c r="U2570" i="3"/>
  <c r="U2571" i="3"/>
  <c r="V2571" i="3"/>
  <c r="U2572" i="3"/>
  <c r="V2572" i="3"/>
  <c r="U2573" i="3"/>
  <c r="U2574" i="3"/>
  <c r="U2575" i="3"/>
  <c r="V2575" i="3"/>
  <c r="U2576" i="3"/>
  <c r="V2576" i="3"/>
  <c r="U2577" i="3"/>
  <c r="U2578" i="3"/>
  <c r="U2579" i="3"/>
  <c r="V2579" i="3"/>
  <c r="U2580" i="3"/>
  <c r="V2580" i="3"/>
  <c r="U2581" i="3"/>
  <c r="U2582" i="3"/>
  <c r="U2583" i="3"/>
  <c r="V2583" i="3"/>
  <c r="U2584" i="3"/>
  <c r="V2584" i="3"/>
  <c r="U2585" i="3"/>
  <c r="V2585" i="3"/>
  <c r="U2586" i="3"/>
  <c r="U2587" i="3"/>
  <c r="V2587" i="3"/>
  <c r="U2588" i="3"/>
  <c r="V2588" i="3"/>
  <c r="U2589" i="3"/>
  <c r="U2590" i="3"/>
  <c r="U2591" i="3"/>
  <c r="V2591" i="3"/>
  <c r="U2592" i="3"/>
  <c r="V2592" i="3"/>
  <c r="U2593" i="3"/>
  <c r="U2594" i="3"/>
  <c r="U2595" i="3"/>
  <c r="V2595" i="3"/>
  <c r="U2596" i="3"/>
  <c r="V2596" i="3"/>
  <c r="U2597" i="3"/>
  <c r="U2598" i="3"/>
  <c r="U2599" i="3"/>
  <c r="V2599" i="3"/>
  <c r="U2600" i="3"/>
  <c r="V2600" i="3"/>
  <c r="U2601" i="3"/>
  <c r="U2602" i="3"/>
  <c r="U2603" i="3"/>
  <c r="V2603" i="3"/>
  <c r="U2604" i="3"/>
  <c r="V2604" i="3"/>
  <c r="U2605" i="3"/>
  <c r="U2606" i="3"/>
  <c r="U2607" i="3"/>
  <c r="V2607" i="3"/>
  <c r="U2608" i="3"/>
  <c r="V2608" i="3"/>
  <c r="U2609" i="3"/>
  <c r="U2610" i="3"/>
  <c r="U2611" i="3"/>
  <c r="V2611" i="3"/>
  <c r="U2612" i="3"/>
  <c r="V2612" i="3"/>
  <c r="U2613" i="3"/>
  <c r="U2614" i="3"/>
  <c r="U2615" i="3"/>
  <c r="V2615" i="3"/>
  <c r="U2616" i="3"/>
  <c r="V2616" i="3"/>
  <c r="U2617" i="3"/>
  <c r="U2618" i="3"/>
  <c r="U2619" i="3"/>
  <c r="V2619" i="3"/>
  <c r="U2620" i="3"/>
  <c r="V2620" i="3"/>
  <c r="U2621" i="3"/>
  <c r="U2622" i="3"/>
  <c r="U2623" i="3"/>
  <c r="V2623" i="3"/>
  <c r="U2624" i="3"/>
  <c r="V2624" i="3"/>
  <c r="U2625" i="3"/>
  <c r="U2626" i="3"/>
  <c r="U2627" i="3"/>
  <c r="V2627" i="3"/>
  <c r="U2628" i="3"/>
  <c r="V2628" i="3"/>
  <c r="U2629" i="3"/>
  <c r="U2630" i="3"/>
  <c r="U2631" i="3"/>
  <c r="V2631" i="3"/>
  <c r="U2632" i="3"/>
  <c r="V2632" i="3"/>
  <c r="U2633" i="3"/>
  <c r="U2634" i="3"/>
  <c r="U2635" i="3"/>
  <c r="V2635" i="3"/>
  <c r="U2636" i="3"/>
  <c r="V2636" i="3"/>
  <c r="U2637" i="3"/>
  <c r="U2638" i="3"/>
  <c r="U2639" i="3"/>
  <c r="V2639" i="3"/>
  <c r="U2640" i="3"/>
  <c r="V2640" i="3"/>
  <c r="U2641" i="3"/>
  <c r="U2642" i="3"/>
  <c r="U2643" i="3"/>
  <c r="V2643" i="3"/>
  <c r="U2644" i="3"/>
  <c r="V2644" i="3"/>
  <c r="U2645" i="3"/>
  <c r="U2646" i="3"/>
  <c r="U2647" i="3"/>
  <c r="V2647" i="3"/>
  <c r="U2648" i="3"/>
  <c r="V2648" i="3"/>
  <c r="U2649" i="3"/>
  <c r="U2650" i="3"/>
  <c r="U2651" i="3"/>
  <c r="V2651" i="3"/>
  <c r="U2652" i="3"/>
  <c r="V2652" i="3"/>
  <c r="U2653" i="3"/>
  <c r="U2654" i="3"/>
  <c r="U2655" i="3"/>
  <c r="V2655" i="3"/>
  <c r="U2656" i="3"/>
  <c r="V2656" i="3"/>
  <c r="U2657" i="3"/>
  <c r="U2658" i="3"/>
  <c r="U2659" i="3"/>
  <c r="V2659" i="3"/>
  <c r="U2660" i="3"/>
  <c r="V2660" i="3"/>
  <c r="U2661" i="3"/>
  <c r="U2662" i="3"/>
  <c r="U2663" i="3"/>
  <c r="V2663" i="3"/>
  <c r="U2664" i="3"/>
  <c r="V2664" i="3"/>
  <c r="U2665" i="3"/>
  <c r="U2666" i="3"/>
  <c r="U2667" i="3"/>
  <c r="V2667" i="3"/>
  <c r="U2668" i="3"/>
  <c r="V2668" i="3"/>
  <c r="U2669" i="3"/>
  <c r="U2670" i="3"/>
  <c r="U2671" i="3"/>
  <c r="V2671" i="3"/>
  <c r="U2672" i="3"/>
  <c r="V2672" i="3"/>
  <c r="U2673" i="3"/>
  <c r="U2674" i="3"/>
  <c r="U2675" i="3"/>
  <c r="V2675" i="3"/>
  <c r="U2676" i="3"/>
  <c r="V2676" i="3"/>
  <c r="U2677" i="3"/>
  <c r="U2678" i="3"/>
  <c r="U2679" i="3"/>
  <c r="V2679" i="3"/>
  <c r="U2680" i="3"/>
  <c r="V2680" i="3"/>
  <c r="U2681" i="3"/>
  <c r="U2682" i="3"/>
  <c r="U2683" i="3"/>
  <c r="V2683" i="3"/>
  <c r="U2684" i="3"/>
  <c r="V2684" i="3"/>
  <c r="U2685" i="3"/>
  <c r="V2685" i="3"/>
  <c r="U2686" i="3"/>
  <c r="U2687" i="3"/>
  <c r="V2687" i="3"/>
  <c r="U2688" i="3"/>
  <c r="V2688" i="3"/>
  <c r="U2689" i="3"/>
  <c r="U2690" i="3"/>
  <c r="U2691" i="3"/>
  <c r="V2691" i="3"/>
  <c r="U2692" i="3"/>
  <c r="V2692" i="3"/>
  <c r="U2693" i="3"/>
  <c r="U2694" i="3"/>
  <c r="U2695" i="3"/>
  <c r="V2695" i="3"/>
  <c r="U2696" i="3"/>
  <c r="V2696" i="3"/>
  <c r="U2697" i="3"/>
  <c r="U2698" i="3"/>
  <c r="U2699" i="3"/>
  <c r="V2699" i="3"/>
  <c r="U2700" i="3"/>
  <c r="V2700" i="3"/>
  <c r="U2701" i="3"/>
  <c r="U2702" i="3"/>
  <c r="U2703" i="3"/>
  <c r="V2703" i="3"/>
  <c r="U2704" i="3"/>
  <c r="V2704" i="3"/>
  <c r="U2705" i="3"/>
  <c r="U2706" i="3"/>
  <c r="U2707" i="3"/>
  <c r="V2707" i="3"/>
  <c r="U2708" i="3"/>
  <c r="V2708" i="3"/>
  <c r="U2709" i="3"/>
  <c r="U2710" i="3"/>
  <c r="U2711" i="3"/>
  <c r="V2711" i="3"/>
  <c r="U2712" i="3"/>
  <c r="V2712" i="3"/>
  <c r="U2713" i="3"/>
  <c r="U2714" i="3"/>
  <c r="U2715" i="3"/>
  <c r="V2715" i="3"/>
  <c r="U2716" i="3"/>
  <c r="V2716" i="3"/>
  <c r="U2717" i="3"/>
  <c r="U2718" i="3"/>
  <c r="U2719" i="3"/>
  <c r="V2719" i="3"/>
  <c r="U2720" i="3"/>
  <c r="V2720" i="3"/>
  <c r="U2721" i="3"/>
  <c r="U2722" i="3"/>
  <c r="U2723" i="3"/>
  <c r="V2723" i="3"/>
  <c r="U2724" i="3"/>
  <c r="V2724" i="3"/>
  <c r="U2725" i="3"/>
  <c r="U2726" i="3"/>
  <c r="U2727" i="3"/>
  <c r="V2727" i="3"/>
  <c r="U2728" i="3"/>
  <c r="V2728" i="3"/>
  <c r="U2729" i="3"/>
  <c r="V2729" i="3"/>
  <c r="U2730" i="3"/>
  <c r="U2731" i="3"/>
  <c r="V2731" i="3"/>
  <c r="U2732" i="3"/>
  <c r="V2732" i="3"/>
  <c r="U2733" i="3"/>
  <c r="U2734" i="3"/>
  <c r="U2735" i="3"/>
  <c r="V2735" i="3"/>
  <c r="U2736" i="3"/>
  <c r="V2736" i="3"/>
  <c r="U2737" i="3"/>
  <c r="U2738" i="3"/>
  <c r="U2739" i="3"/>
  <c r="V2739" i="3"/>
  <c r="U2740" i="3"/>
  <c r="V2740" i="3"/>
  <c r="U2741" i="3"/>
  <c r="U2742" i="3"/>
  <c r="U2743" i="3"/>
  <c r="V2743" i="3"/>
  <c r="U2744" i="3"/>
  <c r="V2744" i="3"/>
  <c r="U2745" i="3"/>
  <c r="U2746" i="3"/>
  <c r="U2747" i="3"/>
  <c r="V2747" i="3"/>
  <c r="U2748" i="3"/>
  <c r="V2748" i="3"/>
  <c r="U2749" i="3"/>
  <c r="U2750" i="3"/>
  <c r="U2751" i="3"/>
  <c r="V2751" i="3"/>
  <c r="U2752" i="3"/>
  <c r="V2752" i="3"/>
  <c r="U2753" i="3"/>
  <c r="U2754" i="3"/>
  <c r="U2755" i="3"/>
  <c r="V2755" i="3"/>
  <c r="U2756" i="3"/>
  <c r="V2756" i="3"/>
  <c r="U2757" i="3"/>
  <c r="U2758" i="3"/>
  <c r="U2759" i="3"/>
  <c r="V2759" i="3"/>
  <c r="U2760" i="3"/>
  <c r="V2760" i="3"/>
  <c r="U2761" i="3"/>
  <c r="U2762" i="3"/>
  <c r="U2763" i="3"/>
  <c r="V2763" i="3"/>
  <c r="U2764" i="3"/>
  <c r="V2764" i="3"/>
  <c r="U2765" i="3"/>
  <c r="U2766" i="3"/>
  <c r="U2767" i="3"/>
  <c r="V2767" i="3"/>
  <c r="U2768" i="3"/>
  <c r="V2768" i="3"/>
  <c r="U2769" i="3"/>
  <c r="U2770" i="3"/>
  <c r="U2771" i="3"/>
  <c r="V2771" i="3"/>
  <c r="U2772" i="3"/>
  <c r="V2772" i="3"/>
  <c r="U2773" i="3"/>
  <c r="U2774" i="3"/>
  <c r="U2775" i="3"/>
  <c r="V2775" i="3"/>
  <c r="U2776" i="3"/>
  <c r="V2776" i="3"/>
  <c r="U2777" i="3"/>
  <c r="U2778" i="3"/>
  <c r="U2779" i="3"/>
  <c r="V2779" i="3"/>
  <c r="U2780" i="3"/>
  <c r="V2780" i="3"/>
  <c r="U2781" i="3"/>
  <c r="U2782" i="3"/>
  <c r="U2783" i="3"/>
  <c r="V2783" i="3"/>
  <c r="U2784" i="3"/>
  <c r="V2784" i="3"/>
  <c r="U2785" i="3"/>
  <c r="U2786" i="3"/>
  <c r="U2787" i="3"/>
  <c r="V2787" i="3"/>
  <c r="U2788" i="3"/>
  <c r="V2788" i="3"/>
  <c r="U2789" i="3"/>
  <c r="U2790" i="3"/>
  <c r="U2791" i="3"/>
  <c r="V2791" i="3"/>
  <c r="U2792" i="3"/>
  <c r="V2792" i="3"/>
  <c r="U2793" i="3"/>
  <c r="V2793" i="3"/>
  <c r="U2794" i="3"/>
  <c r="U2795" i="3"/>
  <c r="V2795" i="3"/>
  <c r="U2796" i="3"/>
  <c r="V2796" i="3"/>
  <c r="U2797" i="3"/>
  <c r="U2798" i="3"/>
  <c r="U2799" i="3"/>
  <c r="V2799" i="3"/>
  <c r="U2800" i="3"/>
  <c r="V2800" i="3"/>
  <c r="U2801" i="3"/>
  <c r="U2802" i="3"/>
  <c r="U2803" i="3"/>
  <c r="V2803" i="3"/>
  <c r="U2804" i="3"/>
  <c r="V2804" i="3"/>
  <c r="U2805" i="3"/>
  <c r="U2806" i="3"/>
  <c r="U2807" i="3"/>
  <c r="V2807" i="3"/>
  <c r="U2808" i="3"/>
  <c r="V2808" i="3"/>
  <c r="U2809" i="3"/>
  <c r="U2810" i="3"/>
  <c r="U2811" i="3"/>
  <c r="V2811" i="3"/>
  <c r="U2812" i="3"/>
  <c r="V2812" i="3"/>
  <c r="U2813" i="3"/>
  <c r="U2814" i="3"/>
  <c r="U2815" i="3"/>
  <c r="V2815" i="3"/>
  <c r="U2816" i="3"/>
  <c r="V2816" i="3"/>
  <c r="U2817" i="3"/>
  <c r="U2818" i="3"/>
  <c r="U2819" i="3"/>
  <c r="V2819" i="3"/>
  <c r="U2820" i="3"/>
  <c r="V2820" i="3"/>
  <c r="U2821" i="3"/>
  <c r="U2822" i="3"/>
  <c r="U2823" i="3"/>
  <c r="V2823" i="3"/>
  <c r="U2824" i="3"/>
  <c r="V2824" i="3"/>
  <c r="U2825" i="3"/>
  <c r="U2826" i="3"/>
  <c r="U2827" i="3"/>
  <c r="V2827" i="3"/>
  <c r="U2828" i="3"/>
  <c r="V2828" i="3"/>
  <c r="U2829" i="3"/>
  <c r="U2830" i="3"/>
  <c r="U2831" i="3"/>
  <c r="V2831" i="3"/>
  <c r="U2832" i="3"/>
  <c r="V2832" i="3"/>
  <c r="U2833" i="3"/>
  <c r="U2834" i="3"/>
  <c r="U2835" i="3"/>
  <c r="V2835" i="3"/>
  <c r="U2836" i="3"/>
  <c r="V2836" i="3"/>
  <c r="U2837" i="3"/>
  <c r="U2838" i="3"/>
  <c r="U2839" i="3"/>
  <c r="V2839" i="3"/>
  <c r="U2840" i="3"/>
  <c r="V2840" i="3"/>
  <c r="U2841" i="3"/>
  <c r="U2842" i="3"/>
  <c r="U2843" i="3"/>
  <c r="V2843" i="3"/>
  <c r="U2844" i="3"/>
  <c r="V2844" i="3"/>
  <c r="U2845" i="3"/>
  <c r="U2846" i="3"/>
  <c r="U2847" i="3"/>
  <c r="V2847" i="3"/>
  <c r="U2848" i="3"/>
  <c r="V2848" i="3"/>
  <c r="U2849" i="3"/>
  <c r="U2850" i="3"/>
  <c r="U2851" i="3"/>
  <c r="V2851" i="3"/>
  <c r="U2852" i="3"/>
  <c r="V2852" i="3"/>
  <c r="U2853" i="3"/>
  <c r="U2854" i="3"/>
  <c r="U2855" i="3"/>
  <c r="V2855" i="3"/>
  <c r="U2856" i="3"/>
  <c r="V2856" i="3"/>
  <c r="U2857" i="3"/>
  <c r="U2858" i="3"/>
  <c r="U2859" i="3"/>
  <c r="V2859" i="3"/>
  <c r="U2860" i="3"/>
  <c r="V2860" i="3"/>
  <c r="U2861" i="3"/>
  <c r="U2862" i="3"/>
  <c r="U2863" i="3"/>
  <c r="V2863" i="3"/>
  <c r="U2864" i="3"/>
  <c r="V2864" i="3"/>
  <c r="U2865" i="3"/>
  <c r="U2866" i="3"/>
  <c r="U2867" i="3"/>
  <c r="V2867" i="3"/>
  <c r="U2868" i="3"/>
  <c r="V2868" i="3"/>
  <c r="U2869" i="3"/>
  <c r="U2870" i="3"/>
  <c r="U2871" i="3"/>
  <c r="V2871" i="3"/>
  <c r="U2872" i="3"/>
  <c r="V2872" i="3"/>
  <c r="U2873" i="3"/>
  <c r="U2874" i="3"/>
  <c r="U2875" i="3"/>
  <c r="V2875" i="3"/>
  <c r="U2876" i="3"/>
  <c r="V2876" i="3"/>
  <c r="U2877" i="3"/>
  <c r="U2878" i="3"/>
  <c r="U2879" i="3"/>
  <c r="V2879" i="3"/>
  <c r="U2880" i="3"/>
  <c r="V2880" i="3"/>
  <c r="U2881" i="3"/>
  <c r="U2882" i="3"/>
  <c r="U2883" i="3"/>
  <c r="V2883" i="3"/>
  <c r="U2884" i="3"/>
  <c r="V2884" i="3"/>
  <c r="U2885" i="3"/>
  <c r="U2886" i="3"/>
  <c r="U2887" i="3"/>
  <c r="V2887" i="3"/>
  <c r="U2888" i="3"/>
  <c r="V2888" i="3"/>
  <c r="U2889" i="3"/>
  <c r="U2890" i="3"/>
  <c r="U2891" i="3"/>
  <c r="V2891" i="3"/>
  <c r="U2892" i="3"/>
  <c r="V2892" i="3"/>
  <c r="U2893" i="3"/>
  <c r="U2894" i="3"/>
  <c r="U2895" i="3"/>
  <c r="V2895" i="3"/>
  <c r="U2896" i="3"/>
  <c r="V2896" i="3"/>
  <c r="U2897" i="3"/>
  <c r="U2898" i="3"/>
  <c r="U2899" i="3"/>
  <c r="V2899" i="3"/>
  <c r="U2900" i="3"/>
  <c r="V2900" i="3"/>
  <c r="U2901" i="3"/>
  <c r="U2902" i="3"/>
  <c r="U2903" i="3"/>
  <c r="V2903" i="3"/>
  <c r="U2904" i="3"/>
  <c r="V2904" i="3"/>
  <c r="U2905" i="3"/>
  <c r="U2906" i="3"/>
  <c r="U2907" i="3"/>
  <c r="V2907" i="3"/>
  <c r="U2908" i="3"/>
  <c r="V2908" i="3"/>
  <c r="U2909" i="3"/>
  <c r="U2910" i="3"/>
  <c r="U2911" i="3"/>
  <c r="V2911" i="3"/>
  <c r="U2912" i="3"/>
  <c r="V2912" i="3"/>
  <c r="U2913" i="3"/>
  <c r="U2914" i="3"/>
  <c r="U2915" i="3"/>
  <c r="V2915" i="3"/>
  <c r="U2916" i="3"/>
  <c r="V2916" i="3"/>
  <c r="U2917" i="3"/>
  <c r="U2918" i="3"/>
  <c r="U2919" i="3"/>
  <c r="V2919" i="3"/>
  <c r="U2920" i="3"/>
  <c r="V2920" i="3"/>
  <c r="U2921" i="3"/>
  <c r="U2922" i="3"/>
  <c r="U2923" i="3"/>
  <c r="V2923" i="3"/>
  <c r="U2924" i="3"/>
  <c r="V2924" i="3"/>
  <c r="U2925" i="3"/>
  <c r="U2926" i="3"/>
  <c r="U2927" i="3"/>
  <c r="V2927" i="3"/>
  <c r="U2928" i="3"/>
  <c r="V2928" i="3"/>
  <c r="U2929" i="3"/>
  <c r="U2930" i="3"/>
  <c r="U2931" i="3"/>
  <c r="V2931" i="3"/>
  <c r="U2932" i="3"/>
  <c r="V2932" i="3"/>
  <c r="U2933" i="3"/>
  <c r="U2934" i="3"/>
  <c r="U2935" i="3"/>
  <c r="V2935" i="3"/>
  <c r="U2936" i="3"/>
  <c r="V2936" i="3"/>
  <c r="U2937" i="3"/>
  <c r="U2938" i="3"/>
  <c r="U2939" i="3"/>
  <c r="V2939" i="3"/>
  <c r="U2940" i="3"/>
  <c r="V2940" i="3"/>
  <c r="U2941" i="3"/>
  <c r="U2942" i="3"/>
  <c r="U2943" i="3"/>
  <c r="V2943" i="3"/>
  <c r="U2944" i="3"/>
  <c r="V2944" i="3"/>
  <c r="U2945" i="3"/>
  <c r="U2946" i="3"/>
  <c r="U2947" i="3"/>
  <c r="V2947" i="3"/>
  <c r="U2948" i="3"/>
  <c r="V2948" i="3"/>
  <c r="U2949" i="3"/>
  <c r="U2950" i="3"/>
  <c r="V2950" i="3"/>
  <c r="U2951" i="3"/>
  <c r="V2951" i="3"/>
  <c r="U2952" i="3"/>
  <c r="V2952" i="3"/>
  <c r="U2953" i="3"/>
  <c r="U2954" i="3"/>
  <c r="U2955" i="3"/>
  <c r="V2955" i="3"/>
  <c r="U2956" i="3"/>
  <c r="V2956" i="3"/>
  <c r="U2957" i="3"/>
  <c r="U2958" i="3"/>
  <c r="U2959" i="3"/>
  <c r="V2959" i="3"/>
  <c r="U2960" i="3"/>
  <c r="V2960" i="3"/>
  <c r="U2961" i="3"/>
  <c r="U2962" i="3"/>
  <c r="U2963" i="3"/>
  <c r="V2963" i="3"/>
  <c r="U2964" i="3"/>
  <c r="V2964" i="3"/>
  <c r="U2965" i="3"/>
  <c r="U2966" i="3"/>
  <c r="U2967" i="3"/>
  <c r="V2967" i="3"/>
  <c r="U2968" i="3"/>
  <c r="V2968" i="3"/>
  <c r="U2969" i="3"/>
  <c r="U2970" i="3"/>
  <c r="U2971" i="3"/>
  <c r="V2971" i="3"/>
  <c r="U2972" i="3"/>
  <c r="V2972" i="3"/>
  <c r="U2973" i="3"/>
  <c r="U2974" i="3"/>
  <c r="U2975" i="3"/>
  <c r="V2975" i="3"/>
  <c r="U2976" i="3"/>
  <c r="V2976" i="3"/>
  <c r="U2977" i="3"/>
  <c r="U2978" i="3"/>
  <c r="U2979" i="3"/>
  <c r="V2979" i="3"/>
  <c r="U2980" i="3"/>
  <c r="V2980" i="3"/>
  <c r="U2981" i="3"/>
  <c r="U2982" i="3"/>
  <c r="U2983" i="3"/>
  <c r="V2983" i="3"/>
  <c r="U2984" i="3"/>
  <c r="V2984" i="3"/>
  <c r="U2985" i="3"/>
  <c r="U2986" i="3"/>
  <c r="U2987" i="3"/>
  <c r="V2987" i="3"/>
  <c r="U2988" i="3"/>
  <c r="V2988" i="3"/>
  <c r="U2989" i="3"/>
  <c r="U2990" i="3"/>
  <c r="V2990" i="3"/>
  <c r="U2991" i="3"/>
  <c r="V2991" i="3"/>
  <c r="U2992" i="3"/>
  <c r="V2992" i="3"/>
  <c r="U2993" i="3"/>
  <c r="U2994" i="3"/>
  <c r="U2995" i="3"/>
  <c r="V2995" i="3"/>
  <c r="U2996" i="3"/>
  <c r="V2996" i="3"/>
  <c r="U2997" i="3"/>
  <c r="U2998" i="3"/>
  <c r="U2999" i="3"/>
  <c r="V2999" i="3"/>
  <c r="U3000" i="3"/>
  <c r="V3000" i="3"/>
  <c r="U3001" i="3"/>
  <c r="U3002" i="3"/>
  <c r="U3003" i="3"/>
  <c r="V3003" i="3"/>
  <c r="U3004" i="3"/>
  <c r="V3004" i="3"/>
  <c r="U3005" i="3"/>
  <c r="U3006" i="3"/>
  <c r="U3007" i="3"/>
  <c r="V3007" i="3"/>
  <c r="U3008" i="3"/>
  <c r="V3008" i="3"/>
  <c r="U3009" i="3"/>
  <c r="U3010" i="3"/>
  <c r="U3011" i="3"/>
  <c r="V3011" i="3"/>
  <c r="U3012" i="3"/>
  <c r="V3012" i="3"/>
  <c r="U3013" i="3"/>
  <c r="U3014" i="3"/>
  <c r="U3015" i="3"/>
  <c r="V3015" i="3"/>
  <c r="U3016" i="3"/>
  <c r="V3016" i="3"/>
  <c r="U3017" i="3"/>
  <c r="U3018" i="3"/>
  <c r="U3019" i="3"/>
  <c r="V3019" i="3"/>
  <c r="U3020" i="3"/>
  <c r="V3020" i="3"/>
  <c r="U3021" i="3"/>
  <c r="U3022" i="3"/>
  <c r="U3023" i="3"/>
  <c r="V3023" i="3"/>
  <c r="U3024" i="3"/>
  <c r="V3024" i="3"/>
  <c r="U3025" i="3"/>
  <c r="U3026" i="3"/>
  <c r="U3027" i="3"/>
  <c r="V3027" i="3"/>
  <c r="U3028" i="3"/>
  <c r="V3028" i="3"/>
  <c r="U3029" i="3"/>
  <c r="U3030" i="3"/>
  <c r="V3030" i="3"/>
  <c r="U3031" i="3"/>
  <c r="V3031" i="3"/>
  <c r="U3032" i="3"/>
  <c r="V3032" i="3"/>
  <c r="U3033" i="3"/>
  <c r="U3034" i="3"/>
  <c r="U3035" i="3"/>
  <c r="V3035" i="3"/>
  <c r="U3036" i="3"/>
  <c r="V3036" i="3"/>
  <c r="U3037" i="3"/>
  <c r="U3038" i="3"/>
  <c r="U3039" i="3"/>
  <c r="V3039" i="3"/>
  <c r="U3040" i="3"/>
  <c r="V3040" i="3"/>
  <c r="U3041" i="3"/>
  <c r="U3042" i="3"/>
  <c r="U3043" i="3"/>
  <c r="V3043" i="3"/>
  <c r="U3044" i="3"/>
  <c r="V3044" i="3"/>
  <c r="U3045" i="3"/>
  <c r="U3046" i="3"/>
  <c r="U3047" i="3"/>
  <c r="V3047" i="3"/>
  <c r="U3048" i="3"/>
  <c r="V3048" i="3"/>
  <c r="U3049" i="3"/>
  <c r="U3050" i="3"/>
  <c r="U3051" i="3"/>
  <c r="V3051" i="3"/>
  <c r="U3052" i="3"/>
  <c r="V3052" i="3"/>
  <c r="U3053" i="3"/>
  <c r="U3054" i="3"/>
  <c r="U3055" i="3"/>
  <c r="V3055" i="3"/>
  <c r="U3056" i="3"/>
  <c r="V3056" i="3"/>
  <c r="U3057" i="3"/>
  <c r="U3058" i="3"/>
  <c r="U3059" i="3"/>
  <c r="V3059" i="3"/>
  <c r="U3060" i="3"/>
  <c r="V3060" i="3"/>
  <c r="U3061" i="3"/>
  <c r="U3062" i="3"/>
  <c r="U3063" i="3"/>
  <c r="V3063" i="3"/>
  <c r="U3064" i="3"/>
  <c r="V3064" i="3"/>
  <c r="U3065" i="3"/>
  <c r="U3066" i="3"/>
  <c r="U3067" i="3"/>
  <c r="V3067" i="3"/>
  <c r="U3068" i="3"/>
  <c r="V3068" i="3"/>
  <c r="U3069" i="3"/>
  <c r="U3070" i="3"/>
  <c r="U3071" i="3"/>
  <c r="V3071" i="3"/>
  <c r="U3072" i="3"/>
  <c r="V3072" i="3"/>
  <c r="U3073" i="3"/>
  <c r="U3074" i="3"/>
  <c r="U3075" i="3"/>
  <c r="V3075" i="3"/>
  <c r="U3076" i="3"/>
  <c r="V3076" i="3"/>
  <c r="U3077" i="3"/>
  <c r="U3078" i="3"/>
  <c r="U3079" i="3"/>
  <c r="V3079" i="3"/>
  <c r="U3080" i="3"/>
  <c r="V3080" i="3"/>
  <c r="U3081" i="3"/>
  <c r="U3082" i="3"/>
  <c r="U3083" i="3"/>
  <c r="V3083" i="3"/>
  <c r="U3084" i="3"/>
  <c r="V3084" i="3"/>
  <c r="U3085" i="3"/>
  <c r="U3086" i="3"/>
  <c r="U3087" i="3"/>
  <c r="V3087" i="3"/>
  <c r="U3088" i="3"/>
  <c r="V3088" i="3"/>
  <c r="U3089" i="3"/>
  <c r="U3090" i="3"/>
  <c r="U3091" i="3"/>
  <c r="V3091" i="3"/>
  <c r="U3092" i="3"/>
  <c r="V3092" i="3"/>
  <c r="U3093" i="3"/>
  <c r="U3094" i="3"/>
  <c r="U3095" i="3"/>
  <c r="V3095" i="3"/>
  <c r="U3096" i="3"/>
  <c r="V3096" i="3"/>
  <c r="U3097" i="3"/>
  <c r="U3098" i="3"/>
  <c r="U3099" i="3"/>
  <c r="V3099" i="3"/>
  <c r="U3100" i="3"/>
  <c r="V3100" i="3"/>
  <c r="U3101" i="3"/>
  <c r="U3102" i="3"/>
  <c r="U3103" i="3"/>
  <c r="V3103" i="3"/>
  <c r="U3104" i="3"/>
  <c r="V3104" i="3"/>
  <c r="U3105" i="3"/>
  <c r="U3106" i="3"/>
  <c r="U3107" i="3"/>
  <c r="V3107" i="3"/>
  <c r="U3108" i="3"/>
  <c r="V3108" i="3"/>
  <c r="U3109" i="3"/>
  <c r="U3110" i="3"/>
  <c r="U3111" i="3"/>
  <c r="V3111" i="3"/>
  <c r="U3112" i="3"/>
  <c r="V3112" i="3"/>
  <c r="U3113" i="3"/>
  <c r="U3114" i="3"/>
  <c r="U3115" i="3"/>
  <c r="V3115" i="3"/>
  <c r="U3116" i="3"/>
  <c r="V3116" i="3"/>
  <c r="U3117" i="3"/>
  <c r="U3118" i="3"/>
  <c r="U3119" i="3"/>
  <c r="V3119" i="3"/>
  <c r="U3120" i="3"/>
  <c r="V3120" i="3"/>
  <c r="U3121" i="3"/>
  <c r="U3122" i="3"/>
  <c r="U3123" i="3"/>
  <c r="V3123" i="3"/>
  <c r="U3124" i="3"/>
  <c r="V3124" i="3"/>
  <c r="U3125" i="3"/>
  <c r="U3126" i="3"/>
  <c r="U3127" i="3"/>
  <c r="V3127" i="3"/>
  <c r="U3128" i="3"/>
  <c r="V3128" i="3"/>
  <c r="U3129" i="3"/>
  <c r="U3130" i="3"/>
  <c r="U3131" i="3"/>
  <c r="V3131" i="3"/>
  <c r="U3132" i="3"/>
  <c r="V3132" i="3"/>
  <c r="U3133" i="3"/>
  <c r="U3134" i="3"/>
  <c r="U3135" i="3"/>
  <c r="V3135" i="3"/>
  <c r="U3136" i="3"/>
  <c r="V3136" i="3"/>
  <c r="U3137" i="3"/>
  <c r="U3138" i="3"/>
  <c r="U3139" i="3"/>
  <c r="V3139" i="3"/>
  <c r="U3140" i="3"/>
  <c r="V3140" i="3"/>
  <c r="U3141" i="3"/>
  <c r="U3142" i="3"/>
  <c r="U3143" i="3"/>
  <c r="V3143" i="3"/>
  <c r="U3144" i="3"/>
  <c r="V3144" i="3"/>
  <c r="U3145" i="3"/>
  <c r="U3146" i="3"/>
  <c r="U3147" i="3"/>
  <c r="V3147" i="3"/>
  <c r="U3148" i="3"/>
  <c r="V3148" i="3"/>
  <c r="U3149" i="3"/>
  <c r="U3150" i="3"/>
  <c r="U3151" i="3"/>
  <c r="V3151" i="3"/>
  <c r="U3152" i="3"/>
  <c r="V3152" i="3"/>
  <c r="U3153" i="3"/>
  <c r="U3154" i="3"/>
  <c r="V3154" i="3"/>
  <c r="U3155" i="3"/>
  <c r="V3155" i="3"/>
  <c r="U3156" i="3"/>
  <c r="V3156" i="3"/>
  <c r="U3157" i="3"/>
  <c r="U3158" i="3"/>
  <c r="U3159" i="3"/>
  <c r="V3159" i="3"/>
  <c r="U3160" i="3"/>
  <c r="V3160" i="3"/>
  <c r="U3161" i="3"/>
  <c r="U3162" i="3"/>
  <c r="U3163" i="3"/>
  <c r="V3163" i="3"/>
  <c r="U3164" i="3"/>
  <c r="V3164" i="3"/>
  <c r="U3165" i="3"/>
  <c r="U3166" i="3"/>
  <c r="U3167" i="3"/>
  <c r="V3167" i="3"/>
  <c r="U3168" i="3"/>
  <c r="V3168" i="3"/>
  <c r="U3169" i="3"/>
  <c r="U3170" i="3"/>
  <c r="U3171" i="3"/>
  <c r="V3171" i="3"/>
  <c r="U3172" i="3"/>
  <c r="V3172" i="3"/>
  <c r="U3173" i="3"/>
  <c r="U3174" i="3"/>
  <c r="U3175" i="3"/>
  <c r="V3175" i="3"/>
  <c r="U3176" i="3"/>
  <c r="V3176" i="3"/>
  <c r="U3177" i="3"/>
  <c r="U3178" i="3"/>
  <c r="V3178" i="3"/>
  <c r="U3179" i="3"/>
  <c r="V3179" i="3"/>
  <c r="U3180" i="3"/>
  <c r="V3180" i="3"/>
  <c r="U3181" i="3"/>
  <c r="U3182" i="3"/>
  <c r="U3183" i="3"/>
  <c r="V3183" i="3"/>
  <c r="U3184" i="3"/>
  <c r="V3184" i="3"/>
  <c r="U3185" i="3"/>
  <c r="U3186" i="3"/>
  <c r="U3187" i="3"/>
  <c r="V3187" i="3"/>
  <c r="U3188" i="3"/>
  <c r="V3188" i="3"/>
  <c r="U3189" i="3"/>
  <c r="U3190" i="3"/>
  <c r="U3191" i="3"/>
  <c r="V3191" i="3"/>
  <c r="U3192" i="3"/>
  <c r="V3192" i="3"/>
  <c r="U3193" i="3"/>
  <c r="U3194" i="3"/>
  <c r="U3195" i="3"/>
  <c r="V3195" i="3"/>
  <c r="U3196" i="3"/>
  <c r="V3196" i="3"/>
  <c r="U3197" i="3"/>
  <c r="U3198" i="3"/>
  <c r="U3199" i="3"/>
  <c r="V3199" i="3"/>
  <c r="U3200" i="3"/>
  <c r="V3200" i="3"/>
  <c r="U3201" i="3"/>
  <c r="U3202" i="3"/>
  <c r="V3202" i="3"/>
  <c r="U3203" i="3"/>
  <c r="V3203" i="3"/>
  <c r="U3204" i="3"/>
  <c r="V3204" i="3"/>
  <c r="U3205" i="3"/>
  <c r="U3206" i="3"/>
  <c r="U3207" i="3"/>
  <c r="V3207" i="3"/>
  <c r="U3208" i="3"/>
  <c r="V3208" i="3"/>
  <c r="U3209" i="3"/>
  <c r="U3210" i="3"/>
  <c r="U3211" i="3"/>
  <c r="V3211" i="3"/>
  <c r="U3212" i="3"/>
  <c r="V3212" i="3"/>
  <c r="U3213" i="3"/>
  <c r="U3214" i="3"/>
  <c r="U3215" i="3"/>
  <c r="V3215" i="3"/>
  <c r="U3216" i="3"/>
  <c r="V3216" i="3"/>
  <c r="U3217" i="3"/>
  <c r="U3218" i="3"/>
  <c r="U3219" i="3"/>
  <c r="V3219" i="3"/>
  <c r="U3220" i="3"/>
  <c r="V3220" i="3"/>
  <c r="U3221" i="3"/>
  <c r="U3222" i="3"/>
  <c r="U3223" i="3"/>
  <c r="V3223" i="3"/>
  <c r="U3224" i="3"/>
  <c r="V3224" i="3"/>
  <c r="U3225" i="3"/>
  <c r="U3226" i="3"/>
  <c r="U3227" i="3"/>
  <c r="V3227" i="3"/>
  <c r="U3228" i="3"/>
  <c r="V3228" i="3"/>
  <c r="U3229" i="3"/>
  <c r="U3230" i="3"/>
  <c r="U3231" i="3"/>
  <c r="V3231" i="3"/>
  <c r="U3232" i="3"/>
  <c r="V3232" i="3"/>
  <c r="U3233" i="3"/>
  <c r="U3234" i="3"/>
  <c r="U3235" i="3"/>
  <c r="V3235" i="3"/>
  <c r="U3236" i="3"/>
  <c r="V3236" i="3"/>
  <c r="U3237" i="3"/>
  <c r="U3238" i="3"/>
  <c r="U3239" i="3"/>
  <c r="V3239" i="3"/>
  <c r="U3240" i="3"/>
  <c r="V3240" i="3"/>
  <c r="U3241" i="3"/>
  <c r="U3242" i="3"/>
  <c r="U3243" i="3"/>
  <c r="V3243" i="3"/>
  <c r="U3244" i="3"/>
  <c r="V3244" i="3"/>
  <c r="U3245" i="3"/>
  <c r="U3246" i="3"/>
  <c r="U3247" i="3"/>
  <c r="V3247" i="3"/>
  <c r="U3248" i="3"/>
  <c r="V3248" i="3"/>
  <c r="U3249" i="3"/>
  <c r="U3250" i="3"/>
  <c r="U3251" i="3"/>
  <c r="V3251" i="3"/>
  <c r="U3252" i="3"/>
  <c r="V3252" i="3"/>
  <c r="U3253" i="3"/>
  <c r="U3254" i="3"/>
  <c r="U3255" i="3"/>
  <c r="V3255" i="3"/>
  <c r="U3256" i="3"/>
  <c r="V3256" i="3"/>
  <c r="U3257" i="3"/>
  <c r="U3258" i="3"/>
  <c r="U3259" i="3"/>
  <c r="V3259" i="3"/>
  <c r="U3260" i="3"/>
  <c r="V3260" i="3"/>
  <c r="U3261" i="3"/>
  <c r="U3262" i="3"/>
  <c r="U3263" i="3"/>
  <c r="V3263" i="3"/>
  <c r="U3264" i="3"/>
  <c r="V3264" i="3"/>
  <c r="U3265" i="3"/>
  <c r="U3266" i="3"/>
  <c r="U3267" i="3"/>
  <c r="V3267" i="3"/>
  <c r="U3268" i="3"/>
  <c r="V3268" i="3"/>
  <c r="U3269" i="3"/>
  <c r="U3270" i="3"/>
  <c r="U3271" i="3"/>
  <c r="V3271" i="3"/>
  <c r="U3272" i="3"/>
  <c r="V3272" i="3"/>
  <c r="U3273" i="3"/>
  <c r="U3274" i="3"/>
  <c r="U3275" i="3"/>
  <c r="V3275" i="3"/>
  <c r="U3276" i="3"/>
  <c r="V3276" i="3"/>
  <c r="U3277" i="3"/>
  <c r="U3278" i="3"/>
  <c r="U3279" i="3"/>
  <c r="V3279" i="3"/>
  <c r="U3280" i="3"/>
  <c r="V3280" i="3"/>
  <c r="U3281" i="3"/>
  <c r="U3282" i="3"/>
  <c r="V3282" i="3"/>
  <c r="U3283" i="3"/>
  <c r="V3283" i="3"/>
  <c r="U3284" i="3"/>
  <c r="V3284" i="3"/>
  <c r="U3285" i="3"/>
  <c r="U3286" i="3"/>
  <c r="U3287" i="3"/>
  <c r="V3287" i="3"/>
  <c r="U3288" i="3"/>
  <c r="V3288" i="3"/>
  <c r="U3289" i="3"/>
  <c r="U3290" i="3"/>
  <c r="U3291" i="3"/>
  <c r="V3291" i="3"/>
  <c r="U3292" i="3"/>
  <c r="V3292" i="3"/>
  <c r="U3293" i="3"/>
  <c r="U3294" i="3"/>
  <c r="U3295" i="3"/>
  <c r="V3295" i="3"/>
  <c r="U3296" i="3"/>
  <c r="V3296" i="3"/>
  <c r="U3297" i="3"/>
  <c r="U3298" i="3"/>
  <c r="U3299" i="3"/>
  <c r="V3299" i="3"/>
  <c r="U3300" i="3"/>
  <c r="V3300" i="3"/>
  <c r="U3301" i="3"/>
  <c r="U3302" i="3"/>
  <c r="U3303" i="3"/>
  <c r="V3303" i="3"/>
  <c r="U3304" i="3"/>
  <c r="V3304" i="3"/>
  <c r="U3305" i="3"/>
  <c r="U3306" i="3"/>
  <c r="V3306" i="3"/>
  <c r="U3307" i="3"/>
  <c r="V3307" i="3"/>
  <c r="U3308" i="3"/>
  <c r="V3308" i="3"/>
  <c r="U3309" i="3"/>
  <c r="U3310" i="3"/>
  <c r="U3311" i="3"/>
  <c r="V3311" i="3"/>
  <c r="U3312" i="3"/>
  <c r="V3312" i="3"/>
  <c r="U3313" i="3"/>
  <c r="U3314" i="3"/>
  <c r="U3315" i="3"/>
  <c r="V3315" i="3"/>
  <c r="U3316" i="3"/>
  <c r="V3316" i="3"/>
  <c r="U3317" i="3"/>
  <c r="U3318" i="3"/>
  <c r="U3319" i="3"/>
  <c r="V3319" i="3"/>
  <c r="U3320" i="3"/>
  <c r="V3320" i="3"/>
  <c r="U3321" i="3"/>
  <c r="U3322" i="3"/>
  <c r="U3323" i="3"/>
  <c r="V3323" i="3"/>
  <c r="U3324" i="3"/>
  <c r="V3324" i="3"/>
  <c r="U3325" i="3"/>
  <c r="U3326" i="3"/>
  <c r="U3327" i="3"/>
  <c r="V3327" i="3"/>
  <c r="U3328" i="3"/>
  <c r="V3328" i="3"/>
  <c r="U3329" i="3"/>
  <c r="U3330" i="3"/>
  <c r="V3330" i="3"/>
  <c r="U3331" i="3"/>
  <c r="V3331" i="3"/>
  <c r="U3332" i="3"/>
  <c r="V3332" i="3"/>
  <c r="U3333" i="3"/>
  <c r="U3334" i="3"/>
  <c r="U3335" i="3"/>
  <c r="V3335" i="3"/>
  <c r="U3336" i="3"/>
  <c r="V3336" i="3"/>
  <c r="U3337" i="3"/>
  <c r="U3338" i="3"/>
  <c r="U3339" i="3"/>
  <c r="V3339" i="3"/>
  <c r="U3340" i="3"/>
  <c r="V3340" i="3"/>
  <c r="U3341" i="3"/>
  <c r="U3342" i="3"/>
  <c r="U3343" i="3"/>
  <c r="V3343" i="3"/>
  <c r="U3344" i="3"/>
  <c r="V3344" i="3"/>
  <c r="U3345" i="3"/>
  <c r="U3346" i="3"/>
  <c r="U3347" i="3"/>
  <c r="V3347" i="3"/>
  <c r="U3348" i="3"/>
  <c r="V3348" i="3"/>
  <c r="U3349" i="3"/>
  <c r="U3350" i="3"/>
  <c r="U3351" i="3"/>
  <c r="V3351" i="3"/>
  <c r="U3352" i="3"/>
  <c r="V3352" i="3"/>
  <c r="U3353" i="3"/>
  <c r="U3354" i="3"/>
  <c r="U3355" i="3"/>
  <c r="V3355" i="3"/>
  <c r="U3356" i="3"/>
  <c r="V3356" i="3"/>
  <c r="U3357" i="3"/>
  <c r="U3358" i="3"/>
  <c r="U3359" i="3"/>
  <c r="V3359" i="3"/>
  <c r="U3360" i="3"/>
  <c r="V3360" i="3"/>
  <c r="U3361" i="3"/>
  <c r="U3362" i="3"/>
  <c r="U3363" i="3"/>
  <c r="V3363" i="3"/>
  <c r="U3364" i="3"/>
  <c r="V3364" i="3"/>
  <c r="U3365" i="3"/>
  <c r="U3366" i="3"/>
  <c r="U3367" i="3"/>
  <c r="V3367" i="3"/>
  <c r="U3368" i="3"/>
  <c r="V3368" i="3"/>
  <c r="U3369" i="3"/>
  <c r="U3370" i="3"/>
  <c r="U3371" i="3"/>
  <c r="V3371" i="3"/>
  <c r="U3372" i="3"/>
  <c r="V3372" i="3"/>
  <c r="U3373" i="3"/>
  <c r="U3374" i="3"/>
  <c r="U3375" i="3"/>
  <c r="V3375" i="3"/>
  <c r="U3376" i="3"/>
  <c r="V3376" i="3"/>
  <c r="U3377" i="3"/>
  <c r="U3378" i="3"/>
  <c r="U3379" i="3"/>
  <c r="V3379" i="3"/>
  <c r="U3380" i="3"/>
  <c r="V3380" i="3"/>
  <c r="U3381" i="3"/>
  <c r="U3382" i="3"/>
  <c r="U3383" i="3"/>
  <c r="V3383" i="3"/>
  <c r="U3384" i="3"/>
  <c r="V3384" i="3"/>
  <c r="U3385" i="3"/>
  <c r="U3386" i="3"/>
  <c r="U3387" i="3"/>
  <c r="V3387" i="3"/>
  <c r="U3388" i="3"/>
  <c r="V3388" i="3"/>
  <c r="U3389" i="3"/>
  <c r="U3390" i="3"/>
  <c r="U3391" i="3"/>
  <c r="V3391" i="3"/>
  <c r="U3392" i="3"/>
  <c r="V3392" i="3"/>
  <c r="U3393" i="3"/>
  <c r="U3394" i="3"/>
  <c r="U3395" i="3"/>
  <c r="V3395" i="3"/>
  <c r="U3396" i="3"/>
  <c r="V3396" i="3"/>
  <c r="U3397" i="3"/>
  <c r="U3398" i="3"/>
  <c r="U3399" i="3"/>
  <c r="V3399" i="3"/>
  <c r="U3400" i="3"/>
  <c r="V3400" i="3"/>
  <c r="U3401" i="3"/>
  <c r="U3402" i="3"/>
  <c r="U3403" i="3"/>
  <c r="V3403" i="3"/>
  <c r="U3404" i="3"/>
  <c r="V3404" i="3"/>
  <c r="U3405" i="3"/>
  <c r="U3406" i="3"/>
  <c r="U3407" i="3"/>
  <c r="V3407" i="3"/>
  <c r="U3408" i="3"/>
  <c r="V3408" i="3"/>
  <c r="U3409" i="3"/>
  <c r="U3410" i="3"/>
  <c r="V3410" i="3"/>
  <c r="U3411" i="3"/>
  <c r="V3411" i="3"/>
  <c r="U3412" i="3"/>
  <c r="V3412" i="3"/>
  <c r="U3413" i="3"/>
  <c r="U3414" i="3"/>
  <c r="U3415" i="3"/>
  <c r="V3415" i="3"/>
  <c r="U3416" i="3"/>
  <c r="V3416" i="3"/>
  <c r="U3417" i="3"/>
  <c r="U3418" i="3"/>
  <c r="U3419" i="3"/>
  <c r="V3419" i="3"/>
  <c r="U3420" i="3"/>
  <c r="V3420" i="3"/>
  <c r="U3421" i="3"/>
  <c r="U3422" i="3"/>
  <c r="U3423" i="3"/>
  <c r="V3423" i="3"/>
  <c r="U3424" i="3"/>
  <c r="V3424" i="3"/>
  <c r="U3425" i="3"/>
  <c r="U3426" i="3"/>
  <c r="U3427" i="3"/>
  <c r="V3427" i="3"/>
  <c r="U3428" i="3"/>
  <c r="V3428" i="3"/>
  <c r="U3429" i="3"/>
  <c r="U3430" i="3"/>
  <c r="U3431" i="3"/>
  <c r="V3431" i="3"/>
  <c r="U3432" i="3"/>
  <c r="V3432" i="3"/>
  <c r="U3433" i="3"/>
  <c r="U3434" i="3"/>
  <c r="V3434" i="3"/>
  <c r="U3435" i="3"/>
  <c r="V3435" i="3"/>
  <c r="U3436" i="3"/>
  <c r="V3436" i="3"/>
  <c r="U3437" i="3"/>
  <c r="U3438" i="3"/>
  <c r="U3439" i="3"/>
  <c r="V3439" i="3"/>
  <c r="U3440" i="3"/>
  <c r="V3440" i="3"/>
  <c r="U3441" i="3"/>
  <c r="U3442" i="3"/>
  <c r="U3443" i="3"/>
  <c r="V3443" i="3"/>
  <c r="U3444" i="3"/>
  <c r="V3444" i="3"/>
  <c r="U3445" i="3"/>
  <c r="U3446" i="3"/>
  <c r="U3447" i="3"/>
  <c r="V3447" i="3"/>
  <c r="U3448" i="3"/>
  <c r="V3448" i="3"/>
  <c r="U3449" i="3"/>
  <c r="U3450" i="3"/>
  <c r="U3451" i="3"/>
  <c r="V3451" i="3"/>
  <c r="U3452" i="3"/>
  <c r="V3452" i="3"/>
  <c r="U3453" i="3"/>
  <c r="U3454" i="3"/>
  <c r="U3455" i="3"/>
  <c r="V3455" i="3"/>
  <c r="U3456" i="3"/>
  <c r="V3456" i="3"/>
  <c r="U3457" i="3"/>
  <c r="U3458" i="3"/>
  <c r="V3458" i="3"/>
  <c r="U3459" i="3"/>
  <c r="V3459" i="3"/>
  <c r="U3460" i="3"/>
  <c r="V3460" i="3"/>
  <c r="U3461" i="3"/>
  <c r="U3462" i="3"/>
  <c r="U3463" i="3"/>
  <c r="V3463" i="3"/>
  <c r="U3464" i="3"/>
  <c r="V3464" i="3"/>
  <c r="U3465" i="3"/>
  <c r="U3466" i="3"/>
  <c r="U3467" i="3"/>
  <c r="V3467" i="3"/>
  <c r="U3468" i="3"/>
  <c r="V3468" i="3"/>
  <c r="U3469" i="3"/>
  <c r="U3470" i="3"/>
  <c r="U3471" i="3"/>
  <c r="V3471" i="3"/>
  <c r="U3472" i="3"/>
  <c r="V3472" i="3"/>
  <c r="U3473" i="3"/>
  <c r="U3474" i="3"/>
  <c r="U3475" i="3"/>
  <c r="V3475" i="3"/>
  <c r="U3476" i="3"/>
  <c r="V3476" i="3"/>
  <c r="U3477" i="3"/>
  <c r="U3478" i="3"/>
  <c r="U3479" i="3"/>
  <c r="V3479" i="3"/>
  <c r="U3480" i="3"/>
  <c r="V3480" i="3"/>
  <c r="U3481" i="3"/>
  <c r="U3482" i="3"/>
  <c r="U3483" i="3"/>
  <c r="V3483" i="3"/>
  <c r="U3484" i="3"/>
  <c r="V3484" i="3"/>
  <c r="U3485" i="3"/>
  <c r="U3486" i="3"/>
  <c r="U3487" i="3"/>
  <c r="V3487" i="3"/>
  <c r="U3488" i="3"/>
  <c r="V3488" i="3"/>
  <c r="U3489" i="3"/>
  <c r="U3490" i="3"/>
  <c r="U3491" i="3"/>
  <c r="V3491" i="3"/>
  <c r="U3492" i="3"/>
  <c r="V3492" i="3"/>
  <c r="U3493" i="3"/>
  <c r="U3494" i="3"/>
  <c r="U3495" i="3"/>
  <c r="V3495" i="3"/>
  <c r="U3496" i="3"/>
  <c r="V3496" i="3"/>
  <c r="U3497" i="3"/>
  <c r="U3498" i="3"/>
  <c r="U3499" i="3"/>
  <c r="V3499" i="3"/>
  <c r="U3500" i="3"/>
  <c r="V3500" i="3"/>
  <c r="U3501" i="3"/>
  <c r="U3502" i="3"/>
  <c r="U3503" i="3"/>
  <c r="V3503" i="3"/>
  <c r="U3504" i="3"/>
  <c r="V3504" i="3"/>
  <c r="U3505" i="3"/>
  <c r="U3506" i="3"/>
  <c r="U3507" i="3"/>
  <c r="V3507" i="3"/>
  <c r="U3508" i="3"/>
  <c r="V3508" i="3"/>
  <c r="U3509" i="3"/>
  <c r="U3510" i="3"/>
  <c r="U3511" i="3"/>
  <c r="V3511" i="3"/>
  <c r="U3512" i="3"/>
  <c r="V3512" i="3"/>
  <c r="U3513" i="3"/>
  <c r="U3514" i="3"/>
  <c r="U3515" i="3"/>
  <c r="V3515" i="3"/>
  <c r="U3516" i="3"/>
  <c r="V3516" i="3"/>
  <c r="U3517" i="3"/>
  <c r="U3518" i="3"/>
  <c r="U3519" i="3"/>
  <c r="V3519" i="3"/>
  <c r="U3520" i="3"/>
  <c r="V3520" i="3"/>
  <c r="U3521" i="3"/>
  <c r="U3522" i="3"/>
  <c r="U3523" i="3"/>
  <c r="V3523" i="3"/>
  <c r="U3524" i="3"/>
  <c r="V3524" i="3"/>
  <c r="U3525" i="3"/>
  <c r="U3526" i="3"/>
  <c r="U3527" i="3"/>
  <c r="V3527" i="3"/>
  <c r="U3528" i="3"/>
  <c r="V3528" i="3"/>
  <c r="V2" i="3"/>
  <c r="U2" i="3"/>
  <c r="I4" i="1"/>
  <c r="K4" i="1" s="1"/>
  <c r="I15" i="1"/>
  <c r="K15" i="1" s="1"/>
  <c r="I19" i="1"/>
  <c r="K19" i="1" s="1"/>
  <c r="I21" i="1"/>
  <c r="K21" i="1" s="1"/>
  <c r="I24" i="1"/>
  <c r="K24" i="1" s="1"/>
  <c r="I27" i="1"/>
  <c r="K27" i="1" s="1"/>
  <c r="I29" i="1"/>
  <c r="K29" i="1" s="1"/>
  <c r="I32" i="1"/>
  <c r="K32" i="1" s="1"/>
  <c r="I35" i="1"/>
  <c r="K35" i="1" s="1"/>
  <c r="I37" i="1"/>
  <c r="K37" i="1" s="1"/>
  <c r="I40" i="1"/>
  <c r="K40" i="1" s="1"/>
  <c r="I43" i="1"/>
  <c r="K43" i="1" s="1"/>
  <c r="I45" i="1"/>
  <c r="K45" i="1" s="1"/>
  <c r="I46" i="1"/>
  <c r="K46" i="1" s="1"/>
  <c r="I47" i="1"/>
  <c r="K47" i="1" s="1"/>
  <c r="I48" i="1"/>
  <c r="K48" i="1" s="1"/>
  <c r="I49" i="1"/>
  <c r="K49" i="1" s="1"/>
  <c r="I51" i="1"/>
  <c r="K51" i="1" s="1"/>
  <c r="I53" i="1"/>
  <c r="K53" i="1" s="1"/>
  <c r="I2" i="1"/>
  <c r="K2" i="1" s="1"/>
  <c r="H3" i="1"/>
  <c r="J3" i="1" s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H26" i="1"/>
  <c r="J26" i="1" s="1"/>
  <c r="H27" i="1"/>
  <c r="J27" i="1" s="1"/>
  <c r="H28" i="1"/>
  <c r="J28" i="1" s="1"/>
  <c r="H29" i="1"/>
  <c r="J29" i="1" s="1"/>
  <c r="H30" i="1"/>
  <c r="J30" i="1" s="1"/>
  <c r="H31" i="1"/>
  <c r="J31" i="1" s="1"/>
  <c r="H32" i="1"/>
  <c r="J32" i="1" s="1"/>
  <c r="H33" i="1"/>
  <c r="J33" i="1" s="1"/>
  <c r="H34" i="1"/>
  <c r="J34" i="1" s="1"/>
  <c r="H35" i="1"/>
  <c r="J35" i="1" s="1"/>
  <c r="H36" i="1"/>
  <c r="J36" i="1" s="1"/>
  <c r="H37" i="1"/>
  <c r="J37" i="1" s="1"/>
  <c r="H38" i="1"/>
  <c r="J38" i="1" s="1"/>
  <c r="H39" i="1"/>
  <c r="J39" i="1" s="1"/>
  <c r="H40" i="1"/>
  <c r="J40" i="1" s="1"/>
  <c r="H41" i="1"/>
  <c r="J41" i="1" s="1"/>
  <c r="H42" i="1"/>
  <c r="J42" i="1" s="1"/>
  <c r="H43" i="1"/>
  <c r="J43" i="1" s="1"/>
  <c r="H44" i="1"/>
  <c r="J44" i="1" s="1"/>
  <c r="H45" i="1"/>
  <c r="J45" i="1" s="1"/>
  <c r="H46" i="1"/>
  <c r="J46" i="1" s="1"/>
  <c r="H47" i="1"/>
  <c r="J47" i="1" s="1"/>
  <c r="H48" i="1"/>
  <c r="J48" i="1" s="1"/>
  <c r="H49" i="1"/>
  <c r="J49" i="1" s="1"/>
  <c r="H50" i="1"/>
  <c r="J50" i="1" s="1"/>
  <c r="H51" i="1"/>
  <c r="J51" i="1" s="1"/>
  <c r="H52" i="1"/>
  <c r="J52" i="1" s="1"/>
  <c r="H53" i="1"/>
  <c r="J53" i="1" s="1"/>
  <c r="H2" i="1"/>
  <c r="J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2" i="1"/>
  <c r="C4" i="2" s="1"/>
  <c r="V2490" i="3" l="1"/>
  <c r="I5" i="1"/>
  <c r="K5" i="1" s="1"/>
  <c r="I7" i="1"/>
  <c r="K7" i="1" s="1"/>
  <c r="I9" i="1"/>
  <c r="K9" i="1" s="1"/>
  <c r="I12" i="1"/>
  <c r="K12" i="1" s="1"/>
  <c r="I14" i="1"/>
  <c r="K14" i="1" s="1"/>
  <c r="I3" i="1"/>
  <c r="K3" i="1" s="1"/>
  <c r="I6" i="1"/>
  <c r="K6" i="1" s="1"/>
  <c r="L6" i="1" s="1"/>
  <c r="I10" i="1"/>
  <c r="K10" i="1" s="1"/>
  <c r="I16" i="1"/>
  <c r="K16" i="1" s="1"/>
  <c r="I13" i="1"/>
  <c r="K13" i="1" s="1"/>
  <c r="I50" i="1"/>
  <c r="K50" i="1" s="1"/>
  <c r="I42" i="1"/>
  <c r="K42" i="1" s="1"/>
  <c r="L42" i="1" s="1"/>
  <c r="I34" i="1"/>
  <c r="K34" i="1" s="1"/>
  <c r="L34" i="1" s="1"/>
  <c r="I26" i="1"/>
  <c r="K26" i="1" s="1"/>
  <c r="I18" i="1"/>
  <c r="K18" i="1" s="1"/>
  <c r="L18" i="1" s="1"/>
  <c r="I41" i="1"/>
  <c r="K41" i="1" s="1"/>
  <c r="I33" i="1"/>
  <c r="K33" i="1" s="1"/>
  <c r="I25" i="1"/>
  <c r="K25" i="1" s="1"/>
  <c r="I17" i="1"/>
  <c r="K17" i="1" s="1"/>
  <c r="I39" i="1"/>
  <c r="K39" i="1" s="1"/>
  <c r="L39" i="1" s="1"/>
  <c r="I31" i="1"/>
  <c r="K31" i="1" s="1"/>
  <c r="L31" i="1" s="1"/>
  <c r="I23" i="1"/>
  <c r="K23" i="1" s="1"/>
  <c r="I11" i="1"/>
  <c r="K11" i="1" s="1"/>
  <c r="L11" i="1" s="1"/>
  <c r="I38" i="1"/>
  <c r="K38" i="1" s="1"/>
  <c r="L38" i="1" s="1"/>
  <c r="I30" i="1"/>
  <c r="K30" i="1" s="1"/>
  <c r="I22" i="1"/>
  <c r="K22" i="1" s="1"/>
  <c r="L22" i="1" s="1"/>
  <c r="I8" i="1"/>
  <c r="K8" i="1" s="1"/>
  <c r="L8" i="1" s="1"/>
  <c r="I52" i="1"/>
  <c r="K52" i="1" s="1"/>
  <c r="I44" i="1"/>
  <c r="K44" i="1" s="1"/>
  <c r="L44" i="1" s="1"/>
  <c r="I36" i="1"/>
  <c r="K36" i="1" s="1"/>
  <c r="L36" i="1" s="1"/>
  <c r="I28" i="1"/>
  <c r="K28" i="1" s="1"/>
  <c r="L28" i="1" s="1"/>
  <c r="I20" i="1"/>
  <c r="K20" i="1" s="1"/>
  <c r="L23" i="1"/>
  <c r="L7" i="1"/>
  <c r="L46" i="1"/>
  <c r="L30" i="1"/>
  <c r="L14" i="1"/>
  <c r="L53" i="1"/>
  <c r="L37" i="1"/>
  <c r="L29" i="1"/>
  <c r="L21" i="1"/>
  <c r="L13" i="1"/>
  <c r="L5" i="1"/>
  <c r="L52" i="1"/>
  <c r="L12" i="1"/>
  <c r="L4" i="1"/>
  <c r="L51" i="1"/>
  <c r="L43" i="1"/>
  <c r="L35" i="1"/>
  <c r="L27" i="1"/>
  <c r="L19" i="1"/>
  <c r="L3" i="1"/>
  <c r="L50" i="1"/>
  <c r="L26" i="1"/>
  <c r="L10" i="1"/>
  <c r="L45" i="1"/>
  <c r="L47" i="1"/>
  <c r="L15" i="1"/>
  <c r="L49" i="1"/>
  <c r="L41" i="1"/>
  <c r="L33" i="1"/>
  <c r="L25" i="1"/>
  <c r="L17" i="1"/>
  <c r="L9" i="1"/>
  <c r="L48" i="1"/>
  <c r="L40" i="1"/>
  <c r="L32" i="1"/>
  <c r="L24" i="1"/>
  <c r="L16" i="1"/>
  <c r="G4" i="2"/>
  <c r="G8" i="2"/>
  <c r="G6" i="2" a="1"/>
  <c r="G6" i="2" s="1"/>
  <c r="G12" i="2" a="1"/>
  <c r="G12" i="2" s="1"/>
  <c r="G13" i="2" s="1"/>
  <c r="L2" i="1"/>
  <c r="G10" i="2"/>
  <c r="G11" i="2" s="1"/>
  <c r="G14" i="2"/>
  <c r="H10" i="2" l="1"/>
  <c r="H11" i="2" s="1"/>
  <c r="H6" i="2" a="1"/>
  <c r="H6" i="2" s="1"/>
  <c r="H7" i="2" s="1"/>
  <c r="H4" i="2"/>
  <c r="H5" i="2" s="1"/>
  <c r="H12" i="2" a="1"/>
  <c r="H12" i="2" s="1"/>
  <c r="H13" i="2" s="1"/>
  <c r="H14" i="2"/>
  <c r="L20" i="1"/>
  <c r="F12" i="2" s="1" a="1"/>
  <c r="F12" i="2" s="1"/>
  <c r="F13" i="2" s="1"/>
  <c r="F4" i="2"/>
  <c r="F5" i="2" s="1"/>
  <c r="H8" i="2"/>
  <c r="G17" i="2"/>
  <c r="G7" i="2"/>
  <c r="G5" i="2"/>
  <c r="G16" i="2"/>
  <c r="F10" i="2" l="1"/>
  <c r="F11" i="2" s="1"/>
  <c r="F8" i="2"/>
  <c r="F14" i="2"/>
  <c r="H16" i="2"/>
  <c r="F6" i="2" a="1"/>
  <c r="F6" i="2" s="1"/>
  <c r="F17" i="2" s="1"/>
  <c r="H17" i="2"/>
  <c r="F16" i="2"/>
  <c r="F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<sst xmlns="http://schemas.openxmlformats.org/spreadsheetml/2006/main" count="25233" uniqueCount="5682">
  <si>
    <t>reporter_name</t>
  </si>
  <si>
    <t>mean_total_rai</t>
  </si>
  <si>
    <t>impTop5Count</t>
  </si>
  <si>
    <t>expTop5Count</t>
  </si>
  <si>
    <t>impTop5</t>
  </si>
  <si>
    <t>expTop5</t>
  </si>
  <si>
    <t>Albania</t>
  </si>
  <si>
    <t>Algeria</t>
  </si>
  <si>
    <t>Angola</t>
  </si>
  <si>
    <t>Armenia</t>
  </si>
  <si>
    <t>Azerbaijan</t>
  </si>
  <si>
    <t>Belarus</t>
  </si>
  <si>
    <t>Benin</t>
  </si>
  <si>
    <t>Burkina Faso</t>
  </si>
  <si>
    <t>Cambodia</t>
  </si>
  <si>
    <t>Cameroon</t>
  </si>
  <si>
    <t>Colombia</t>
  </si>
  <si>
    <t>Ecuador</t>
  </si>
  <si>
    <t>El Salvador</t>
  </si>
  <si>
    <t>Ethiopia</t>
  </si>
  <si>
    <t>Georgia</t>
  </si>
  <si>
    <t>Ghana</t>
  </si>
  <si>
    <t>Guatemala</t>
  </si>
  <si>
    <t>Honduras</t>
  </si>
  <si>
    <t>Hungary</t>
  </si>
  <si>
    <t>India</t>
  </si>
  <si>
    <t>Indonesia</t>
  </si>
  <si>
    <t>Jamaica</t>
  </si>
  <si>
    <t>Kazakhstan</t>
  </si>
  <si>
    <t>Kenya</t>
  </si>
  <si>
    <t>Kyrgyzstan</t>
  </si>
  <si>
    <t>Malawi</t>
  </si>
  <si>
    <t>Malaysia</t>
  </si>
  <si>
    <t>Mali</t>
  </si>
  <si>
    <t>Mauritania</t>
  </si>
  <si>
    <t>Morocco</t>
  </si>
  <si>
    <t>Namibia</t>
  </si>
  <si>
    <t>Nepal</t>
  </si>
  <si>
    <t>Nicaragua</t>
  </si>
  <si>
    <t>Niger</t>
  </si>
  <si>
    <t>Nigeria</t>
  </si>
  <si>
    <t>Pakistan</t>
  </si>
  <si>
    <t>Paraguay</t>
  </si>
  <si>
    <t>Peru</t>
  </si>
  <si>
    <t>Rwanda</t>
  </si>
  <si>
    <t>Senegal</t>
  </si>
  <si>
    <t>Serbia</t>
  </si>
  <si>
    <t>South Africa</t>
  </si>
  <si>
    <t>Sri Lanka</t>
  </si>
  <si>
    <t>Tunisia</t>
  </si>
  <si>
    <t>Turkey</t>
  </si>
  <si>
    <t>Uganda</t>
  </si>
  <si>
    <t>Ukraine</t>
  </si>
  <si>
    <t>Zambia</t>
  </si>
  <si>
    <t>Zimbabwe</t>
  </si>
  <si>
    <t>Mozambique</t>
  </si>
  <si>
    <t>Philippines</t>
  </si>
  <si>
    <t>Uzbekistan</t>
  </si>
  <si>
    <t>Top 5</t>
  </si>
  <si>
    <t>reporter_iso</t>
  </si>
  <si>
    <t>partner_iso</t>
  </si>
  <si>
    <t>partner_name</t>
  </si>
  <si>
    <t>section_code</t>
  </si>
  <si>
    <t>section_name</t>
  </si>
  <si>
    <t>HS2</t>
  </si>
  <si>
    <t>imp_sum_hs2</t>
  </si>
  <si>
    <t>exp_sum_hs2_5yr</t>
  </si>
  <si>
    <t>imp_rank_hs2_5yr</t>
  </si>
  <si>
    <t>exp_rank_hs2_5yr</t>
  </si>
  <si>
    <t>tbal_HS2_5yr</t>
  </si>
  <si>
    <t>import_factor</t>
  </si>
  <si>
    <t>export_factor</t>
  </si>
  <si>
    <t>trade_share</t>
  </si>
  <si>
    <t>impTop10</t>
  </si>
  <si>
    <t>expTop10</t>
  </si>
  <si>
    <t>alb</t>
  </si>
  <si>
    <t>rus</t>
  </si>
  <si>
    <t>Russian Federation</t>
  </si>
  <si>
    <t>NA</t>
  </si>
  <si>
    <t>0.9896888710455727</t>
  </si>
  <si>
    <t>0.010311128954427371</t>
  </si>
  <si>
    <t>0.5181693002135614</t>
  </si>
  <si>
    <t>02</t>
  </si>
  <si>
    <t>Vegetable products</t>
  </si>
  <si>
    <t>0.2711220937095456</t>
  </si>
  <si>
    <t>05</t>
  </si>
  <si>
    <t>Mineral products</t>
  </si>
  <si>
    <t>0.1320018612008668</t>
  </si>
  <si>
    <t>Base metals and articles of base metal</t>
  </si>
  <si>
    <t>06</t>
  </si>
  <si>
    <t>Product of the chemicals or allied industries</t>
  </si>
  <si>
    <t>Articles of stone, plaster, cement, asbestos, mica, or similar materials, ceramic products, glass and glassware</t>
  </si>
  <si>
    <t>4.960473034595942e-4</t>
  </si>
  <si>
    <t>09</t>
  </si>
  <si>
    <t>Wood and articles of wood, wood charcoal, cork and articles of cork, manufacturers of straw, of esparto or of other plaiting materials, basketwork and wickerwork</t>
  </si>
  <si>
    <t>Machinery and mechanical appliances, electrical equipment, parts thereof, sound recorders and reproducers, television image and souch recorders and reproducers, and parts and accessories of such articles</t>
  </si>
  <si>
    <t>3.7720673897012624e-4</t>
  </si>
  <si>
    <t>Vehicles, aircraft, vessels and associated transport equipment</t>
  </si>
  <si>
    <t>2.929842773017436e-4</t>
  </si>
  <si>
    <t>07</t>
  </si>
  <si>
    <t>Plastics and articles thereof, rubber and articles thereof</t>
  </si>
  <si>
    <t>6.572851527530148e-4</t>
  </si>
  <si>
    <t>1.5534402302034553e-4</t>
  </si>
  <si>
    <t>1.565866860448294e-5</t>
  </si>
  <si>
    <t>Miscellaneous manufactured articles</t>
  </si>
  <si>
    <t>2.1554538120199346e-4</t>
  </si>
  <si>
    <t>dza</t>
  </si>
  <si>
    <t>0.9998742895772517</t>
  </si>
  <si>
    <t>1.2571042274830244e-4</t>
  </si>
  <si>
    <t>0.13600642635793805</t>
  </si>
  <si>
    <t>03</t>
  </si>
  <si>
    <t>Animal or vegetable fats and oils and their cleavage products; prepared edible fats; animal or vegetble waxes</t>
  </si>
  <si>
    <t>0.9999926924755074</t>
  </si>
  <si>
    <t>7.307524492609484e-6</t>
  </si>
  <si>
    <t>0.1864924892506601</t>
  </si>
  <si>
    <t>0.9884168950788431</t>
  </si>
  <si>
    <t>0.011583104921156903</t>
  </si>
  <si>
    <t>0.2966217242952844</t>
  </si>
  <si>
    <t>3.280915172193974e-5</t>
  </si>
  <si>
    <t>Pulp of wood or of other fibrous cellulosic material, recovered (waste and scrap) paper or paperboard, paper and paperboard and articles thereof</t>
  </si>
  <si>
    <t>0.9998691218685314</t>
  </si>
  <si>
    <t>1.3087813146863157e-4</t>
  </si>
  <si>
    <t>0.9994818137396897</t>
  </si>
  <si>
    <t>5.181862603103266e-4</t>
  </si>
  <si>
    <t>0.010244037923958787</t>
  </si>
  <si>
    <t>0.9934924595498632</t>
  </si>
  <si>
    <t>4.871524820409568e-4</t>
  </si>
  <si>
    <t>Textile and textile articles</t>
  </si>
  <si>
    <t>0.9999437568681516</t>
  </si>
  <si>
    <t>5.624313184832237e-5</t>
  </si>
  <si>
    <t>6.928071581639113e-4</t>
  </si>
  <si>
    <t>6.182708761329514e-4</t>
  </si>
  <si>
    <t>9.409104077616702e-5</t>
  </si>
  <si>
    <t>2.0885935059031867e-4</t>
  </si>
  <si>
    <t>2.2202624146113988e-4</t>
  </si>
  <si>
    <t>3.356455643267432e-4</t>
  </si>
  <si>
    <t>7.084104009251978e-5</t>
  </si>
  <si>
    <t>8.164351564704564e-5</t>
  </si>
  <si>
    <t>04</t>
  </si>
  <si>
    <t>Prepared foodstuffs, beverages, spirits and vinegar, tobacco and manufactured tobacco substitutes</t>
  </si>
  <si>
    <t>0.9913492489270386</t>
  </si>
  <si>
    <t>3.724715951468034e-5</t>
  </si>
  <si>
    <t>6.63819716130665e-5</t>
  </si>
  <si>
    <t>1.979154996851671e-5</t>
  </si>
  <si>
    <t>0.10841527501463208</t>
  </si>
  <si>
    <t>0.8915847249853679</t>
  </si>
  <si>
    <t>4.020150469512385e-4</t>
  </si>
  <si>
    <t>Optical, photographic, cinematographic, measuring, checking, precision, medical or surgical instruments and apparatus, clocks and watches, musical instruments, parts and accessories thereof</t>
  </si>
  <si>
    <t>0.9992347445835817</t>
  </si>
  <si>
    <t>7.652554164182072e-4</t>
  </si>
  <si>
    <t>6.534538556165876e-4</t>
  </si>
  <si>
    <t>1.4493721016623132e-5</t>
  </si>
  <si>
    <t>2.548752787605943e-6</t>
  </si>
  <si>
    <t>5.309069041607636e-5</t>
  </si>
  <si>
    <t>3.022834793767848e-6</t>
  </si>
  <si>
    <t>01</t>
  </si>
  <si>
    <t>Live animals and animal products</t>
  </si>
  <si>
    <t>1.3563041588298971e-6</t>
  </si>
  <si>
    <t>5.0784723566294114e-5</t>
  </si>
  <si>
    <t>6.694097874151242e-8</t>
  </si>
  <si>
    <t>1.1549816630625128e-6</t>
  </si>
  <si>
    <t>1.1460895031998342e-5</t>
  </si>
  <si>
    <t>2.1481060342425627e-8</t>
  </si>
  <si>
    <t>08</t>
  </si>
  <si>
    <t>ago</t>
  </si>
  <si>
    <t>0.9999990735115536</t>
  </si>
  <si>
    <t>9.264884464259806e-7</t>
  </si>
  <si>
    <t>0.49702066289871044</t>
  </si>
  <si>
    <t>0.24839567909135155</t>
  </si>
  <si>
    <t>0.9005871081113994</t>
  </si>
  <si>
    <t>0.9896301452661592</t>
  </si>
  <si>
    <t>0.010369854733840738</t>
  </si>
  <si>
    <t>0.9727017181085601</t>
  </si>
  <si>
    <t>0.027298281891439867</t>
  </si>
  <si>
    <t>0.9459252710268702</t>
  </si>
  <si>
    <t>0.9951181562954111</t>
  </si>
  <si>
    <t>0.9994628673981699</t>
  </si>
  <si>
    <t>5.371326018300648e-4</t>
  </si>
  <si>
    <t>0.9773992147093776</t>
  </si>
  <si>
    <t>0.022600785290622337</t>
  </si>
  <si>
    <t>0.4427344671710816</t>
  </si>
  <si>
    <t>0.5572655328289183</t>
  </si>
  <si>
    <t>0.9644211371514374</t>
  </si>
  <si>
    <t>0.9890335243009911</t>
  </si>
  <si>
    <t>0.010966475699008884</t>
  </si>
  <si>
    <t>0.9962115730059679</t>
  </si>
  <si>
    <t>2.9396641607816785e-4</t>
  </si>
  <si>
    <t>6.397097421811197e-5</t>
  </si>
  <si>
    <t>0.9717673532975593</t>
  </si>
  <si>
    <t>0.028232646702440713</t>
  </si>
  <si>
    <t>1.4457692938913322e-4</t>
  </si>
  <si>
    <t>0.8809486797388424</t>
  </si>
  <si>
    <t>0.11905132026115763</t>
  </si>
  <si>
    <t>9.33751237156322e-4</t>
  </si>
  <si>
    <t>Footwear, headgear, umbrellas, sun umbrellas, walking-sticks, seat-sticks, whips, riding-crops and parts thereof, prepared feathers and articles made therewith, artificial flowers, articles of human hair.</t>
  </si>
  <si>
    <t>0.9836020419405781</t>
  </si>
  <si>
    <t>6.814410957827087e-5</t>
  </si>
  <si>
    <t>0.9997726870911525</t>
  </si>
  <si>
    <t>2.2731290884752355e-4</t>
  </si>
  <si>
    <t>4.954331283801239e-5</t>
  </si>
  <si>
    <t>0.9955859024760328</t>
  </si>
  <si>
    <t>1.8142815468348992e-5</t>
  </si>
  <si>
    <t>3.449875318728062e-5</t>
  </si>
  <si>
    <t>2.7086088551584874e-4</t>
  </si>
  <si>
    <t>0.9997942901945515</t>
  </si>
  <si>
    <t>2.0570980544852086e-4</t>
  </si>
  <si>
    <t>0.020773149568089375</t>
  </si>
  <si>
    <t>0.9998909845428194</t>
  </si>
  <si>
    <t>1.0901545718054535e-4</t>
  </si>
  <si>
    <t>0.7746717958111986</t>
  </si>
  <si>
    <t>0.22532820418880137</t>
  </si>
  <si>
    <t>1.0246392472761964e-4</t>
  </si>
  <si>
    <t>Works of art, collectors' pieces and antiques</t>
  </si>
  <si>
    <t>0.9445869676757311</t>
  </si>
  <si>
    <t>0.055413032324268856</t>
  </si>
  <si>
    <t>4.877625677331152e-6</t>
  </si>
  <si>
    <t>0.9998784157573178</t>
  </si>
  <si>
    <t>1.2158424268214839e-4</t>
  </si>
  <si>
    <t>4.116701055888085e-5</t>
  </si>
  <si>
    <t>0.7172469309720265</t>
  </si>
  <si>
    <t>0.2827530690279734</t>
  </si>
  <si>
    <t>1.243556797878835e-5</t>
  </si>
  <si>
    <t>0.9379407616361072</t>
  </si>
  <si>
    <t>1.77436459991164e-6</t>
  </si>
  <si>
    <t>Raw hides and skins, leather, furskins and articles thereof, saddlery and harness, travel goods, handbags and similar containers, articles of animal gut (other than silk-worm gut)</t>
  </si>
  <si>
    <t>0.6492872096500847</t>
  </si>
  <si>
    <t>0.35071279034991526</t>
  </si>
  <si>
    <t>2.510388053838316e-5</t>
  </si>
  <si>
    <t>0.4894648517620735</t>
  </si>
  <si>
    <t>0.5105351482379266</t>
  </si>
  <si>
    <t>6.710802079919694e-6</t>
  </si>
  <si>
    <t>7.082442620239692e-6</t>
  </si>
  <si>
    <t>0.9771052631578947</t>
  </si>
  <si>
    <t>0.022894736842105263</t>
  </si>
  <si>
    <t>4.754996812175058e-6</t>
  </si>
  <si>
    <t>0.9287410926365796</t>
  </si>
  <si>
    <t>2.6340179709548677e-6</t>
  </si>
  <si>
    <t>0.9823031505512264</t>
  </si>
  <si>
    <t>7.820343046592226e-5</t>
  </si>
  <si>
    <t>0.9281984334203656</t>
  </si>
  <si>
    <t>9.58507252138446e-7</t>
  </si>
  <si>
    <t>0.9929148157327792</t>
  </si>
  <si>
    <t>5.250617637797768e-4</t>
  </si>
  <si>
    <t>6.006311762747442e-8</t>
  </si>
  <si>
    <t>0.9939799331103679</t>
  </si>
  <si>
    <t>1.6836442659951425e-5</t>
  </si>
  <si>
    <t>0.8795148547902526</t>
  </si>
  <si>
    <t>0.12048514520974742</t>
  </si>
  <si>
    <t>5.6227837303970064e-5</t>
  </si>
  <si>
    <t>0.9496018326606305</t>
  </si>
  <si>
    <t>1.1470804151897042e-5</t>
  </si>
  <si>
    <t>0.9896171969171202</t>
  </si>
  <si>
    <t>1.370289976072806e-4</t>
  </si>
  <si>
    <t>0.17430703624733476</t>
  </si>
  <si>
    <t>0.8256929637526652</t>
  </si>
  <si>
    <t>2.347466847273792e-6</t>
  </si>
  <si>
    <t>6.906007212208986e-6</t>
  </si>
  <si>
    <t>arm</t>
  </si>
  <si>
    <t>0.9999843216487043</t>
  </si>
  <si>
    <t>1.5678351295688836e-5</t>
  </si>
  <si>
    <t>0.9907715364278296</t>
  </si>
  <si>
    <t>Natural or cultured pearls, precious or semi-precious stones, precious metals, metal clad with precious metal, and articles thereof, imitation jewellery, coins</t>
  </si>
  <si>
    <t>0.45525571448817986</t>
  </si>
  <si>
    <t>0.5447442855118201</t>
  </si>
  <si>
    <t>0.9997101182757537</t>
  </si>
  <si>
    <t>2.89881724246286e-4</t>
  </si>
  <si>
    <t>0.020203353464922438</t>
  </si>
  <si>
    <t>0.9076571216970931</t>
  </si>
  <si>
    <t>0.11181574276652546</t>
  </si>
  <si>
    <t>0.7423807549487192</t>
  </si>
  <si>
    <t>0.25761924505128075</t>
  </si>
  <si>
    <t>0.017231021023803743</t>
  </si>
  <si>
    <t>0.9242736139361459</t>
  </si>
  <si>
    <t>0.015925706808832728</t>
  </si>
  <si>
    <t>0.8285031440916022</t>
  </si>
  <si>
    <t>0.17149685590839783</t>
  </si>
  <si>
    <t>0.9807119587483725</t>
  </si>
  <si>
    <t>0.019288041251627485</t>
  </si>
  <si>
    <t>0.6632485452375825</t>
  </si>
  <si>
    <t>0.3367514547624175</t>
  </si>
  <si>
    <t>0.012905519457766936</t>
  </si>
  <si>
    <t>0.8962538495946054</t>
  </si>
  <si>
    <t>0.10374615040539456</t>
  </si>
  <si>
    <t>0.9257473735377744</t>
  </si>
  <si>
    <t>0.8695275018125868</t>
  </si>
  <si>
    <t>0.13047249818741322</t>
  </si>
  <si>
    <t>0.9818499742788287</t>
  </si>
  <si>
    <t>0.020300326166776465</t>
  </si>
  <si>
    <t>0.9477706401442807</t>
  </si>
  <si>
    <t>0.052229359855719276</t>
  </si>
  <si>
    <t>0.9624416481155124</t>
  </si>
  <si>
    <t>0.9293540017079978</t>
  </si>
  <si>
    <t>0.014678686856465584</t>
  </si>
  <si>
    <t>0.012225675696480047</t>
  </si>
  <si>
    <t>0.8879693300066939</t>
  </si>
  <si>
    <t>0.11203066999330616</t>
  </si>
  <si>
    <t>0.8554350171617715</t>
  </si>
  <si>
    <t>0.1445649828382285</t>
  </si>
  <si>
    <t>0.034424055064094336</t>
  </si>
  <si>
    <t>0.016548451504492023</t>
  </si>
  <si>
    <t>0.33163686113295904</t>
  </si>
  <si>
    <t>0.012813158032641334</t>
  </si>
  <si>
    <t>0.4916498934286402</t>
  </si>
  <si>
    <t>0.5083501065713598</t>
  </si>
  <si>
    <t>0.012328575628206632</t>
  </si>
  <si>
    <t>0.9914139935760433</t>
  </si>
  <si>
    <t>3.522661421500201e-4</t>
  </si>
  <si>
    <t>0.9332109433691143</t>
  </si>
  <si>
    <t>0.8806065291184425</t>
  </si>
  <si>
    <t>0.1193934708815575</t>
  </si>
  <si>
    <t>0.012320726960904032</t>
  </si>
  <si>
    <t>0.37071325259079013</t>
  </si>
  <si>
    <t>0.6292867474092099</t>
  </si>
  <si>
    <t>0.8662221299639932</t>
  </si>
  <si>
    <t>0.13377787003600683</t>
  </si>
  <si>
    <t>8.208797040448473e-4</t>
  </si>
  <si>
    <t>0.9728286552331499</t>
  </si>
  <si>
    <t>0.027171344766850156</t>
  </si>
  <si>
    <t>0.41037941864871363</t>
  </si>
  <si>
    <t>0.5896205813512864</t>
  </si>
  <si>
    <t>0.2730053976991022</t>
  </si>
  <si>
    <t>0.7269946023008979</t>
  </si>
  <si>
    <t>0.8841642640719932</t>
  </si>
  <si>
    <t>0.1158357359280068</t>
  </si>
  <si>
    <t>0.8766995547352225</t>
  </si>
  <si>
    <t>0.12330044526477744</t>
  </si>
  <si>
    <t>0.012776119389459361</t>
  </si>
  <si>
    <t>0.9926801574427475</t>
  </si>
  <si>
    <t>0.9259550020354412</t>
  </si>
  <si>
    <t>0.016781113752813895</t>
  </si>
  <si>
    <t>0.9779818072576996</t>
  </si>
  <si>
    <t>8.729410054484514e-4</t>
  </si>
  <si>
    <t>0.3735199115848424</t>
  </si>
  <si>
    <t>0.6264800884151577</t>
  </si>
  <si>
    <t>0.013134947086233447</t>
  </si>
  <si>
    <t>0.40660427877677113</t>
  </si>
  <si>
    <t>0.5933957212232289</t>
  </si>
  <si>
    <t>0.8536549484875947</t>
  </si>
  <si>
    <t>0.14634505151240523</t>
  </si>
  <si>
    <t>0.8413950556839975</t>
  </si>
  <si>
    <t>0.15860494431600244</t>
  </si>
  <si>
    <t>0.4459743982332714</t>
  </si>
  <si>
    <t>0.5540256017667287</t>
  </si>
  <si>
    <t>0.9981040384373823</t>
  </si>
  <si>
    <t>8.190471105695276e-4</t>
  </si>
  <si>
    <t>0.26716119317553905</t>
  </si>
  <si>
    <t>0.9559651463047137</t>
  </si>
  <si>
    <t>7.318219841276483e-4</t>
  </si>
  <si>
    <t>0.9882907307170943</t>
  </si>
  <si>
    <t>0.011709269282905692</t>
  </si>
  <si>
    <t>6.369048948730444e-4</t>
  </si>
  <si>
    <t>2.6983920816595514e-4</t>
  </si>
  <si>
    <t>0.5371722506716881</t>
  </si>
  <si>
    <t>0.46282774932831194</t>
  </si>
  <si>
    <t>0.3659112311093723</t>
  </si>
  <si>
    <t>0.6340887688906277</t>
  </si>
  <si>
    <t>9.423088480884543e-4</t>
  </si>
  <si>
    <t>0.8184829099158073</t>
  </si>
  <si>
    <t>0.18151709008419267</t>
  </si>
  <si>
    <t>2.008770009823315e-4</t>
  </si>
  <si>
    <t>0.9903942770757143</t>
  </si>
  <si>
    <t>9.471014551186469e-5</t>
  </si>
  <si>
    <t>3.6499389155709625e-4</t>
  </si>
  <si>
    <t>0.7662768120780634</t>
  </si>
  <si>
    <t>0.23372318792193658</t>
  </si>
  <si>
    <t>6.179189049611056e-4</t>
  </si>
  <si>
    <t>0.9308990430389708</t>
  </si>
  <si>
    <t>0.021447297762222754</t>
  </si>
  <si>
    <t>0.9785527022377772</t>
  </si>
  <si>
    <t>0.7155856568001531</t>
  </si>
  <si>
    <t>0.28441434319984693</t>
  </si>
  <si>
    <t>2.4254288910488265e-4</t>
  </si>
  <si>
    <t>0.9303129855945313</t>
  </si>
  <si>
    <t>2.488357578930285e-4</t>
  </si>
  <si>
    <t>0.7711928275832262</t>
  </si>
  <si>
    <t>0.2288071724167738</t>
  </si>
  <si>
    <t>3.967361252569778e-4</t>
  </si>
  <si>
    <t>0.7052342686200537</t>
  </si>
  <si>
    <t>0.2947657313799464</t>
  </si>
  <si>
    <t>6.889803426122474e-4</t>
  </si>
  <si>
    <t>1.80190021383827e-5</t>
  </si>
  <si>
    <t>0.5656215865004331</t>
  </si>
  <si>
    <t>0.43437841349956685</t>
  </si>
  <si>
    <t>5.007614184223386e-4</t>
  </si>
  <si>
    <t>0.6874115386747254</t>
  </si>
  <si>
    <t>0.31258846132527457</t>
  </si>
  <si>
    <t>1.3727593348308596e-4</t>
  </si>
  <si>
    <t>0.9940076975005041</t>
  </si>
  <si>
    <t>4.889616598254618e-5</t>
  </si>
  <si>
    <t>0.025953860319740958</t>
  </si>
  <si>
    <t>0.018146540506132295</t>
  </si>
  <si>
    <t>0.9818534594938677</t>
  </si>
  <si>
    <t>0.013886905093055704</t>
  </si>
  <si>
    <t>0.9978122324740797</t>
  </si>
  <si>
    <t>1.183003389844282e-4</t>
  </si>
  <si>
    <t>0.8097254636564041</t>
  </si>
  <si>
    <t>0.1902745363435959</t>
  </si>
  <si>
    <t>4.307280549939302e-5</t>
  </si>
  <si>
    <t>0.9963534820409825</t>
  </si>
  <si>
    <t>3.212268439212634e-5</t>
  </si>
  <si>
    <t>0.9996774790242792</t>
  </si>
  <si>
    <t>3.2252097572081065e-4</t>
  </si>
  <si>
    <t>2.2595448873854918e-5</t>
  </si>
  <si>
    <t>0.9553656328339332</t>
  </si>
  <si>
    <t>1.884437651905649e-4</t>
  </si>
  <si>
    <t>0.13918287255679837</t>
  </si>
  <si>
    <t>0.8608171274432016</t>
  </si>
  <si>
    <t>0.8129312590103557</t>
  </si>
  <si>
    <t>0.1870687409896443</t>
  </si>
  <si>
    <t>5.842929580731717e-5</t>
  </si>
  <si>
    <t>0.9548625360100609</t>
  </si>
  <si>
    <t>0.9827802274309585</t>
  </si>
  <si>
    <t>2.5398566706630397e-5</t>
  </si>
  <si>
    <t>0.9629898105751118</t>
  </si>
  <si>
    <t>0.9538975360681733</t>
  </si>
  <si>
    <t>1.5976657087045766e-4</t>
  </si>
  <si>
    <t>0.5484603860927105</t>
  </si>
  <si>
    <t>0.45153961390728947</t>
  </si>
  <si>
    <t>3.018892318343232e-5</t>
  </si>
  <si>
    <t>0.9969561772922487</t>
  </si>
  <si>
    <t>2.570239141438076e-6</t>
  </si>
  <si>
    <t>1.0596891394129047e-5</t>
  </si>
  <si>
    <t>0.9107684780637678</t>
  </si>
  <si>
    <t>6.264661852315218e-5</t>
  </si>
  <si>
    <t>0.12412631105658216</t>
  </si>
  <si>
    <t>0.8758736889434179</t>
  </si>
  <si>
    <t>3.584822904132119e-4</t>
  </si>
  <si>
    <t>0.8500830854308946</t>
  </si>
  <si>
    <t>0.14991691456910536</t>
  </si>
  <si>
    <t>0.6279186964555686</t>
  </si>
  <si>
    <t>0.37208130354443136</t>
  </si>
  <si>
    <t>6.3797830167121985e-6</t>
  </si>
  <si>
    <t>0.8981133132310795</t>
  </si>
  <si>
    <t>0.10188668676892054</t>
  </si>
  <si>
    <t>1.1479858507764051e-5</t>
  </si>
  <si>
    <t>0.061601139022921775</t>
  </si>
  <si>
    <t>0.9383988609770783</t>
  </si>
  <si>
    <t>0.8914753954471076</t>
  </si>
  <si>
    <t>0.10852460455289242</t>
  </si>
  <si>
    <t>1.7093810356368987e-5</t>
  </si>
  <si>
    <t>0.37073550856610543</t>
  </si>
  <si>
    <t>0.6292644914338946</t>
  </si>
  <si>
    <t>8.444194208199327e-5</t>
  </si>
  <si>
    <t>0.45292912300795474</t>
  </si>
  <si>
    <t>0.5470708769920453</t>
  </si>
  <si>
    <t>1.19769092994911e-5</t>
  </si>
  <si>
    <t>0.33918042693582895</t>
  </si>
  <si>
    <t>1.3123298329052169e-5</t>
  </si>
  <si>
    <t>0.9699877429521975</t>
  </si>
  <si>
    <t>0.030012257047802485</t>
  </si>
  <si>
    <t>3.0602167653656447e-6</t>
  </si>
  <si>
    <t>aze</t>
  </si>
  <si>
    <t>0.9999513208966145</t>
  </si>
  <si>
    <t>4.867910338542945e-5</t>
  </si>
  <si>
    <t>0.10627702641106196</t>
  </si>
  <si>
    <t>0.9069925455940255</t>
  </si>
  <si>
    <t>0.9999992653260291</t>
  </si>
  <si>
    <t>7.346739708850787e-7</t>
  </si>
  <si>
    <t>0.013150472380530404</t>
  </si>
  <si>
    <t>0.9994579767886845</t>
  </si>
  <si>
    <t>5.420232113155121e-4</t>
  </si>
  <si>
    <t>0.9998421664166306</t>
  </si>
  <si>
    <t>1.5783358336939976e-4</t>
  </si>
  <si>
    <t>0.026202307941080968</t>
  </si>
  <si>
    <t>0.9905734395158834</t>
  </si>
  <si>
    <t>0.8105651772209297</t>
  </si>
  <si>
    <t>0.18943482277907037</t>
  </si>
  <si>
    <t>0.9970545828277498</t>
  </si>
  <si>
    <t>0.9968641709477457</t>
  </si>
  <si>
    <t>0.011120149341537749</t>
  </si>
  <si>
    <t>0.9784483455240958</t>
  </si>
  <si>
    <t>0.021551654475904288</t>
  </si>
  <si>
    <t>0.9958230838221057</t>
  </si>
  <si>
    <t>0.026992996778052385</t>
  </si>
  <si>
    <t>0.8937342815253747</t>
  </si>
  <si>
    <t>0.10626571847462524</t>
  </si>
  <si>
    <t>0.9854318938555229</t>
  </si>
  <si>
    <t>0.014568106144477086</t>
  </si>
  <si>
    <t>0.017277705413064785</t>
  </si>
  <si>
    <t>0.9504030137661976</t>
  </si>
  <si>
    <t>0.015906215829195287</t>
  </si>
  <si>
    <t>0.9997060129903279</t>
  </si>
  <si>
    <t>2.9398700967213826e-4</t>
  </si>
  <si>
    <t>0.9987354547249155</t>
  </si>
  <si>
    <t>0.050237751373626995</t>
  </si>
  <si>
    <t>0.028202971322678173</t>
  </si>
  <si>
    <t>0.9975084463809057</t>
  </si>
  <si>
    <t>0.017939345800717703</t>
  </si>
  <si>
    <t>0.9935811185393163</t>
  </si>
  <si>
    <t>0.012964365523927334</t>
  </si>
  <si>
    <t>0.8742593400123511</t>
  </si>
  <si>
    <t>0.1257406599876489</t>
  </si>
  <si>
    <t>0.023204846130072967</t>
  </si>
  <si>
    <t>0.010231782086514965</t>
  </si>
  <si>
    <t>0.9999596478763298</t>
  </si>
  <si>
    <t>4.0352123670113866e-5</t>
  </si>
  <si>
    <t>0.9293922167798483</t>
  </si>
  <si>
    <t>0.9920770300510412</t>
  </si>
  <si>
    <t>0.5291428979964339</t>
  </si>
  <si>
    <t>0.4708571020035662</t>
  </si>
  <si>
    <t>0.9981758250772591</t>
  </si>
  <si>
    <t>0.9987091308575132</t>
  </si>
  <si>
    <t>0.9990048382965019</t>
  </si>
  <si>
    <t>9.951617034981161e-4</t>
  </si>
  <si>
    <t>0.9968655367143843</t>
  </si>
  <si>
    <t>0.9995439460459232</t>
  </si>
  <si>
    <t>4.5605395407676393e-4</t>
  </si>
  <si>
    <t>0.4914528393141016</t>
  </si>
  <si>
    <t>0.5085471606858984</t>
  </si>
  <si>
    <t>0.6204389123682609</t>
  </si>
  <si>
    <t>0.3795610876317391</t>
  </si>
  <si>
    <t>0.9991936299173954</t>
  </si>
  <si>
    <t>8.06370082604659e-4</t>
  </si>
  <si>
    <t>0.5258498166828326</t>
  </si>
  <si>
    <t>0.4741501833171674</t>
  </si>
  <si>
    <t>0.016606686792025097</t>
  </si>
  <si>
    <t>0.5055129866447197</t>
  </si>
  <si>
    <t>0.4944870133552803</t>
  </si>
  <si>
    <t>0.010986407588958304</t>
  </si>
  <si>
    <t>0.6365883239100797</t>
  </si>
  <si>
    <t>0.36341167608992025</t>
  </si>
  <si>
    <t>0.9994330167971461</t>
  </si>
  <si>
    <t>5.669832028538667e-4</t>
  </si>
  <si>
    <t>0.9961825100220785</t>
  </si>
  <si>
    <t>0.38365909791932296</t>
  </si>
  <si>
    <t>0.9091805339846908</t>
  </si>
  <si>
    <t>0.9479163809758562</t>
  </si>
  <si>
    <t>0.9045258738239362</t>
  </si>
  <si>
    <t>4.518386052801317e-4</t>
  </si>
  <si>
    <t>0.23080426803721898</t>
  </si>
  <si>
    <t>0.9544094243082387</t>
  </si>
  <si>
    <t>0.9992692787018871</t>
  </si>
  <si>
    <t>7.307212981129626e-4</t>
  </si>
  <si>
    <t>9.626431629465903e-4</t>
  </si>
  <si>
    <t>0.9278088687324626</t>
  </si>
  <si>
    <t>0.9963643677314025</t>
  </si>
  <si>
    <t>2.830125308952423e-4</t>
  </si>
  <si>
    <t>0.6991926010995297</t>
  </si>
  <si>
    <t>0.3008073989004703</t>
  </si>
  <si>
    <t>7.006273955370528e-4</t>
  </si>
  <si>
    <t>0.5492928750971495</t>
  </si>
  <si>
    <t>0.4507071249028505</t>
  </si>
  <si>
    <t>0.7614899742935313</t>
  </si>
  <si>
    <t>0.23851002570646876</t>
  </si>
  <si>
    <t>1.753568782518109e-4</t>
  </si>
  <si>
    <t>0.9982319632230885</t>
  </si>
  <si>
    <t>2.212637992535649e-4</t>
  </si>
  <si>
    <t>0.8570660887207262</t>
  </si>
  <si>
    <t>0.14293391127927382</t>
  </si>
  <si>
    <t>7.107286169377386e-5</t>
  </si>
  <si>
    <t>0.9998879697870722</t>
  </si>
  <si>
    <t>1.1203021292786381e-4</t>
  </si>
  <si>
    <t>2.285318415663041e-4</t>
  </si>
  <si>
    <t>0.9284395124575768</t>
  </si>
  <si>
    <t>0.9075284925849055</t>
  </si>
  <si>
    <t>3.095531954555966e-4</t>
  </si>
  <si>
    <t>0.9986964104346043</t>
  </si>
  <si>
    <t>4.0786837433124946e-4</t>
  </si>
  <si>
    <t>0.9978913983091343</t>
  </si>
  <si>
    <t>0.9946942221761753</t>
  </si>
  <si>
    <t>3.0151128223085557e-4</t>
  </si>
  <si>
    <t>0.9653689404537823</t>
  </si>
  <si>
    <t>1.4895726881399376e-5</t>
  </si>
  <si>
    <t>0.3766780441435407</t>
  </si>
  <si>
    <t>0.6233219558564593</t>
  </si>
  <si>
    <t>4.014644556658797e-5</t>
  </si>
  <si>
    <t>0.8660648114037559</t>
  </si>
  <si>
    <t>0.13393518859624412</t>
  </si>
  <si>
    <t>1.857636385737459e-5</t>
  </si>
  <si>
    <t>2.562976407154985e-5</t>
  </si>
  <si>
    <t>0.9873608394883576</t>
  </si>
  <si>
    <t>0.012639160511642331</t>
  </si>
  <si>
    <t>2.5441610063918954e-5</t>
  </si>
  <si>
    <t>6.700037809600166e-6</t>
  </si>
  <si>
    <t>0.9678068339878727</t>
  </si>
  <si>
    <t>1.377028895822008e-4</t>
  </si>
  <si>
    <t>0.9962989139220234</t>
  </si>
  <si>
    <t>4.2832289680651603e-05</t>
  </si>
  <si>
    <t>7.131914458181105e-5</t>
  </si>
  <si>
    <t>1.2646734990444533e-5</t>
  </si>
  <si>
    <t>2.850408423690314e-6</t>
  </si>
  <si>
    <t>0.7667992500490911</t>
  </si>
  <si>
    <t>0.2332007499509089</t>
  </si>
  <si>
    <t>1.7958329871847067e-4</t>
  </si>
  <si>
    <t>2.8744731360912022e-5</t>
  </si>
  <si>
    <t>0.9883563099342769</t>
  </si>
  <si>
    <t>0.011643690065723097</t>
  </si>
  <si>
    <t>4.2054312712000616e-5</t>
  </si>
  <si>
    <t>0.7762274469009024</t>
  </si>
  <si>
    <t>0.22377255309909763</t>
  </si>
  <si>
    <t>1.6871947793383966e-5</t>
  </si>
  <si>
    <t>4.5229421654636335e-6</t>
  </si>
  <si>
    <t>0.9966486274181554</t>
  </si>
  <si>
    <t>2.500821981014184e-5</t>
  </si>
  <si>
    <t>0.9997949769349052</t>
  </si>
  <si>
    <t>2.0502306509482317e-4</t>
  </si>
  <si>
    <t>7.853839728024804e-7</t>
  </si>
  <si>
    <t>1.6701184143326144e-6</t>
  </si>
  <si>
    <t>4.957057017472959e-7</t>
  </si>
  <si>
    <t>0.8652985039451729</t>
  </si>
  <si>
    <t>0.13470149605482706</t>
  </si>
  <si>
    <t>8.540517319417151e-6</t>
  </si>
  <si>
    <t>0.38130710090533665</t>
  </si>
  <si>
    <t>0.6186928990946634</t>
  </si>
  <si>
    <t>3.4041230445810153e-4</t>
  </si>
  <si>
    <t>0.8991004091890354</t>
  </si>
  <si>
    <t>0.1008995908109646</t>
  </si>
  <si>
    <t>1.7517299132265856e-4</t>
  </si>
  <si>
    <t>0.9151728784708678</t>
  </si>
  <si>
    <t>1.1351636416738669e-4</t>
  </si>
  <si>
    <t>0.9042852882426521</t>
  </si>
  <si>
    <t>3.752476865153239e-5</t>
  </si>
  <si>
    <t>0.37971698113207547</t>
  </si>
  <si>
    <t>0.6202830188679245</t>
  </si>
  <si>
    <t>6.485959287439038e-7</t>
  </si>
  <si>
    <t>0.16487044931074868</t>
  </si>
  <si>
    <t>0.8351295506892513</t>
  </si>
  <si>
    <t>1.0937431913932219e-4</t>
  </si>
  <si>
    <t>0.7415111755417093</t>
  </si>
  <si>
    <t>0.25848882445829074</t>
  </si>
  <si>
    <t>blr</t>
  </si>
  <si>
    <t>0.9860473777733367</t>
  </si>
  <si>
    <t>0.013952622226663223</t>
  </si>
  <si>
    <t>0.2794442823675077</t>
  </si>
  <si>
    <t>0.10834183027161409</t>
  </si>
  <si>
    <t>0.3236028552610125</t>
  </si>
  <si>
    <t>0.6763971447389875</t>
  </si>
  <si>
    <t>0.48642320407967943</t>
  </si>
  <si>
    <t>0.5135767959203206</t>
  </si>
  <si>
    <t>0.5829023077432479</t>
  </si>
  <si>
    <t>0.41709769225675214</t>
  </si>
  <si>
    <t>0.46176595244656277</t>
  </si>
  <si>
    <t>0.5382340475534373</t>
  </si>
  <si>
    <t>0.9182003341717803</t>
  </si>
  <si>
    <t>0.7912101748835448</t>
  </si>
  <si>
    <t>0.2087898251164552</t>
  </si>
  <si>
    <t>0.8561341679941502</t>
  </si>
  <si>
    <t>0.14386583200584976</t>
  </si>
  <si>
    <t>0.5309093640555508</t>
  </si>
  <si>
    <t>0.4690906359444492</t>
  </si>
  <si>
    <t>0.5222085785861148</t>
  </si>
  <si>
    <t>0.47779142141388525</t>
  </si>
  <si>
    <t>0.7621143998198056</t>
  </si>
  <si>
    <t>0.23788560018019445</t>
  </si>
  <si>
    <t>0.6585545504520157</t>
  </si>
  <si>
    <t>0.34144544954798434</t>
  </si>
  <si>
    <t>0.5742466523277149</t>
  </si>
  <si>
    <t>0.4257533476722852</t>
  </si>
  <si>
    <t>0.8415429305062317</t>
  </si>
  <si>
    <t>0.1584570694937682</t>
  </si>
  <si>
    <t>0.5024421919421782</t>
  </si>
  <si>
    <t>0.4975578080578218</t>
  </si>
  <si>
    <t>0.032376768520064915</t>
  </si>
  <si>
    <t>0.5800458115132101</t>
  </si>
  <si>
    <t>0.4199541884867899</t>
  </si>
  <si>
    <t>0.30996954007900007</t>
  </si>
  <si>
    <t>0.011494586304786364</t>
  </si>
  <si>
    <t>0.6160068247672372</t>
  </si>
  <si>
    <t>0.38399317523276283</t>
  </si>
  <si>
    <t>0.9536307602702668</t>
  </si>
  <si>
    <t>0.47781433741722557</t>
  </si>
  <si>
    <t>0.5221856625827744</t>
  </si>
  <si>
    <t>0.34737777678350695</t>
  </si>
  <si>
    <t>0.6526222232164931</t>
  </si>
  <si>
    <t>0.9340176106092817</t>
  </si>
  <si>
    <t>0.25616047838870576</t>
  </si>
  <si>
    <t>0.7438395216112943</t>
  </si>
  <si>
    <t>0.3496936357123767</t>
  </si>
  <si>
    <t>0.6503063642876232</t>
  </si>
  <si>
    <t>0.5636781637379128</t>
  </si>
  <si>
    <t>0.4363218362620872</t>
  </si>
  <si>
    <t>0.37292504972952545</t>
  </si>
  <si>
    <t>0.6270749502704746</t>
  </si>
  <si>
    <t>0.5066099218539353</t>
  </si>
  <si>
    <t>0.49339007814606467</t>
  </si>
  <si>
    <t>0.32664627033840293</t>
  </si>
  <si>
    <t>0.45564546885334684</t>
  </si>
  <si>
    <t>0.5443545311466531</t>
  </si>
  <si>
    <t>0.49245723780567074</t>
  </si>
  <si>
    <t>0.5075427621943293</t>
  </si>
  <si>
    <t>0.6616097926462843</t>
  </si>
  <si>
    <t>0.3383902073537157</t>
  </si>
  <si>
    <t>0.9281155592181616</t>
  </si>
  <si>
    <t>3.520543333553882e-4</t>
  </si>
  <si>
    <t>0.9311106973008981</t>
  </si>
  <si>
    <t>0.43897160711903266</t>
  </si>
  <si>
    <t>0.5610283928809673</t>
  </si>
  <si>
    <t>0.4720841861255276</t>
  </si>
  <si>
    <t>0.5279158138744724</t>
  </si>
  <si>
    <t>8.613421230941307e-4</t>
  </si>
  <si>
    <t>0.5945990359333918</t>
  </si>
  <si>
    <t>0.40540096406660825</t>
  </si>
  <si>
    <t>0.6452049400317369</t>
  </si>
  <si>
    <t>0.3547950599682631</t>
  </si>
  <si>
    <t>0.4566396816124911</t>
  </si>
  <si>
    <t>0.5433603183875089</t>
  </si>
  <si>
    <t>0.012120826038947388</t>
  </si>
  <si>
    <t>0.30501601115822186</t>
  </si>
  <si>
    <t>0.6949839888417781</t>
  </si>
  <si>
    <t>0.010474819826700815</t>
  </si>
  <si>
    <t>0.5138036559365246</t>
  </si>
  <si>
    <t>0.4861963440634754</t>
  </si>
  <si>
    <t>0.12328627878548276</t>
  </si>
  <si>
    <t>0.8767137212145173</t>
  </si>
  <si>
    <t>0.011036562899384556</t>
  </si>
  <si>
    <t>0.21943211120281705</t>
  </si>
  <si>
    <t>0.5001494764217858</t>
  </si>
  <si>
    <t>0.49985052357821425</t>
  </si>
  <si>
    <t>0.4755420233841913</t>
  </si>
  <si>
    <t>0.5244579766158086</t>
  </si>
  <si>
    <t>0.49195847596190306</t>
  </si>
  <si>
    <t>9.522894028045725e-4</t>
  </si>
  <si>
    <t>0.3989467086882827</t>
  </si>
  <si>
    <t>0.6010532913117174</t>
  </si>
  <si>
    <t>0.057818739021098346</t>
  </si>
  <si>
    <t>0.9421812609789016</t>
  </si>
  <si>
    <t>0.021942051570533964</t>
  </si>
  <si>
    <t>0.2884270070307472</t>
  </si>
  <si>
    <t>0.7115729929692528</t>
  </si>
  <si>
    <t>0.37837756962417035</t>
  </si>
  <si>
    <t>0.6216224303758296</t>
  </si>
  <si>
    <t>0.7407215983187122</t>
  </si>
  <si>
    <t>0.2592784016812878</t>
  </si>
  <si>
    <t>1.8506881097674053e-4</t>
  </si>
  <si>
    <t>0.9640864659290923</t>
  </si>
  <si>
    <t>1.6123246857096632e-4</t>
  </si>
  <si>
    <t>0.49728396951049963</t>
  </si>
  <si>
    <t>0.5027160304895003</t>
  </si>
  <si>
    <t>9.272013499469179e-4</t>
  </si>
  <si>
    <t>0.21362959979129129</t>
  </si>
  <si>
    <t>0.7863704002087087</t>
  </si>
  <si>
    <t>0.012461003059057453</t>
  </si>
  <si>
    <t>0.38024323412256317</t>
  </si>
  <si>
    <t>0.6197567658774369</t>
  </si>
  <si>
    <t>0.6244181458124767</t>
  </si>
  <si>
    <t>0.37558185418752327</t>
  </si>
  <si>
    <t>6.934931992246363e-4</t>
  </si>
  <si>
    <t>0.2586638529405136</t>
  </si>
  <si>
    <t>0.7413361470594865</t>
  </si>
  <si>
    <t>0.020642582274501203</t>
  </si>
  <si>
    <t>0.9793574177254988</t>
  </si>
  <si>
    <t>0.061378265599972025</t>
  </si>
  <si>
    <t>0.24690132532527093</t>
  </si>
  <si>
    <t>0.32539352297404256</t>
  </si>
  <si>
    <t>0.6746064770259574</t>
  </si>
  <si>
    <t>0.5836268491687548</t>
  </si>
  <si>
    <t>0.4163731508312452</t>
  </si>
  <si>
    <t>0.27341341084367937</t>
  </si>
  <si>
    <t>0.7265865891563206</t>
  </si>
  <si>
    <t>0.9531396993629695</t>
  </si>
  <si>
    <t>0.4506290188158143</t>
  </si>
  <si>
    <t>0.5493709811841857</t>
  </si>
  <si>
    <t>4.165180550839382e-4</t>
  </si>
  <si>
    <t>0.7222602730073368</t>
  </si>
  <si>
    <t>0.27773972699266325</t>
  </si>
  <si>
    <t>2.2474347141306487e-4</t>
  </si>
  <si>
    <t>0.43085576919045715</t>
  </si>
  <si>
    <t>0.5691442308095428</t>
  </si>
  <si>
    <t>0.3920466904077314</t>
  </si>
  <si>
    <t>0.6079533095922687</t>
  </si>
  <si>
    <t>7.979666799872054e-4</t>
  </si>
  <si>
    <t>0.7770526463402136</t>
  </si>
  <si>
    <t>0.2229473536597863</t>
  </si>
  <si>
    <t>1.1744730756670053e-4</t>
  </si>
  <si>
    <t>0.7800495951475921</t>
  </si>
  <si>
    <t>0.21995040485240785</t>
  </si>
  <si>
    <t>2.1764432210424689e-4</t>
  </si>
  <si>
    <t>0.2900867950696821</t>
  </si>
  <si>
    <t>0.7099132049303178</t>
  </si>
  <si>
    <t>2.2653932117575772e-4</t>
  </si>
  <si>
    <t>0.9358122806508687</t>
  </si>
  <si>
    <t>6.551906060144118e-5</t>
  </si>
  <si>
    <t>0.3221402513816479</t>
  </si>
  <si>
    <t>0.6778597486183521</t>
  </si>
  <si>
    <t>0.9358349412680681</t>
  </si>
  <si>
    <t>7.485177825708632e-5</t>
  </si>
  <si>
    <t>1.943514855525787e-4</t>
  </si>
  <si>
    <t>0.4362149781612869</t>
  </si>
  <si>
    <t>0.5637850218387132</t>
  </si>
  <si>
    <t>2.378503241255439e-4</t>
  </si>
  <si>
    <t>0.40683301190131205</t>
  </si>
  <si>
    <t>6.339191298129209e-5</t>
  </si>
  <si>
    <t>0.2258569135971906</t>
  </si>
  <si>
    <t>0.7741430864028094</t>
  </si>
  <si>
    <t>0.34939573873559204</t>
  </si>
  <si>
    <t>4.533966376181369e-5</t>
  </si>
  <si>
    <t>0.6422872417197324</t>
  </si>
  <si>
    <t>0.35771275828026766</t>
  </si>
  <si>
    <t>2.1944587297729752e-4</t>
  </si>
  <si>
    <t>0.9244746655913465</t>
  </si>
  <si>
    <t>4.1157519240376454e-4</t>
  </si>
  <si>
    <t>0.035485869032871424</t>
  </si>
  <si>
    <t>0.9645141309671286</t>
  </si>
  <si>
    <t>0.7640730234084023</t>
  </si>
  <si>
    <t>0.23592697659159767</t>
  </si>
  <si>
    <t>6.565018613966954e-5</t>
  </si>
  <si>
    <t>0.2558622999921179</t>
  </si>
  <si>
    <t>6.429332187452382e-5</t>
  </si>
  <si>
    <t>0.8686450579163467</t>
  </si>
  <si>
    <t>0.13135494208365323</t>
  </si>
  <si>
    <t>1.8976462554141148e-5</t>
  </si>
  <si>
    <t>0.3810928283141881</t>
  </si>
  <si>
    <t>0.6189071716858119</t>
  </si>
  <si>
    <t>8.161456205479672e-6</t>
  </si>
  <si>
    <t>0.6286086481489264</t>
  </si>
  <si>
    <t>0.3713913518510737</t>
  </si>
  <si>
    <t>1.5074369242610973e-5</t>
  </si>
  <si>
    <t>0.45726411369917097</t>
  </si>
  <si>
    <t>6.418183349419438e-6</t>
  </si>
  <si>
    <t>0.4508587601287171</t>
  </si>
  <si>
    <t>0.5491412398712829</t>
  </si>
  <si>
    <t>1.6338748828619777e-5</t>
  </si>
  <si>
    <t>0.010519209960771587</t>
  </si>
  <si>
    <t>0.9894807900392284</t>
  </si>
  <si>
    <t>ben</t>
  </si>
  <si>
    <t>0.9947790364292469</t>
  </si>
  <si>
    <t>0.6598395037641644</t>
  </si>
  <si>
    <t>8.517603399611101e-4</t>
  </si>
  <si>
    <t>2.760348484432589e-4</t>
  </si>
  <si>
    <t>3.5155714727737374e-4</t>
  </si>
  <si>
    <t>6.462084962446127e-5</t>
  </si>
  <si>
    <t>1.8541217496782797e-4</t>
  </si>
  <si>
    <t>7.357019243120843e-5</t>
  </si>
  <si>
    <t>1.6366763548433274e-5</t>
  </si>
  <si>
    <t>5.829765892924734e-5</t>
  </si>
  <si>
    <t>2.456911197678876e-6</t>
  </si>
  <si>
    <t>2.1621985718290346e-6</t>
  </si>
  <si>
    <t>3.501536148710987e-7</t>
  </si>
  <si>
    <t>bfa</t>
  </si>
  <si>
    <t>0.9999468803443599</t>
  </si>
  <si>
    <t>5.3119655640105295e-5</t>
  </si>
  <si>
    <t>0.7443698258994529</t>
  </si>
  <si>
    <t>0.060582235050465096</t>
  </si>
  <si>
    <t>0.062404265712697235</t>
  </si>
  <si>
    <t>2.8651126859828287e-4</t>
  </si>
  <si>
    <t>1.88217799384014e-4</t>
  </si>
  <si>
    <t>1.4948515844684639e-5</t>
  </si>
  <si>
    <t>6.980960802984072e-4</t>
  </si>
  <si>
    <t>Arms and ammunition, parts and accessories thereof</t>
  </si>
  <si>
    <t>3.0171253712633178e-5</t>
  </si>
  <si>
    <t>0.8918983777557354</t>
  </si>
  <si>
    <t>0.10810162224426455</t>
  </si>
  <si>
    <t>4.269880871990473e-4</t>
  </si>
  <si>
    <t>3.7747003059955727e-6</t>
  </si>
  <si>
    <t>3.903516345393561e-6</t>
  </si>
  <si>
    <t>5.592763043862623e-6</t>
  </si>
  <si>
    <t>1.5393516708059504e-5</t>
  </si>
  <si>
    <t>5.075898444569062e-4</t>
  </si>
  <si>
    <t>1.4130729170324689e-6</t>
  </si>
  <si>
    <t>2.5660740575530918e-5</t>
  </si>
  <si>
    <t>1.479725458630064e-4</t>
  </si>
  <si>
    <t>8.919534849224285e-7</t>
  </si>
  <si>
    <t>3.5877218730512214e-5</t>
  </si>
  <si>
    <t>1.756582355427102e-7</t>
  </si>
  <si>
    <t>1.8375803195940186e-6</t>
  </si>
  <si>
    <t>1.8834466366523927e-7</t>
  </si>
  <si>
    <t>4.746675875998569e-6</t>
  </si>
  <si>
    <t>khm</t>
  </si>
  <si>
    <t>0.21823489128360185</t>
  </si>
  <si>
    <t>0.8446546051026323</t>
  </si>
  <si>
    <t>0.15534539489736762</t>
  </si>
  <si>
    <t>0.018852822368776286</t>
  </si>
  <si>
    <t>9.940250761895806e-4</t>
  </si>
  <si>
    <t>5.408511618248836e-4</t>
  </si>
  <si>
    <t>3.52128876709374e-4</t>
  </si>
  <si>
    <t>0.5333429319216834</t>
  </si>
  <si>
    <t>0.4666570680783166</t>
  </si>
  <si>
    <t>0.054012036672478766</t>
  </si>
  <si>
    <t>0.9459879633275212</t>
  </si>
  <si>
    <t>0.6846648190241729</t>
  </si>
  <si>
    <t>0.3153351809758271</t>
  </si>
  <si>
    <t>4.060968445584248e-4</t>
  </si>
  <si>
    <t>1.8262259832997937e-5</t>
  </si>
  <si>
    <t>1.3843130291545371e-5</t>
  </si>
  <si>
    <t>9.240304803158032e-5</t>
  </si>
  <si>
    <t>1.544395306783839e-5</t>
  </si>
  <si>
    <t>0.9342717294050912</t>
  </si>
  <si>
    <t>5.207274088401427e-6</t>
  </si>
  <si>
    <t>2.0086952461148024e-6</t>
  </si>
  <si>
    <t>0.6974096373965399</t>
  </si>
  <si>
    <t>0.010372672247664383</t>
  </si>
  <si>
    <t>1.91025384550368e-5</t>
  </si>
  <si>
    <t>0.32061000624275393</t>
  </si>
  <si>
    <t>0.6793899937572461</t>
  </si>
  <si>
    <t>6.877404517461154e-5</t>
  </si>
  <si>
    <t>0.051893114461646815</t>
  </si>
  <si>
    <t>9.084669255462877e-4</t>
  </si>
  <si>
    <t>1.4825397600447005e-4</t>
  </si>
  <si>
    <t>0.9582895738387274</t>
  </si>
  <si>
    <t>3.182846618450641e-4</t>
  </si>
  <si>
    <t>6.298348278726196e-4</t>
  </si>
  <si>
    <t>0.9083751881578789</t>
  </si>
  <si>
    <t>cmr</t>
  </si>
  <si>
    <t>0.5493501147689321</t>
  </si>
  <si>
    <t>0.18290044688165663</t>
  </si>
  <si>
    <t>0.10839366046688499</t>
  </si>
  <si>
    <t>0.018003831336592124</t>
  </si>
  <si>
    <t>9.432394248505301e-4</t>
  </si>
  <si>
    <t>9.688859119091699e-4</t>
  </si>
  <si>
    <t>0.7619988815906704</t>
  </si>
  <si>
    <t>0.2380011184093296</t>
  </si>
  <si>
    <t>6.517008043172573e-4</t>
  </si>
  <si>
    <t>0.1752210105181648</t>
  </si>
  <si>
    <t>0.8247789894818351</t>
  </si>
  <si>
    <t>1.687882314382106e-4</t>
  </si>
  <si>
    <t>4.3467005062084326e-5</t>
  </si>
  <si>
    <t>0.9405732248013068</t>
  </si>
  <si>
    <t>3.4815892646868516e-5</t>
  </si>
  <si>
    <t>3.414933152635189e-4</t>
  </si>
  <si>
    <t>5.889460732146918e-6</t>
  </si>
  <si>
    <t>0.9150393698064534</t>
  </si>
  <si>
    <t>6.623451536615229e-4</t>
  </si>
  <si>
    <t>9.192097030629306e-5</t>
  </si>
  <si>
    <t>7.789843247464326e-4</t>
  </si>
  <si>
    <t>4.1515025301035633e-7</t>
  </si>
  <si>
    <t>0.5547703180212014</t>
  </si>
  <si>
    <t>0.4452296819787986</t>
  </si>
  <si>
    <t>7.29736159018204e-7</t>
  </si>
  <si>
    <t>5.943610765148269e-6</t>
  </si>
  <si>
    <t>1.134572120028303e-7</t>
  </si>
  <si>
    <t>col</t>
  </si>
  <si>
    <t>0.3819992293413903</t>
  </si>
  <si>
    <t>0.9957001919928865</t>
  </si>
  <si>
    <t>0.9998377038586799</t>
  </si>
  <si>
    <t>1.622961413201337e-4</t>
  </si>
  <si>
    <t>0.11261674688644288</t>
  </si>
  <si>
    <t>0.8478297197390833</t>
  </si>
  <si>
    <t>0.15217028026091672</t>
  </si>
  <si>
    <t>0.9638186117341803</t>
  </si>
  <si>
    <t>0.9499374029885899</t>
  </si>
  <si>
    <t>0.027228976815074163</t>
  </si>
  <si>
    <t>0.9909622044156914</t>
  </si>
  <si>
    <t>0.011014535962847696</t>
  </si>
  <si>
    <t>0.9948505815306937</t>
  </si>
  <si>
    <t>0.014192420993831828</t>
  </si>
  <si>
    <t>0.9806712048088362</t>
  </si>
  <si>
    <t>6.577680806458189e-4</t>
  </si>
  <si>
    <t>0.9997448158533054</t>
  </si>
  <si>
    <t>2.5518414669457716e-4</t>
  </si>
  <si>
    <t>0.021788134485102265</t>
  </si>
  <si>
    <t>0.9398747532274452</t>
  </si>
  <si>
    <t>0.9149562158938455</t>
  </si>
  <si>
    <t>0.5508510430765288</t>
  </si>
  <si>
    <t>0.4491489569234713</t>
  </si>
  <si>
    <t>0.7396496615892588</t>
  </si>
  <si>
    <t>0.2603503384107411</t>
  </si>
  <si>
    <t>0.9995230339234596</t>
  </si>
  <si>
    <t>4.7696607654038227e-4</t>
  </si>
  <si>
    <t>0.8484690820812292</t>
  </si>
  <si>
    <t>0.15153091791877085</t>
  </si>
  <si>
    <t>8.760568106347539e-5</t>
  </si>
  <si>
    <t>2.1487447599639726e-4</t>
  </si>
  <si>
    <t>2.7550169493809827e-4</t>
  </si>
  <si>
    <t>0.8530401951831205</t>
  </si>
  <si>
    <t>0.14695980481687954</t>
  </si>
  <si>
    <t>2.8915814787164106e-4</t>
  </si>
  <si>
    <t>0.9683141243208885</t>
  </si>
  <si>
    <t>9.389311086800529e-5</t>
  </si>
  <si>
    <t>0.9845408555125611</t>
  </si>
  <si>
    <t>0.9986278681520049</t>
  </si>
  <si>
    <t>5.112800310896654e-4</t>
  </si>
  <si>
    <t>1.16604881572324e-5</t>
  </si>
  <si>
    <t>0.8714663312466302</t>
  </si>
  <si>
    <t>0.12853366875336977</t>
  </si>
  <si>
    <t>8.343768996344911e-4</t>
  </si>
  <si>
    <t>0.9259676923302236</t>
  </si>
  <si>
    <t>3.84447026491543e-5</t>
  </si>
  <si>
    <t>0.9968537788851434</t>
  </si>
  <si>
    <t>5.762398167319894e-5</t>
  </si>
  <si>
    <t>0.8121492241663916</t>
  </si>
  <si>
    <t>0.18785077583360846</t>
  </si>
  <si>
    <t>1.0232627318664493e-5</t>
  </si>
  <si>
    <t>0.7693394375408764</t>
  </si>
  <si>
    <t>0.2306605624591236</t>
  </si>
  <si>
    <t>6.456622305314464e-5</t>
  </si>
  <si>
    <t>4.496917086576507e-5</t>
  </si>
  <si>
    <t>3.906798417450709e-5</t>
  </si>
  <si>
    <t>2.562379604228134e-6</t>
  </si>
  <si>
    <t>5.110683293249565e-6</t>
  </si>
  <si>
    <t>0.9851034092202029</t>
  </si>
  <si>
    <t>8.709410600120299e-4</t>
  </si>
  <si>
    <t>8.416721649678209e-5</t>
  </si>
  <si>
    <t>0.9905139201012513</t>
  </si>
  <si>
    <t>0.9851305537381788</t>
  </si>
  <si>
    <t>1.893266898962321e-5</t>
  </si>
  <si>
    <t>0.9998940476990636</t>
  </si>
  <si>
    <t>1.0595230093632036e-4</t>
  </si>
  <si>
    <t>0.10614108367493637</t>
  </si>
  <si>
    <t>0.8938589163250636</t>
  </si>
  <si>
    <t>1.4490591668692016e-4</t>
  </si>
  <si>
    <t>9.909444305518602e-8</t>
  </si>
  <si>
    <t>0.7490137352695194</t>
  </si>
  <si>
    <t>0.25098626473048063</t>
  </si>
  <si>
    <t>3.2526624859648277e-6</t>
  </si>
  <si>
    <t>0.011382105967006402</t>
  </si>
  <si>
    <t>0.032279281466637194</t>
  </si>
  <si>
    <t>0.9677207185333628</t>
  </si>
  <si>
    <t>3.1074103017638224e-4</t>
  </si>
  <si>
    <t>0.12536456031816173</t>
  </si>
  <si>
    <t>0.8746354396818383</t>
  </si>
  <si>
    <t>2.5483036890214316e-5</t>
  </si>
  <si>
    <t>6.94280441655397e-6</t>
  </si>
  <si>
    <t>9.588513438805785e-7</t>
  </si>
  <si>
    <t>0.015494599111592306</t>
  </si>
  <si>
    <t>1.7532518853497514e-6</t>
  </si>
  <si>
    <t>0.9999982467481147</t>
  </si>
  <si>
    <t>7.93093366406449e-6</t>
  </si>
  <si>
    <t>0.9240079365079366</t>
  </si>
  <si>
    <t>1.9863931539698653e-5</t>
  </si>
  <si>
    <t>5.967174581747003e-4</t>
  </si>
  <si>
    <t>0.9944366981305327</t>
  </si>
  <si>
    <t>ecu</t>
  </si>
  <si>
    <t>0.9792234663594036</t>
  </si>
  <si>
    <t>0.020776533640596416</t>
  </si>
  <si>
    <t>0.1012434707292849</t>
  </si>
  <si>
    <t>0.9938968700919748</t>
  </si>
  <si>
    <t>0.9988271795287909</t>
  </si>
  <si>
    <t>0.9923664435403574</t>
  </si>
  <si>
    <t>0.9912468304949165</t>
  </si>
  <si>
    <t>0.9948154042109163</t>
  </si>
  <si>
    <t>6.319467824996374e-4</t>
  </si>
  <si>
    <t>0.9646424859719867</t>
  </si>
  <si>
    <t>9.052512638640897e-4</t>
  </si>
  <si>
    <t>0.9989188427507526</t>
  </si>
  <si>
    <t>2.2032410382507667e-4</t>
  </si>
  <si>
    <t>0.9735936411113354</t>
  </si>
  <si>
    <t>0.026406358888664553</t>
  </si>
  <si>
    <t>1.9861732651788697e-4</t>
  </si>
  <si>
    <t>0.9692801695239347</t>
  </si>
  <si>
    <t>0.030719830476065354</t>
  </si>
  <si>
    <t>6.948742978547671e-4</t>
  </si>
  <si>
    <t>5.578160553188019e-4</t>
  </si>
  <si>
    <t>0.9852149482152361</t>
  </si>
  <si>
    <t>8.471819108817164e-5</t>
  </si>
  <si>
    <t>0.9987702901330441</t>
  </si>
  <si>
    <t>0.9516961835530539</t>
  </si>
  <si>
    <t>2.041113798231495e-4</t>
  </si>
  <si>
    <t>0.9989874000734897</t>
  </si>
  <si>
    <t>1.0913429619584753e-4</t>
  </si>
  <si>
    <t>3.682882177303681e-4</t>
  </si>
  <si>
    <t>9.039223793259753e-6</t>
  </si>
  <si>
    <t>1.8373016068476738e-5</t>
  </si>
  <si>
    <t>0.9234728894989704</t>
  </si>
  <si>
    <t>9.154537929232971e-6</t>
  </si>
  <si>
    <t>4.618035468455737e-5</t>
  </si>
  <si>
    <t>2.327349725074893e-6</t>
  </si>
  <si>
    <t>3.877068225509866e-7</t>
  </si>
  <si>
    <t>0.9751745539177658</t>
  </si>
  <si>
    <t>4.764100040688482e-7</t>
  </si>
  <si>
    <t>1.241844541250062e-7</t>
  </si>
  <si>
    <t>0.9968081755541167</t>
  </si>
  <si>
    <t>6.858524451012212e-4</t>
  </si>
  <si>
    <t>0.9958952740181939</t>
  </si>
  <si>
    <t>1.6657718295875087e-5</t>
  </si>
  <si>
    <t>0.5867978220253978</t>
  </si>
  <si>
    <t>0.11944768334974508</t>
  </si>
  <si>
    <t>4.1667062889610637e-4</t>
  </si>
  <si>
    <t>0.048520748582071054</t>
  </si>
  <si>
    <t>0.7925855023377388</t>
  </si>
  <si>
    <t>0.20741449766226117</t>
  </si>
  <si>
    <t>5.019676082436821e-6</t>
  </si>
  <si>
    <t>0.10525009821963979</t>
  </si>
  <si>
    <t>0.8947499017803602</t>
  </si>
  <si>
    <t>1.7874060672438765e-5</t>
  </si>
  <si>
    <t>4.223066072917975e-5</t>
  </si>
  <si>
    <t>1.108900647950167e-4</t>
  </si>
  <si>
    <t>4.157436806492447e-4</t>
  </si>
  <si>
    <t>0.022334987468167897</t>
  </si>
  <si>
    <t>slv</t>
  </si>
  <si>
    <t>0.5764244213502047</t>
  </si>
  <si>
    <t>0.9998592859041061</t>
  </si>
  <si>
    <t>1.4071409589384208e-4</t>
  </si>
  <si>
    <t>0.016345627334577503</t>
  </si>
  <si>
    <t>0.9998450210353109</t>
  </si>
  <si>
    <t>1.54978964689035e-4</t>
  </si>
  <si>
    <t>0.2718583195529062</t>
  </si>
  <si>
    <t>8.578632998271958e-4</t>
  </si>
  <si>
    <t>0.9929150805383007</t>
  </si>
  <si>
    <t>5.0036166146147716e-5</t>
  </si>
  <si>
    <t>0.7031198399285118</t>
  </si>
  <si>
    <t>0.29688016007148826</t>
  </si>
  <si>
    <t>6.765725570541754e-4</t>
  </si>
  <si>
    <t>3.8457006079229894e-5</t>
  </si>
  <si>
    <t>1.974108787799156e-5</t>
  </si>
  <si>
    <t>2.8323598120553804e-6</t>
  </si>
  <si>
    <t>0.9283387622149837</t>
  </si>
  <si>
    <t>8.06992540418563e-6</t>
  </si>
  <si>
    <t>0.043080236941303175</t>
  </si>
  <si>
    <t>0.9569197630586969</t>
  </si>
  <si>
    <t>6.101731056829282e-5</t>
  </si>
  <si>
    <t>0.1509433962264151</t>
  </si>
  <si>
    <t>0.8490566037735849</t>
  </si>
  <si>
    <t>3.4829482607641566e-6</t>
  </si>
  <si>
    <t>5.6745770248487726e-5</t>
  </si>
  <si>
    <t>3.3383730499399843e-6</t>
  </si>
  <si>
    <t>0.027628940534499196</t>
  </si>
  <si>
    <t>0.9723710594655008</t>
  </si>
  <si>
    <t>9.325101098159129e-5</t>
  </si>
  <si>
    <t>eth</t>
  </si>
  <si>
    <t>0.19315955563657514</t>
  </si>
  <si>
    <t>0.44451471570043427</t>
  </si>
  <si>
    <t>0.1421752701468186</t>
  </si>
  <si>
    <t>0.011339980484633054</t>
  </si>
  <si>
    <t>0.9998422624010536</t>
  </si>
  <si>
    <t>1.5773759894640796e-4</t>
  </si>
  <si>
    <t>0.9991402852582242</t>
  </si>
  <si>
    <t>8.597147417758017e-4</t>
  </si>
  <si>
    <t>2.653678677953985e-4</t>
  </si>
  <si>
    <t>8.51782848289808e-5</t>
  </si>
  <si>
    <t>6.980530414108755e-5</t>
  </si>
  <si>
    <t>6.628064997243634e-5</t>
  </si>
  <si>
    <t>2.5525699853788084e-4</t>
  </si>
  <si>
    <t>0.9999829006560241</t>
  </si>
  <si>
    <t>1.7099343975895937e-5</t>
  </si>
  <si>
    <t>4.8320007121893915e-4</t>
  </si>
  <si>
    <t>0.9870337046400459</t>
  </si>
  <si>
    <t>0.012966295359954074</t>
  </si>
  <si>
    <t>3.107218484190693e-4</t>
  </si>
  <si>
    <t>0.9995952509444145</t>
  </si>
  <si>
    <t>4.0474905558553697e-4</t>
  </si>
  <si>
    <t>1.2712767249655786e-5</t>
  </si>
  <si>
    <t>0.9911156238101282</t>
  </si>
  <si>
    <t>1.3513747053431995e-5</t>
  </si>
  <si>
    <t>0.9893677256999056</t>
  </si>
  <si>
    <t>2.7262471051440734e-5</t>
  </si>
  <si>
    <t>9.30920338966969e-5</t>
  </si>
  <si>
    <t>0.8737319231599395</t>
  </si>
  <si>
    <t>0.12626807684006044</t>
  </si>
  <si>
    <t>7.946337111124563e-6</t>
  </si>
  <si>
    <t>1.236630489341854e-6</t>
  </si>
  <si>
    <t>0.9697459957935609</t>
  </si>
  <si>
    <t>2.120281013764771e-5</t>
  </si>
  <si>
    <t>7.572775224052917e-5</t>
  </si>
  <si>
    <t>0.9638572382449867</t>
  </si>
  <si>
    <t>7.962974164864668e-5</t>
  </si>
  <si>
    <t>2.0249181077905588e-5</t>
  </si>
  <si>
    <t>2.0878130315688746e-4</t>
  </si>
  <si>
    <t>2.5338232846180503e-4</t>
  </si>
  <si>
    <t>4.5802495010581885e-4</t>
  </si>
  <si>
    <t>6.22927310393313e-4</t>
  </si>
  <si>
    <t>0.021860957064990742</t>
  </si>
  <si>
    <t>0.9781390429350093</t>
  </si>
  <si>
    <t>geo</t>
  </si>
  <si>
    <t>0.9919986966497121</t>
  </si>
  <si>
    <t>0.20646784379998884</t>
  </si>
  <si>
    <t>0.9998503135976241</t>
  </si>
  <si>
    <t>1.496864023759374e-4</t>
  </si>
  <si>
    <t>0.9983344873354263</t>
  </si>
  <si>
    <t>0.9927306212485444</t>
  </si>
  <si>
    <t>0.047302057336481775</t>
  </si>
  <si>
    <t>0.1662951599207774</t>
  </si>
  <si>
    <t>0.8337048400792226</t>
  </si>
  <si>
    <t>0.10333980479697981</t>
  </si>
  <si>
    <t>0.9972003243323215</t>
  </si>
  <si>
    <t>0.012648549848917546</t>
  </si>
  <si>
    <t>0.9983538309230716</t>
  </si>
  <si>
    <t>0.9860683409181098</t>
  </si>
  <si>
    <t>0.011629990742863291</t>
  </si>
  <si>
    <t>0.9677402356011414</t>
  </si>
  <si>
    <t>0.032259764398858574</t>
  </si>
  <si>
    <t>0.022336271104205097</t>
  </si>
  <si>
    <t>0.9991297437419051</t>
  </si>
  <si>
    <t>8.702562580948746e-4</t>
  </si>
  <si>
    <t>0.014978699203065445</t>
  </si>
  <si>
    <t>0.43574320155038604</t>
  </si>
  <si>
    <t>0.9944438718822325</t>
  </si>
  <si>
    <t>0.9412306210814707</t>
  </si>
  <si>
    <t>0.023859326752326028</t>
  </si>
  <si>
    <t>0.9954881994630409</t>
  </si>
  <si>
    <t>0.029203386617601055</t>
  </si>
  <si>
    <t>0.9642375250668076</t>
  </si>
  <si>
    <t>0.15918938346876155</t>
  </si>
  <si>
    <t>0.8588617534487781</t>
  </si>
  <si>
    <t>0.14113824655122187</t>
  </si>
  <si>
    <t>0.9948434018431781</t>
  </si>
  <si>
    <t>0.014711361192672018</t>
  </si>
  <si>
    <t>0.9066246668800496</t>
  </si>
  <si>
    <t>0.9877979843229993</t>
  </si>
  <si>
    <t>0.012202015677000692</t>
  </si>
  <si>
    <t>0.20875450378630744</t>
  </si>
  <si>
    <t>0.7912454962136926</t>
  </si>
  <si>
    <t>0.9953969739912235</t>
  </si>
  <si>
    <t>0.9976125565906411</t>
  </si>
  <si>
    <t>0.016126450416720554</t>
  </si>
  <si>
    <t>0.9971439371115799</t>
  </si>
  <si>
    <t>0.9931649681693986</t>
  </si>
  <si>
    <t>0.8604187071111374</t>
  </si>
  <si>
    <t>0.1395812928888625</t>
  </si>
  <si>
    <t>0.7807609504056534</t>
  </si>
  <si>
    <t>0.21923904959434662</t>
  </si>
  <si>
    <t>0.9980933861105983</t>
  </si>
  <si>
    <t>0.4518802551988956</t>
  </si>
  <si>
    <t>0.5481197448011045</t>
  </si>
  <si>
    <t>0.9967034481705226</t>
  </si>
  <si>
    <t>0.9677713237828106</t>
  </si>
  <si>
    <t>0.9848472512527944</t>
  </si>
  <si>
    <t>0.015152748747205607</t>
  </si>
  <si>
    <t>0.010824333689106857</t>
  </si>
  <si>
    <t>0.9950071686725473</t>
  </si>
  <si>
    <t>4.7128179143083324e-4</t>
  </si>
  <si>
    <t>0.5761251664297583</t>
  </si>
  <si>
    <t>0.42387483357024164</t>
  </si>
  <si>
    <t>0.9846763387980795</t>
  </si>
  <si>
    <t>0.7116534638602023</t>
  </si>
  <si>
    <t>0.2883465361397976</t>
  </si>
  <si>
    <t>0.7879801076039143</t>
  </si>
  <si>
    <t>0.21201989239608562</t>
  </si>
  <si>
    <t>0.9894381745346631</t>
  </si>
  <si>
    <t>0.010561825465336924</t>
  </si>
  <si>
    <t>0.4798910709340035</t>
  </si>
  <si>
    <t>0.5201089290659965</t>
  </si>
  <si>
    <t>0.5319199424561162</t>
  </si>
  <si>
    <t>0.4680800575438838</t>
  </si>
  <si>
    <t>0.9926083648965759</t>
  </si>
  <si>
    <t>4.118696054094753e-4</t>
  </si>
  <si>
    <t>0.9061754041911749</t>
  </si>
  <si>
    <t>0.7057319566355313</t>
  </si>
  <si>
    <t>0.2942680433644687</t>
  </si>
  <si>
    <t>7.455369857600967e-4</t>
  </si>
  <si>
    <t>0.9948280449005573</t>
  </si>
  <si>
    <t>2.872653024399064e-4</t>
  </si>
  <si>
    <t>0.4636218132544981</t>
  </si>
  <si>
    <t>8.642516112296424e-4</t>
  </si>
  <si>
    <t>0.9892383759690625</t>
  </si>
  <si>
    <t>0.010761624030937448</t>
  </si>
  <si>
    <t>4.478474166722477e-4</t>
  </si>
  <si>
    <t>0.9206453727879442</t>
  </si>
  <si>
    <t>7.580492555637458e-4</t>
  </si>
  <si>
    <t>0.9996675735553731</t>
  </si>
  <si>
    <t>3.324264446269081e-4</t>
  </si>
  <si>
    <t>2.408710162043259e-4</t>
  </si>
  <si>
    <t>0.026028432568093927</t>
  </si>
  <si>
    <t>1.8163057859656954e-4</t>
  </si>
  <si>
    <t>0.26298582704109597</t>
  </si>
  <si>
    <t>5.38726199833862e-4</t>
  </si>
  <si>
    <t>0.9918920228120435</t>
  </si>
  <si>
    <t>2.4298703623445213e-4</t>
  </si>
  <si>
    <t>0.9864465287341918</t>
  </si>
  <si>
    <t>0.013553471265808227</t>
  </si>
  <si>
    <t>8.043240141871577e-4</t>
  </si>
  <si>
    <t>0.7730732272477303</t>
  </si>
  <si>
    <t>0.2269267727522697</t>
  </si>
  <si>
    <t>8.470893691739554e-5</t>
  </si>
  <si>
    <t>4.563037051176183e-5</t>
  </si>
  <si>
    <t>0.9884259320764823</t>
  </si>
  <si>
    <t>0.011574067923517624</t>
  </si>
  <si>
    <t>3.119642494947786e-4</t>
  </si>
  <si>
    <t>0.9915192099420751</t>
  </si>
  <si>
    <t>8.275146918723896e-4</t>
  </si>
  <si>
    <t>0.2843657796788859</t>
  </si>
  <si>
    <t>0.7156342203211141</t>
  </si>
  <si>
    <t>5.294514539387318e-4</t>
  </si>
  <si>
    <t>0.9678121998792091</t>
  </si>
  <si>
    <t>1.6743978303257654e-5</t>
  </si>
  <si>
    <t>0.9922001086591777</t>
  </si>
  <si>
    <t>8.299758665329391e-5</t>
  </si>
  <si>
    <t>0.6408648189832548</t>
  </si>
  <si>
    <t>0.3591351810167452</t>
  </si>
  <si>
    <t>1.2343538591908158e-4</t>
  </si>
  <si>
    <t>1.6955679774463484e-5</t>
  </si>
  <si>
    <t>0.9956682747669371</t>
  </si>
  <si>
    <t>0.024868281209644356</t>
  </si>
  <si>
    <t>0.9785546214948597</t>
  </si>
  <si>
    <t>0.021445378505140257</t>
  </si>
  <si>
    <t>3.1493453552421855e-5</t>
  </si>
  <si>
    <t>1.4212015445210168e-5</t>
  </si>
  <si>
    <t>6.242955366224857e-6</t>
  </si>
  <si>
    <t>0.8122799232281545</t>
  </si>
  <si>
    <t>0.18772007677184557</t>
  </si>
  <si>
    <t>1.2066668876120486e-4</t>
  </si>
  <si>
    <t>0.8540066478012847</t>
  </si>
  <si>
    <t>0.14599335219871537</t>
  </si>
  <si>
    <t>2.9526138471137922e-5</t>
  </si>
  <si>
    <t>0.9994350016479119</t>
  </si>
  <si>
    <t>5.649983520881397e-4</t>
  </si>
  <si>
    <t>1.7605041295773772e-5</t>
  </si>
  <si>
    <t>0.2541339686098655</t>
  </si>
  <si>
    <t>0.7458660313901345</t>
  </si>
  <si>
    <t>2.366016755716213e-6</t>
  </si>
  <si>
    <t>4.288902710701664e-6</t>
  </si>
  <si>
    <t>0.7643364628266938</t>
  </si>
  <si>
    <t>0.23566353717330626</t>
  </si>
  <si>
    <t>7.840082988462105e-6</t>
  </si>
  <si>
    <t>2.6730419120773697e-6</t>
  </si>
  <si>
    <t>0.9996727962829658</t>
  </si>
  <si>
    <t>3.272037170342255e-4</t>
  </si>
  <si>
    <t>5.066578201247121e-6</t>
  </si>
  <si>
    <t>2.730899244458603e-6</t>
  </si>
  <si>
    <t>2.6773522004496105e-7</t>
  </si>
  <si>
    <t>2.3292135242301566e-6</t>
  </si>
  <si>
    <t>0.9947478672698018</t>
  </si>
  <si>
    <t>5.460638026663141e-6</t>
  </si>
  <si>
    <t>0.23662173202614378</t>
  </si>
  <si>
    <t>0.7633782679738562</t>
  </si>
  <si>
    <t>1.136324639180298e-5</t>
  </si>
  <si>
    <t>0.9957392415850022</t>
  </si>
  <si>
    <t>1.1672592472672265e-6</t>
  </si>
  <si>
    <t>0.9098695240177855</t>
  </si>
  <si>
    <t>4.5486804752901805e-6</t>
  </si>
  <si>
    <t>0.9725628638672117</t>
  </si>
  <si>
    <t>0.027437136132788306</t>
  </si>
  <si>
    <t>8.03006723748472e-6</t>
  </si>
  <si>
    <t>0.9818124804013797</t>
  </si>
  <si>
    <t>0.018187519598620257</t>
  </si>
  <si>
    <t>2.6433672344377114e-6</t>
  </si>
  <si>
    <t>1.5994485467453774e-6</t>
  </si>
  <si>
    <t>0.9765005990801221</t>
  </si>
  <si>
    <t>0.023499400919877865</t>
  </si>
  <si>
    <t>4.2892342713456825e-6</t>
  </si>
  <si>
    <t>0.5517155021287252</t>
  </si>
  <si>
    <t>0.4482844978712747</t>
  </si>
  <si>
    <t>1.654902064457476e-5</t>
  </si>
  <si>
    <t>gha</t>
  </si>
  <si>
    <t>0.3990084562949788</t>
  </si>
  <si>
    <t>0.2726250456348203</t>
  </si>
  <si>
    <t>0.9952794051715157</t>
  </si>
  <si>
    <t>0.9710457704982768</t>
  </si>
  <si>
    <t>2.1508370991542056e-4</t>
  </si>
  <si>
    <t>9.844099017775111e-5</t>
  </si>
  <si>
    <t>0.9355532208797837</t>
  </si>
  <si>
    <t>3.7655491956137754e-4</t>
  </si>
  <si>
    <t>7.715789718337851e-4</t>
  </si>
  <si>
    <t>2.32008981500233e-5</t>
  </si>
  <si>
    <t>3.924049666142587e-5</t>
  </si>
  <si>
    <t>9.188778144708219e-6</t>
  </si>
  <si>
    <t>0.9949353145908603</t>
  </si>
  <si>
    <t>9.710580595062488e-5</t>
  </si>
  <si>
    <t>7.603242296174741e-4</t>
  </si>
  <si>
    <t>1.787718272171975e-4</t>
  </si>
  <si>
    <t>0.9735278227984873</t>
  </si>
  <si>
    <t>0.026472177201512695</t>
  </si>
  <si>
    <t>3.3901591281353225e-6</t>
  </si>
  <si>
    <t>0.7967770814682185</t>
  </si>
  <si>
    <t>0.20322291853178157</t>
  </si>
  <si>
    <t>2.045817258847734e-6</t>
  </si>
  <si>
    <t>0.7504520795660036</t>
  </si>
  <si>
    <t>0.24954792043399637</t>
  </si>
  <si>
    <t>5.064176115231857e-6</t>
  </si>
  <si>
    <t>1.7051529704451568e-6</t>
  </si>
  <si>
    <t>0.4489795918367347</t>
  </si>
  <si>
    <t>0.5510204081632653</t>
  </si>
  <si>
    <t>2.4231121158957494e-6</t>
  </si>
  <si>
    <t>1.9652300078277692e-6</t>
  </si>
  <si>
    <t>0.3076057605760576</t>
  </si>
  <si>
    <t>0.6923942394239424</t>
  </si>
  <si>
    <t>4.8835874118098456e-5</t>
  </si>
  <si>
    <t>3.223490040798578e-6</t>
  </si>
  <si>
    <t>0.7045790251107829</t>
  </si>
  <si>
    <t>0.29542097488921715</t>
  </si>
  <si>
    <t>1.2399447486480894e-6</t>
  </si>
  <si>
    <t>0.2672268907563025</t>
  </si>
  <si>
    <t>0.7327731092436974</t>
  </si>
  <si>
    <t>1.089759417201792e-6</t>
  </si>
  <si>
    <t>0.9826707441386341</t>
  </si>
  <si>
    <t>0.017329255861365953</t>
  </si>
  <si>
    <t>5.390188176176258e-6</t>
  </si>
  <si>
    <t>3.6264262958984e-7</t>
  </si>
  <si>
    <t>0.14481931923182578</t>
  </si>
  <si>
    <t>0.8551806807681742</t>
  </si>
  <si>
    <t>7.333989301346447e-5</t>
  </si>
  <si>
    <t>8.241877945223637e-8</t>
  </si>
  <si>
    <t>1.4033170848067445e-5</t>
  </si>
  <si>
    <t>7.326113729087677e-8</t>
  </si>
  <si>
    <t>0.6720867208672087</t>
  </si>
  <si>
    <t>0.32791327913279134</t>
  </si>
  <si>
    <t>1.3516679830166765e-6</t>
  </si>
  <si>
    <t>1.1703466682217563e-6</t>
  </si>
  <si>
    <t>2.747292648407879e-8</t>
  </si>
  <si>
    <t>2.0206154276196722e-4</t>
  </si>
  <si>
    <t>9.5422631321367e-7</t>
  </si>
  <si>
    <t>1.2820699025903434e-7</t>
  </si>
  <si>
    <t>0.9929866865914957</t>
  </si>
  <si>
    <t>1.0785504631962879e-4</t>
  </si>
  <si>
    <t>1.611030724310703e-4</t>
  </si>
  <si>
    <t>gtm</t>
  </si>
  <si>
    <t>0.2863729743780693</t>
  </si>
  <si>
    <t>0.45702830239903586</t>
  </si>
  <si>
    <t>0.9854714615300736</t>
  </si>
  <si>
    <t>0.014528538469926397</t>
  </si>
  <si>
    <t>0.032043479131331314</t>
  </si>
  <si>
    <t>0.012954590270148454</t>
  </si>
  <si>
    <t>0.9999772385851504</t>
  </si>
  <si>
    <t>2.2761414849547046e-5</t>
  </si>
  <si>
    <t>0.9999843983293731</t>
  </si>
  <si>
    <t>1.560167062689073e-5</t>
  </si>
  <si>
    <t>2.616413175440026e-4</t>
  </si>
  <si>
    <t>5.709490574416708e-4</t>
  </si>
  <si>
    <t>0.9267891130329797</t>
  </si>
  <si>
    <t>0.9997804931587034</t>
  </si>
  <si>
    <t>2.1950684129655375e-4</t>
  </si>
  <si>
    <t>0.9999809824881317</t>
  </si>
  <si>
    <t>1.90175118682858e-5</t>
  </si>
  <si>
    <t>0.10202658868867222</t>
  </si>
  <si>
    <t>0.8979734113113278</t>
  </si>
  <si>
    <t>2.0006164833198873e-4</t>
  </si>
  <si>
    <t>0.9996075512551593</t>
  </si>
  <si>
    <t>3.9244874484065226e-4</t>
  </si>
  <si>
    <t>1.6690249620091567e-4</t>
  </si>
  <si>
    <t>5.94023364244412e-6</t>
  </si>
  <si>
    <t>0.9958043355199627</t>
  </si>
  <si>
    <t>4.06976022470508e-4</t>
  </si>
  <si>
    <t>0.7816242107554975</t>
  </si>
  <si>
    <t>0.21837578924450252</t>
  </si>
  <si>
    <t>1.0373951756557354e-5</t>
  </si>
  <si>
    <t>5.847403375256115e-4</t>
  </si>
  <si>
    <t>2.2541266825700498e-5</t>
  </si>
  <si>
    <t>4.403858840823078e-4</t>
  </si>
  <si>
    <t>0.13993541442411195</t>
  </si>
  <si>
    <t>4.196560497209572e-6</t>
  </si>
  <si>
    <t>1.2332196078990454e-6</t>
  </si>
  <si>
    <t>0.7727272727272727</t>
  </si>
  <si>
    <t>0.22727272727272727</t>
  </si>
  <si>
    <t>4.969016735124359e-7</t>
  </si>
  <si>
    <t>0.9990340483661699</t>
  </si>
  <si>
    <t>9.659516338300268e-4</t>
  </si>
  <si>
    <t>3.9516557314870564e-4</t>
  </si>
  <si>
    <t>2.348989729331515e-7</t>
  </si>
  <si>
    <t>9.127722359388165e-4</t>
  </si>
  <si>
    <t>1.3048888230644971e-6</t>
  </si>
  <si>
    <t>0.9999986951111769</t>
  </si>
  <si>
    <t>0.9131323454266734</t>
  </si>
  <si>
    <t>4.420166250290168e-6</t>
  </si>
  <si>
    <t>0.9997145838518393</t>
  </si>
  <si>
    <t>2.8541614816066416e-4</t>
  </si>
  <si>
    <t>9.891889373931176e-4</t>
  </si>
  <si>
    <t>0.15217391304347827</t>
  </si>
  <si>
    <t>0.8478260869565217</t>
  </si>
  <si>
    <t>7.272833585045652e-7</t>
  </si>
  <si>
    <t>0.9895706763872013</t>
  </si>
  <si>
    <t>0.010429323612798703</t>
  </si>
  <si>
    <t>6.691910355830204e-5</t>
  </si>
  <si>
    <t>0.7968815844922039</t>
  </si>
  <si>
    <t>0.20311841550779605</t>
  </si>
  <si>
    <t>5.359762142022774e-6</t>
  </si>
  <si>
    <t>5.254735197394009e-4</t>
  </si>
  <si>
    <t>8.567601241141124e-4</t>
  </si>
  <si>
    <t>9.482342120150757e-5</t>
  </si>
  <si>
    <t>0.9999051765787985</t>
  </si>
  <si>
    <t>hnd</t>
  </si>
  <si>
    <t>0.9716856953262878</t>
  </si>
  <si>
    <t>0.6814181301458221</t>
  </si>
  <si>
    <t>0.9935116665840086</t>
  </si>
  <si>
    <t>0.021282148127101427</t>
  </si>
  <si>
    <t>0.9370054644194634</t>
  </si>
  <si>
    <t>0.033432725783892836</t>
  </si>
  <si>
    <t>0.5577122915486314</t>
  </si>
  <si>
    <t>0.44228770845136856</t>
  </si>
  <si>
    <t>0.016465439153101828</t>
  </si>
  <si>
    <t>0.8771329987074381</t>
  </si>
  <si>
    <t>0.12286700129256191</t>
  </si>
  <si>
    <t>0.9937404567656813</t>
  </si>
  <si>
    <t>8.172423426719998e-4</t>
  </si>
  <si>
    <t>3.546826526847295e-4</t>
  </si>
  <si>
    <t>0.9999133733409045</t>
  </si>
  <si>
    <t>8.66266590955203e-5</t>
  </si>
  <si>
    <t>0.10457955252233159</t>
  </si>
  <si>
    <t>0.9968166359399512</t>
  </si>
  <si>
    <t>8.634612337283883e-4</t>
  </si>
  <si>
    <t>0.9987998402462936</t>
  </si>
  <si>
    <t>0.9833893408796133</t>
  </si>
  <si>
    <t>0.016610659120386746</t>
  </si>
  <si>
    <t>1.6771094878563733e-4</t>
  </si>
  <si>
    <t>2.9376606528534787e-4</t>
  </si>
  <si>
    <t>3.0475596739448805e-5</t>
  </si>
  <si>
    <t>2.6980382708336744e-5</t>
  </si>
  <si>
    <t>2.455795714221947e-5</t>
  </si>
  <si>
    <t>0.14595606071106798</t>
  </si>
  <si>
    <t>3.5666508666842954e-5</t>
  </si>
  <si>
    <t>5.668475824714413e-5</t>
  </si>
  <si>
    <t>0.9980598221503638</t>
  </si>
  <si>
    <t>1.528847155758706e-5</t>
  </si>
  <si>
    <t>0.9988513540276002</t>
  </si>
  <si>
    <t>5.734721748359252e-7</t>
  </si>
  <si>
    <t>5.601142281427643e-4</t>
  </si>
  <si>
    <t>0.2049568757088473</t>
  </si>
  <si>
    <t>0.7950431242911528</t>
  </si>
  <si>
    <t>2.811521493017801e-4</t>
  </si>
  <si>
    <t>3.3202061432742016e-5</t>
  </si>
  <si>
    <t>4.390028372881911e-6</t>
  </si>
  <si>
    <t>6.327968825775727e-7</t>
  </si>
  <si>
    <t>2.891684004353702e-4</t>
  </si>
  <si>
    <t>6.426843338678473e-8</t>
  </si>
  <si>
    <t>6.740769917144691e-6</t>
  </si>
  <si>
    <t>0.11760614847599003</t>
  </si>
  <si>
    <t>hun</t>
  </si>
  <si>
    <t>0.9972847385543672</t>
  </si>
  <si>
    <t>0.5580128671513145</t>
  </si>
  <si>
    <t>0.2498288459145231</t>
  </si>
  <si>
    <t>0.7501711540854769</t>
  </si>
  <si>
    <t>0.9683799731119207</t>
  </si>
  <si>
    <t>0.031620026888079265</t>
  </si>
  <si>
    <t>0.016625616086766958</t>
  </si>
  <si>
    <t>0.7935736639870224</t>
  </si>
  <si>
    <t>0.2064263360129775</t>
  </si>
  <si>
    <t>0.028228295700119994</t>
  </si>
  <si>
    <t>0.4912279393722485</t>
  </si>
  <si>
    <t>0.5087720606277515</t>
  </si>
  <si>
    <t>0.025426331836874365</t>
  </si>
  <si>
    <t>0.8013778794616178</t>
  </si>
  <si>
    <t>0.1986221205383822</t>
  </si>
  <si>
    <t>7.898349300299765e-5</t>
  </si>
  <si>
    <t>0.9998589594412229</t>
  </si>
  <si>
    <t>1.4104055877705015e-4</t>
  </si>
  <si>
    <t>0.7375779917152576</t>
  </si>
  <si>
    <t>0.26242200828474244</t>
  </si>
  <si>
    <t>0.9331314870953896</t>
  </si>
  <si>
    <t>0.10936971655495824</t>
  </si>
  <si>
    <t>0.8906302834450418</t>
  </si>
  <si>
    <t>0.5401413304309658</t>
  </si>
  <si>
    <t>0.4598586695690342</t>
  </si>
  <si>
    <t>6.978290561839275e-4</t>
  </si>
  <si>
    <t>0.9029480834673743</t>
  </si>
  <si>
    <t>0.5770249438642451</t>
  </si>
  <si>
    <t>0.14622285217344172</t>
  </si>
  <si>
    <t>0.8537771478265582</t>
  </si>
  <si>
    <t>4.24198386905065e-4</t>
  </si>
  <si>
    <t>0.15158607901220833</t>
  </si>
  <si>
    <t>0.8484139209877917</t>
  </si>
  <si>
    <t>3.7804835224895376e-5</t>
  </si>
  <si>
    <t>0.17044827422964823</t>
  </si>
  <si>
    <t>0.8295517257703517</t>
  </si>
  <si>
    <t>4.522072812148458e-4</t>
  </si>
  <si>
    <t>0.9605306065436852</t>
  </si>
  <si>
    <t>0.028981542985188995</t>
  </si>
  <si>
    <t>0.9157271706140897</t>
  </si>
  <si>
    <t>2.7521936256007706e-5</t>
  </si>
  <si>
    <t>0.14422853849332648</t>
  </si>
  <si>
    <t>0.8557714615066735</t>
  </si>
  <si>
    <t>4.0658344570869914e-5</t>
  </si>
  <si>
    <t>0.9543610832322834</t>
  </si>
  <si>
    <t>0.8379476095541157</t>
  </si>
  <si>
    <t>0.1620523904458843</t>
  </si>
  <si>
    <t>6.15076363998173e-5</t>
  </si>
  <si>
    <t>0.9392729266444679</t>
  </si>
  <si>
    <t>0.9434714709709566</t>
  </si>
  <si>
    <t>0.056528529029043366</t>
  </si>
  <si>
    <t>4.2445490945124904e-5</t>
  </si>
  <si>
    <t>0.026161697910895572</t>
  </si>
  <si>
    <t>0.9738383020891044</t>
  </si>
  <si>
    <t>0.022147827712395617</t>
  </si>
  <si>
    <t>2.2301654541233407e-5</t>
  </si>
  <si>
    <t>5.591391946447779e-5</t>
  </si>
  <si>
    <t>0.9402360996528433</t>
  </si>
  <si>
    <t>0.6946047170766272</t>
  </si>
  <si>
    <t>0.3053952829233728</t>
  </si>
  <si>
    <t>3.0212217380265042e-5</t>
  </si>
  <si>
    <t>0.43201749227632363</t>
  </si>
  <si>
    <t>0.5679825077236763</t>
  </si>
  <si>
    <t>6.923721856629125e-4</t>
  </si>
  <si>
    <t>0.043686838627311195</t>
  </si>
  <si>
    <t>0.9563131613726888</t>
  </si>
  <si>
    <t>0.012723710640628444</t>
  </si>
  <si>
    <t>0.9872762893593715</t>
  </si>
  <si>
    <t>0.13228768472737687</t>
  </si>
  <si>
    <t>0.8677123152726232</t>
  </si>
  <si>
    <t>3.4426151050528133e-4</t>
  </si>
  <si>
    <t>0.5340952197618657</t>
  </si>
  <si>
    <t>0.4659047802381343</t>
  </si>
  <si>
    <t>1.3015737338310552e-5</t>
  </si>
  <si>
    <t>0.7253899299488643</t>
  </si>
  <si>
    <t>0.27461007005113575</t>
  </si>
  <si>
    <t>2.298570238235754e-6</t>
  </si>
  <si>
    <t>0.9095163043961285</t>
  </si>
  <si>
    <t>2.487458083791302e-5</t>
  </si>
  <si>
    <t>0.027621720572246915</t>
  </si>
  <si>
    <t>0.9723782794277531</t>
  </si>
  <si>
    <t>9.708956116762233e-4</t>
  </si>
  <si>
    <t>0.9959832981129555</t>
  </si>
  <si>
    <t>0.9773673831142261</t>
  </si>
  <si>
    <t>0.022632616885773907</t>
  </si>
  <si>
    <t>9.383028783319665e-5</t>
  </si>
  <si>
    <t>0.011256114554581536</t>
  </si>
  <si>
    <t>0.9887438854454185</t>
  </si>
  <si>
    <t>0.9972620747830907</t>
  </si>
  <si>
    <t>0.012610605813160942</t>
  </si>
  <si>
    <t>0.028925560261531643</t>
  </si>
  <si>
    <t>0.9710744397384684</t>
  </si>
  <si>
    <t>2.351327957645136e-4</t>
  </si>
  <si>
    <t>0.025783136087130978</t>
  </si>
  <si>
    <t>6.864216510979772e-4</t>
  </si>
  <si>
    <t>2.5821746677069337e-7</t>
  </si>
  <si>
    <t>0.9187232642316552</t>
  </si>
  <si>
    <t>1.0077776731799707e-6</t>
  </si>
  <si>
    <t>0.6695777417068655</t>
  </si>
  <si>
    <t>0.3304222582931346</t>
  </si>
  <si>
    <t>6.446740989735673e-6</t>
  </si>
  <si>
    <t>0.12723897333234044</t>
  </si>
  <si>
    <t>0.8727610266676595</t>
  </si>
  <si>
    <t>3.1914672994335605e-4</t>
  </si>
  <si>
    <t>0.4210762499532553</t>
  </si>
  <si>
    <t>0.5789237500467447</t>
  </si>
  <si>
    <t>9.853015523566083e-7</t>
  </si>
  <si>
    <t>0.3904025861132239</t>
  </si>
  <si>
    <t>2.7127572450806976e-6</t>
  </si>
  <si>
    <t>1.9928574120163222e-4</t>
  </si>
  <si>
    <t>0.10170819707538054</t>
  </si>
  <si>
    <t>0.8982918029246195</t>
  </si>
  <si>
    <t>1.3306637295524396e-5</t>
  </si>
  <si>
    <t>0.9984457173753992</t>
  </si>
  <si>
    <t>3.545910197903027e-4</t>
  </si>
  <si>
    <t>1.4740856988313e-4</t>
  </si>
  <si>
    <t>0.4364799812140425</t>
  </si>
  <si>
    <t>0.5635200187859575</t>
  </si>
  <si>
    <t>6.276364624674644e-7</t>
  </si>
  <si>
    <t>0.1176337950844583</t>
  </si>
  <si>
    <t>0.8823662049155417</t>
  </si>
  <si>
    <t>7.51682541752598e-6</t>
  </si>
  <si>
    <t>0.9407585762986626</t>
  </si>
  <si>
    <t>4.1730750302941984e-5</t>
  </si>
  <si>
    <t>0.9944521494787231</t>
  </si>
  <si>
    <t>0.9948211966639077</t>
  </si>
  <si>
    <t>8.93091166451081e-4</t>
  </si>
  <si>
    <t>0.9913854989231874</t>
  </si>
  <si>
    <t>2.361024377244933e-6</t>
  </si>
  <si>
    <t>0.9226489808091516</t>
  </si>
  <si>
    <t>2.4955937026073653e-5</t>
  </si>
  <si>
    <t>0.9719173919286659</t>
  </si>
  <si>
    <t>0.9635520212060967</t>
  </si>
  <si>
    <t>9.452129958716605e-7</t>
  </si>
  <si>
    <t>7.763973334922673e-4</t>
  </si>
  <si>
    <t>0.9992236026665078</t>
  </si>
  <si>
    <t>7.857585885328976e-4</t>
  </si>
  <si>
    <t>0.9764150943396226</t>
  </si>
  <si>
    <t>7.811373138611158e-9</t>
  </si>
  <si>
    <t>0.9509653848762986</t>
  </si>
  <si>
    <t>0.012983116051460119</t>
  </si>
  <si>
    <t>0.9870168839485399</t>
  </si>
  <si>
    <t>8.321757574119094e-4</t>
  </si>
  <si>
    <t>4.6368951412689144e-4</t>
  </si>
  <si>
    <t>0.9995363104858731</t>
  </si>
  <si>
    <t>4.712148207497673e-5</t>
  </si>
  <si>
    <t>0.9972331467704754</t>
  </si>
  <si>
    <t>0.016748106345198667</t>
  </si>
  <si>
    <t>0.9832518936548014</t>
  </si>
  <si>
    <t>0.9579386978894772</t>
  </si>
  <si>
    <t>4.940693510171558e-7</t>
  </si>
  <si>
    <t>0.19692790002657715</t>
  </si>
  <si>
    <t>0.8030720999734229</t>
  </si>
  <si>
    <t>3.396639278756133e-5</t>
  </si>
  <si>
    <t>2.0560123638419932e-7</t>
  </si>
  <si>
    <t>3.412426843177951e-5</t>
  </si>
  <si>
    <t>0.9999658757315683</t>
  </si>
  <si>
    <t>3.15290601378161e-4</t>
  </si>
  <si>
    <t>0.12861613514980533</t>
  </si>
  <si>
    <t>0.8713838648501947</t>
  </si>
  <si>
    <t>5.498432921488336e-6</t>
  </si>
  <si>
    <t>0.010906112686672435</t>
  </si>
  <si>
    <t>0.9890938873133276</t>
  </si>
  <si>
    <t>1.750053405676496e-5</t>
  </si>
  <si>
    <t>3.2522855864891367e-5</t>
  </si>
  <si>
    <t>0.9999674771441351</t>
  </si>
  <si>
    <t>2.798335627807145e-4</t>
  </si>
  <si>
    <t>0.9793526827903741</t>
  </si>
  <si>
    <t>4.873596762598864e-6</t>
  </si>
  <si>
    <t>0.9930920268599345</t>
  </si>
  <si>
    <t>2.453358123892291e-4</t>
  </si>
  <si>
    <t>0.48959967058054127</t>
  </si>
  <si>
    <t>0.5104003294194588</t>
  </si>
  <si>
    <t>6.084728060080698e-6</t>
  </si>
  <si>
    <t>0.9916948798510387</t>
  </si>
  <si>
    <t>0.1933635480738103</t>
  </si>
  <si>
    <t>0.8066364519261897</t>
  </si>
  <si>
    <t>1.1381760200551823e-6</t>
  </si>
  <si>
    <t>4.7369879992640934e-4</t>
  </si>
  <si>
    <t>0.9995263012000736</t>
  </si>
  <si>
    <t>0.9982888631970868</t>
  </si>
  <si>
    <t>0.9988339198895293</t>
  </si>
  <si>
    <t>1.9211740619516747e-5</t>
  </si>
  <si>
    <t>3.554477284546699e-4</t>
  </si>
  <si>
    <t>0.012541624808921183</t>
  </si>
  <si>
    <t>0.9874583751910788</t>
  </si>
  <si>
    <t>ind</t>
  </si>
  <si>
    <t>0.9979338897786283</t>
  </si>
  <si>
    <t>0.20760447562535217</t>
  </si>
  <si>
    <t>0.9969855854414666</t>
  </si>
  <si>
    <t>0.22381276163906583</t>
  </si>
  <si>
    <t>0.016634799628029072</t>
  </si>
  <si>
    <t>0.9999996744816128</t>
  </si>
  <si>
    <t>3.255183872166988e-7</t>
  </si>
  <si>
    <t>0.8335218863065768</t>
  </si>
  <si>
    <t>0.16647811369342327</t>
  </si>
  <si>
    <t>0.9738222257477571</t>
  </si>
  <si>
    <t>0.014294424046232037</t>
  </si>
  <si>
    <t>0.6598458969544139</t>
  </si>
  <si>
    <t>0.34015410304558613</t>
  </si>
  <si>
    <t>0.9921976715008165</t>
  </si>
  <si>
    <t>0.041892066734401545</t>
  </si>
  <si>
    <t>0.12849048472898097</t>
  </si>
  <si>
    <t>0.7559588679459496</t>
  </si>
  <si>
    <t>0.24404113205405042</t>
  </si>
  <si>
    <t>0.016914660880847834</t>
  </si>
  <si>
    <t>0.30611894995941147</t>
  </si>
  <si>
    <t>0.6938810500405885</t>
  </si>
  <si>
    <t>0.8598837177295465</t>
  </si>
  <si>
    <t>0.1401162822704535</t>
  </si>
  <si>
    <t>0.014345356511596415</t>
  </si>
  <si>
    <t>0.7710542852002908</t>
  </si>
  <si>
    <t>0.22894571479970913</t>
  </si>
  <si>
    <t>0.016642650956106474</t>
  </si>
  <si>
    <t>0.9255526747589684</t>
  </si>
  <si>
    <t>0.32838088475338834</t>
  </si>
  <si>
    <t>0.6716191152466117</t>
  </si>
  <si>
    <t>0.9512800428584312</t>
  </si>
  <si>
    <t>0.9216557070893557</t>
  </si>
  <si>
    <t>0.9988584867192438</t>
  </si>
  <si>
    <t>0.4039819962410033</t>
  </si>
  <si>
    <t>0.5960180037589967</t>
  </si>
  <si>
    <t>0.1505445761983614</t>
  </si>
  <si>
    <t>0.8494554238016386</t>
  </si>
  <si>
    <t>0.033941106152416224</t>
  </si>
  <si>
    <t>0.8958283852763471</t>
  </si>
  <si>
    <t>0.10417161472365284</t>
  </si>
  <si>
    <t>0.4051906535716519</t>
  </si>
  <si>
    <t>0.2334008474357238</t>
  </si>
  <si>
    <t>0.7665991525642762</t>
  </si>
  <si>
    <t>0.8441123457404284</t>
  </si>
  <si>
    <t>0.15588765425957166</t>
  </si>
  <si>
    <t>2.7484128746565247e-4</t>
  </si>
  <si>
    <t>0.9237452867990625</t>
  </si>
  <si>
    <t>0.47795991063530596</t>
  </si>
  <si>
    <t>0.9878572191932833</t>
  </si>
  <si>
    <t>0.012142780806716711</t>
  </si>
  <si>
    <t>5.449095761244405e-4</t>
  </si>
  <si>
    <t>0.9463026710630996</t>
  </si>
  <si>
    <t>0.053697328936900435</t>
  </si>
  <si>
    <t>0.3708774277890762</t>
  </si>
  <si>
    <t>0.6291225722109238</t>
  </si>
  <si>
    <t>5.3784115937040315e-5</t>
  </si>
  <si>
    <t>2.9101610993828147e-4</t>
  </si>
  <si>
    <t>0.9689003889977289</t>
  </si>
  <si>
    <t>3.2577649193776413e-4</t>
  </si>
  <si>
    <t>0.18026918935178052</t>
  </si>
  <si>
    <t>0.8197308106482195</t>
  </si>
  <si>
    <t>0.12601543722057043</t>
  </si>
  <si>
    <t>0.8739845627794296</t>
  </si>
  <si>
    <t>0.014231798596706277</t>
  </si>
  <si>
    <t>0.9857682014032937</t>
  </si>
  <si>
    <t>0.2367379565314288</t>
  </si>
  <si>
    <t>0.7632620434685712</t>
  </si>
  <si>
    <t>6.905455865548873e-4</t>
  </si>
  <si>
    <t>0.7900225214844153</t>
  </si>
  <si>
    <t>0.20997747851558465</t>
  </si>
  <si>
    <t>8.68932901005928e-5</t>
  </si>
  <si>
    <t>0.9678154744907694</t>
  </si>
  <si>
    <t>0.3232772711121215</t>
  </si>
  <si>
    <t>0.6767227288878784</t>
  </si>
  <si>
    <t>0.9256173686921795</t>
  </si>
  <si>
    <t>0.015103885762357038</t>
  </si>
  <si>
    <t>0.11651704105838154</t>
  </si>
  <si>
    <t>0.8834829589416184</t>
  </si>
  <si>
    <t>5.022263595298268e-4</t>
  </si>
  <si>
    <t>0.9902359988087442</t>
  </si>
  <si>
    <t>0.9975833532700997</t>
  </si>
  <si>
    <t>0.9679595377454732</t>
  </si>
  <si>
    <t>1.2520118489949266e-4</t>
  </si>
  <si>
    <t>0.9987963934171711</t>
  </si>
  <si>
    <t>0.4921487015124271</t>
  </si>
  <si>
    <t>0.5078512984875729</t>
  </si>
  <si>
    <t>2.464452107781497e-4</t>
  </si>
  <si>
    <t>0.011303141670294045</t>
  </si>
  <si>
    <t>0.5804689710056173</t>
  </si>
  <si>
    <t>0.41953102899438266</t>
  </si>
  <si>
    <t>2.9617626666188787e-5</t>
  </si>
  <si>
    <t>0.8800717424667328</t>
  </si>
  <si>
    <t>0.11992825753326718</t>
  </si>
  <si>
    <t>2.6141883092954806e-5</t>
  </si>
  <si>
    <t>0.3552218329999999</t>
  </si>
  <si>
    <t>0.6447781670000001</t>
  </si>
  <si>
    <t>6.678356213114165e-4</t>
  </si>
  <si>
    <t>0.9735110708356969</t>
  </si>
  <si>
    <t>0.9233789713922466</t>
  </si>
  <si>
    <t>4.4696810648607506e-4</t>
  </si>
  <si>
    <t>0.9960243785037766</t>
  </si>
  <si>
    <t>4.3248006798816003e-4</t>
  </si>
  <si>
    <t>0.9017024024558021</t>
  </si>
  <si>
    <t>3.566158297066233e-4</t>
  </si>
  <si>
    <t>0.013910634758512688</t>
  </si>
  <si>
    <t>0.9860893652414873</t>
  </si>
  <si>
    <t>8.633134488560035e-4</t>
  </si>
  <si>
    <t>0.9958939617017586</t>
  </si>
  <si>
    <t>2.0433214291110436e-5</t>
  </si>
  <si>
    <t>0.9933697565415651</t>
  </si>
  <si>
    <t>1.0317666410326671e-5</t>
  </si>
  <si>
    <t>0.9977459985721394</t>
  </si>
  <si>
    <t>9.191863208470112e-4</t>
  </si>
  <si>
    <t>0.9982066619358314</t>
  </si>
  <si>
    <t>0.9989177332881698</t>
  </si>
  <si>
    <t>0.5256612700781436</t>
  </si>
  <si>
    <t>0.4743387299218565</t>
  </si>
  <si>
    <t>3.979463183815574e-6</t>
  </si>
  <si>
    <t>0.9916298312332179</t>
  </si>
  <si>
    <t>5.169420892353763e-4</t>
  </si>
  <si>
    <t>9.324105302565485e-4</t>
  </si>
  <si>
    <t>0.9990675894697435</t>
  </si>
  <si>
    <t>2.450976618436821e-5</t>
  </si>
  <si>
    <t>4.442694638894836e-6</t>
  </si>
  <si>
    <t>0.014076883697509127</t>
  </si>
  <si>
    <t>0.9859231163024909</t>
  </si>
  <si>
    <t>8.241609191132957e-5</t>
  </si>
  <si>
    <t>7.21454706960416e-4</t>
  </si>
  <si>
    <t>0.9992785452930396</t>
  </si>
  <si>
    <t>0.9985938944846516</t>
  </si>
  <si>
    <t>0.9982921996979102</t>
  </si>
  <si>
    <t>3.8722259651289266e-5</t>
  </si>
  <si>
    <t>0.9983132112874527</t>
  </si>
  <si>
    <t>7.709920758635e-6</t>
  </si>
  <si>
    <t>1.0029995745666234e-4</t>
  </si>
  <si>
    <t>0.9998997000425434</t>
  </si>
  <si>
    <t>3.419382403499467e-5</t>
  </si>
  <si>
    <t>0.7187017001545595</t>
  </si>
  <si>
    <t>0.28129829984544047</t>
  </si>
  <si>
    <t>1.4892459698697278e-8</t>
  </si>
  <si>
    <t>1.813732073825346e-4</t>
  </si>
  <si>
    <t>0.9998186267926175</t>
  </si>
  <si>
    <t>5.174039396277323e-4</t>
  </si>
  <si>
    <t>0.9976965822032479</t>
  </si>
  <si>
    <t>0.9984522738650025</t>
  </si>
  <si>
    <t>2.64040654456629e-4</t>
  </si>
  <si>
    <t>0.9997359593455434</t>
  </si>
  <si>
    <t>1.7696500398782287e-5</t>
  </si>
  <si>
    <t>0.9981433057179693</t>
  </si>
  <si>
    <t>6.366898523530364e-4</t>
  </si>
  <si>
    <t>0.4759559958186072</t>
  </si>
  <si>
    <t>0.5240440041813929</t>
  </si>
  <si>
    <t>1.1560070436133293e-5</t>
  </si>
  <si>
    <t>0.016373854872328036</t>
  </si>
  <si>
    <t>2.669318031435125e-6</t>
  </si>
  <si>
    <t>0.9982197341104422</t>
  </si>
  <si>
    <t>3.78184001343674e-5</t>
  </si>
  <si>
    <t>0.9984249175950265</t>
  </si>
  <si>
    <t>6.61998605747161e-6</t>
  </si>
  <si>
    <t>2.544405895595239e-6</t>
  </si>
  <si>
    <t>0.9999974555941044</t>
  </si>
  <si>
    <t>0.010988552351918274</t>
  </si>
  <si>
    <t>0.9890114476480817</t>
  </si>
  <si>
    <t>3.474498545188999e-4</t>
  </si>
  <si>
    <t>1.702049537796721e-4</t>
  </si>
  <si>
    <t>0.9998297950462204</t>
  </si>
  <si>
    <t>8.378374425482e-6</t>
  </si>
  <si>
    <t>0.9999916216255745</t>
  </si>
  <si>
    <t>0.9810578817348885</t>
  </si>
  <si>
    <t>5.888667310103743e-6</t>
  </si>
  <si>
    <t>0.019923619304759388</t>
  </si>
  <si>
    <t>0.9800763806952406</t>
  </si>
  <si>
    <t>2.2327399360283612e-4</t>
  </si>
  <si>
    <t>0.9989790198978421</t>
  </si>
  <si>
    <t>2.614285904394588e-4</t>
  </si>
  <si>
    <t>5.855941315938974e-4</t>
  </si>
  <si>
    <t>0.9994144058684061</t>
  </si>
  <si>
    <t>idn</t>
  </si>
  <si>
    <t>0.9937117231796414</t>
  </si>
  <si>
    <t>0.1736231390233361</t>
  </si>
  <si>
    <t>0.1088171971285269</t>
  </si>
  <si>
    <t>0.016960507417029515</t>
  </si>
  <si>
    <t>0.013818232150439444</t>
  </si>
  <si>
    <t>0.9973376417206058</t>
  </si>
  <si>
    <t>0.024809105982336457</t>
  </si>
  <si>
    <t>0.9996758375982884</t>
  </si>
  <si>
    <t>3.2416240171162747e-4</t>
  </si>
  <si>
    <t>0.020600265773446237</t>
  </si>
  <si>
    <t>0.9993857841758689</t>
  </si>
  <si>
    <t>6.142158241311352e-4</t>
  </si>
  <si>
    <t>0.2532099232324721</t>
  </si>
  <si>
    <t>0.017419782242459225</t>
  </si>
  <si>
    <t>0.3036831169575883</t>
  </si>
  <si>
    <t>0.6963168830424117</t>
  </si>
  <si>
    <t>0.016614496731702705</t>
  </si>
  <si>
    <t>0.9992205154975995</t>
  </si>
  <si>
    <t>7.794845024004782e-4</t>
  </si>
  <si>
    <t>0.27337838020174077</t>
  </si>
  <si>
    <t>0.7266216197982592</t>
  </si>
  <si>
    <t>0.025334713137174215</t>
  </si>
  <si>
    <t>0.9187880422214293</t>
  </si>
  <si>
    <t>0.9245666926356565</t>
  </si>
  <si>
    <t>0.17291156023362647</t>
  </si>
  <si>
    <t>0.8270884397663735</t>
  </si>
  <si>
    <t>1.7098969101250473e-4</t>
  </si>
  <si>
    <t>0.19499953792820798</t>
  </si>
  <si>
    <t>0.8335521125448786</t>
  </si>
  <si>
    <t>0.1664478874551214</t>
  </si>
  <si>
    <t>0.049967083674671356</t>
  </si>
  <si>
    <t>0.9500329163253286</t>
  </si>
  <si>
    <t>0.9926833221582503</t>
  </si>
  <si>
    <t>2.5795909851587996e-4</t>
  </si>
  <si>
    <t>6.099638939955479e-4</t>
  </si>
  <si>
    <t>0.9319510263947048</t>
  </si>
  <si>
    <t>0.024425855928393306</t>
  </si>
  <si>
    <t>0.4184419064938561</t>
  </si>
  <si>
    <t>0.5815580935061438</t>
  </si>
  <si>
    <t>0.19908165543840695</t>
  </si>
  <si>
    <t>4.3890692972137495e-4</t>
  </si>
  <si>
    <t>0.2146266132286294</t>
  </si>
  <si>
    <t>0.7853733867713706</t>
  </si>
  <si>
    <t>0.9092993099123619</t>
  </si>
  <si>
    <t>9.670961985149536e-4</t>
  </si>
  <si>
    <t>0.1702589249229169</t>
  </si>
  <si>
    <t>0.8297410750770831</t>
  </si>
  <si>
    <t>8.417332347890058e-5</t>
  </si>
  <si>
    <t>0.9197962517988997</t>
  </si>
  <si>
    <t>2.2025926988541026e-4</t>
  </si>
  <si>
    <t>0.3752378472953365</t>
  </si>
  <si>
    <t>0.6247621527046635</t>
  </si>
  <si>
    <t>4.667084761738845e-5</t>
  </si>
  <si>
    <t>0.9974988260999856</t>
  </si>
  <si>
    <t>3.786251735490232e-5</t>
  </si>
  <si>
    <t>0.5423305146635349</t>
  </si>
  <si>
    <t>0.4576694853364651</t>
  </si>
  <si>
    <t>1.5047107818274335e-4</t>
  </si>
  <si>
    <t>0.9973499216829081</t>
  </si>
  <si>
    <t>0.9270181632227602</t>
  </si>
  <si>
    <t>0.9357611845445534</t>
  </si>
  <si>
    <t>5.1733227563160604e-5</t>
  </si>
  <si>
    <t>0.3258567970689595</t>
  </si>
  <si>
    <t>0.6741432029310405</t>
  </si>
  <si>
    <t>2.299467982462718e-5</t>
  </si>
  <si>
    <t>0.9949711943062598</t>
  </si>
  <si>
    <t>0.9854702921015074</t>
  </si>
  <si>
    <t>1.2962297824935341e-5</t>
  </si>
  <si>
    <t>1.2776210870448385e-4</t>
  </si>
  <si>
    <t>0.9881998763051625</t>
  </si>
  <si>
    <t>4.91139480338272e-4</t>
  </si>
  <si>
    <t>0.5279520093916047</t>
  </si>
  <si>
    <t>0.4720479906083953</t>
  </si>
  <si>
    <t>2.9071072413073943e-5</t>
  </si>
  <si>
    <t>0.038023979638772194</t>
  </si>
  <si>
    <t>0.9619760203612278</t>
  </si>
  <si>
    <t>1.1653908824761806e-5</t>
  </si>
  <si>
    <t>0.022355838187525384</t>
  </si>
  <si>
    <t>0.9776441618124746</t>
  </si>
  <si>
    <t>5.197969070653914e-4</t>
  </si>
  <si>
    <t>0.9999989267906403</t>
  </si>
  <si>
    <t>1.0732093597654577e-6</t>
  </si>
  <si>
    <t>6.713478417073425e-6</t>
  </si>
  <si>
    <t>8.256077303763316e-4</t>
  </si>
  <si>
    <t>0.9991743922696237</t>
  </si>
  <si>
    <t>0.010357148964486087</t>
  </si>
  <si>
    <t>0.9896428510355139</t>
  </si>
  <si>
    <t>1.6280506239721465e-5</t>
  </si>
  <si>
    <t>0.9999837194937603</t>
  </si>
  <si>
    <t>0.2175489896452717</t>
  </si>
  <si>
    <t>0.013317892298784018</t>
  </si>
  <si>
    <t>3.0858146852846645e-6</t>
  </si>
  <si>
    <t>0.9962625317128018</t>
  </si>
  <si>
    <t>6.129455378666159e-4</t>
  </si>
  <si>
    <t>0.9401499324075212</t>
  </si>
  <si>
    <t>7.269621914928001e-7</t>
  </si>
  <si>
    <t>0.9938490881353041</t>
  </si>
  <si>
    <t>4.2066283561008773e-5</t>
  </si>
  <si>
    <t>0.014541650122060212</t>
  </si>
  <si>
    <t>0.9936494598418885</t>
  </si>
  <si>
    <t>5.549883275048149e-5</t>
  </si>
  <si>
    <t>4.2498589676431475e-6</t>
  </si>
  <si>
    <t>0.9999957501410324</t>
  </si>
  <si>
    <t>0.026506899055918662</t>
  </si>
  <si>
    <t>0.9734931009440814</t>
  </si>
  <si>
    <t>3.198562170311568e-6</t>
  </si>
  <si>
    <t>1.7150981053707022e-5</t>
  </si>
  <si>
    <t>0.9999828490189463</t>
  </si>
  <si>
    <t>8.951579118233651e-5</t>
  </si>
  <si>
    <t>0.9999104842088177</t>
  </si>
  <si>
    <t>7.485298383710447e-5</t>
  </si>
  <si>
    <t>0.17805330634278002</t>
  </si>
  <si>
    <t>1.0592188450704975e-6</t>
  </si>
  <si>
    <t>0.9252788146032899</t>
  </si>
  <si>
    <t>8.710064843483681e-5</t>
  </si>
  <si>
    <t>9.193512122188976e-5</t>
  </si>
  <si>
    <t>4.3589142586867046e-7</t>
  </si>
  <si>
    <t>6.637765051599958e-4</t>
  </si>
  <si>
    <t>2.9392535413604836e-6</t>
  </si>
  <si>
    <t>0.9999970607464587</t>
  </si>
  <si>
    <t>0.020377211491620202</t>
  </si>
  <si>
    <t>0.013985728181528377</t>
  </si>
  <si>
    <t>0.9860142718184717</t>
  </si>
  <si>
    <t>1.0929805523539101e-05</t>
  </si>
  <si>
    <t>0.47036902752922005</t>
  </si>
  <si>
    <t>3.693692482786252e-4</t>
  </si>
  <si>
    <t>0.9942773565986038</t>
  </si>
  <si>
    <t>2.7976206779948187e-5</t>
  </si>
  <si>
    <t>0.8100880264766064</t>
  </si>
  <si>
    <t>0.18991197352339362</t>
  </si>
  <si>
    <t>3.252836415282918e-5</t>
  </si>
  <si>
    <t>3.3850673536484554e-4</t>
  </si>
  <si>
    <t>0.9996614932646352</t>
  </si>
  <si>
    <t>5.547317924116877e-4</t>
  </si>
  <si>
    <t>0.9994452682075883</t>
  </si>
  <si>
    <t>1.5364301693741465e-4</t>
  </si>
  <si>
    <t>0.4683048433048433</t>
  </si>
  <si>
    <t>0.5316951566951567</t>
  </si>
  <si>
    <t>1.8438770158266685e-4</t>
  </si>
  <si>
    <t>0.9327380547996361</t>
  </si>
  <si>
    <t>2.0909360591458826e-4</t>
  </si>
  <si>
    <t>2.4367717968567785e-4</t>
  </si>
  <si>
    <t>0.9997563228203143</t>
  </si>
  <si>
    <t>3.336368721959071e-4</t>
  </si>
  <si>
    <t>1.3238002055357706e-5</t>
  </si>
  <si>
    <t>6.928520569577195e-6</t>
  </si>
  <si>
    <t>0.9961753644024471</t>
  </si>
  <si>
    <t>7.444568131393677e-5</t>
  </si>
  <si>
    <t>0.7552142982065184</t>
  </si>
  <si>
    <t>0.24478570179348164</t>
  </si>
  <si>
    <t>4.750751972299618e-5</t>
  </si>
  <si>
    <t>1.1737522431130015e-4</t>
  </si>
  <si>
    <t>0.9942543738510865</t>
  </si>
  <si>
    <t>3.036743939100806e-4</t>
  </si>
  <si>
    <t>0.9996963256060899</t>
  </si>
  <si>
    <t>8.090437900375208e-4</t>
  </si>
  <si>
    <t>2.905178168397707e-4</t>
  </si>
  <si>
    <t>0.9997094821831602</t>
  </si>
  <si>
    <t>0.9070337072396805</t>
  </si>
  <si>
    <t>2.599881065447595e-4</t>
  </si>
  <si>
    <t>jam</t>
  </si>
  <si>
    <t>1.4953186612272123e-4</t>
  </si>
  <si>
    <t>9.230880299492045e-5</t>
  </si>
  <si>
    <t>6.944675492417745e-5</t>
  </si>
  <si>
    <t>5.022946871070387e-5</t>
  </si>
  <si>
    <t>3.0036521721684523e-4</t>
  </si>
  <si>
    <t>2.476143101044678e-7</t>
  </si>
  <si>
    <t>2.083583828927839e-7</t>
  </si>
  <si>
    <t>2.577580722034823e-5</t>
  </si>
  <si>
    <t>0.9999742241927797</t>
  </si>
  <si>
    <t>0.9957917827210278</t>
  </si>
  <si>
    <t>kaz</t>
  </si>
  <si>
    <t>0.7090984738595278</t>
  </si>
  <si>
    <t>0.2909015261404722</t>
  </si>
  <si>
    <t>0.11623805798350412</t>
  </si>
  <si>
    <t>0.25189778924701683</t>
  </si>
  <si>
    <t>0.7481022107529831</t>
  </si>
  <si>
    <t>0.9636120109175896</t>
  </si>
  <si>
    <t>0.045976802338035326</t>
  </si>
  <si>
    <t>0.9964504820299904</t>
  </si>
  <si>
    <t>0.9963615040320823</t>
  </si>
  <si>
    <t>0.8869746424711529</t>
  </si>
  <si>
    <t>0.11302535752884711</t>
  </si>
  <si>
    <t>0.9057830552115553</t>
  </si>
  <si>
    <t>0.9934805367109273</t>
  </si>
  <si>
    <t>0.010434499105764572</t>
  </si>
  <si>
    <t>0.2259980736597333</t>
  </si>
  <si>
    <t>0.7740019263402668</t>
  </si>
  <si>
    <t>0.016246909649319963</t>
  </si>
  <si>
    <t>0.015002512409368611</t>
  </si>
  <si>
    <t>0.9760966751634533</t>
  </si>
  <si>
    <t>0.023903324836546665</t>
  </si>
  <si>
    <t>0.8443851817291482</t>
  </si>
  <si>
    <t>0.15561481827085183</t>
  </si>
  <si>
    <t>0.8548347252051621</t>
  </si>
  <si>
    <t>0.1451652747948379</t>
  </si>
  <si>
    <t>0.8126427197187328</t>
  </si>
  <si>
    <t>0.1873572802812672</t>
  </si>
  <si>
    <t>0.9972956955009239</t>
  </si>
  <si>
    <t>0.015162673952150481</t>
  </si>
  <si>
    <t>0.9700763690578112</t>
  </si>
  <si>
    <t>0.029923630942188806</t>
  </si>
  <si>
    <t>0.9893072385901615</t>
  </si>
  <si>
    <t>0.010692761409838563</t>
  </si>
  <si>
    <t>0.46390911039758553</t>
  </si>
  <si>
    <t>0.5360908896024145</t>
  </si>
  <si>
    <t>0.10705966752074768</t>
  </si>
  <si>
    <t>0.9667596464865275</t>
  </si>
  <si>
    <t>0.9061294755331394</t>
  </si>
  <si>
    <t>0.9719751366281936</t>
  </si>
  <si>
    <t>0.028024863371806395</t>
  </si>
  <si>
    <t>0.9128952608968657</t>
  </si>
  <si>
    <t>0.011886903993915721</t>
  </si>
  <si>
    <t>0.7875489378100795</t>
  </si>
  <si>
    <t>0.21245106218992044</t>
  </si>
  <si>
    <t>0.9898154499428683</t>
  </si>
  <si>
    <t>0.010184550057131689</t>
  </si>
  <si>
    <t>0.015385528769021549</t>
  </si>
  <si>
    <t>0.010663365008269155</t>
  </si>
  <si>
    <t>0.8527832434412526</t>
  </si>
  <si>
    <t>0.1472167565587475</t>
  </si>
  <si>
    <t>0.017823719170102476</t>
  </si>
  <si>
    <t>0.8911393296921643</t>
  </si>
  <si>
    <t>0.1088606703078358</t>
  </si>
  <si>
    <t>0.9838325725802658</t>
  </si>
  <si>
    <t>0.9829654190108688</t>
  </si>
  <si>
    <t>0.017034580989131205</t>
  </si>
  <si>
    <t>0.6507779693971315</t>
  </si>
  <si>
    <t>0.34922203060286844</t>
  </si>
  <si>
    <t>0.015515454124815146</t>
  </si>
  <si>
    <t>0.7569100507204639</t>
  </si>
  <si>
    <t>0.24308994927953612</t>
  </si>
  <si>
    <t>0.9392183353066348</t>
  </si>
  <si>
    <t>0.8444856063455811</t>
  </si>
  <si>
    <t>0.15551439365441885</t>
  </si>
  <si>
    <t>0.8273472265480079</t>
  </si>
  <si>
    <t>0.1726527734519921</t>
  </si>
  <si>
    <t>0.9815221680266014</t>
  </si>
  <si>
    <t>0.018477831973398605</t>
  </si>
  <si>
    <t>0.8256143909620997</t>
  </si>
  <si>
    <t>0.17438560903790037</t>
  </si>
  <si>
    <t>0.9701144684786431</t>
  </si>
  <si>
    <t>0.029885531521356902</t>
  </si>
  <si>
    <t>0.7304850182649498</t>
  </si>
  <si>
    <t>0.2695149817350502</t>
  </si>
  <si>
    <t>0.9687610227796184</t>
  </si>
  <si>
    <t>0.031238977220381617</t>
  </si>
  <si>
    <t>8.874396575863869e-4</t>
  </si>
  <si>
    <t>0.8215365044491465</t>
  </si>
  <si>
    <t>0.17846349555085347</t>
  </si>
  <si>
    <t>0.9806531967934404</t>
  </si>
  <si>
    <t>0.9385032373764611</t>
  </si>
  <si>
    <t>0.2702592784488191</t>
  </si>
  <si>
    <t>0.36082529176195666</t>
  </si>
  <si>
    <t>0.6391747082380433</t>
  </si>
  <si>
    <t>0.011004115175535468</t>
  </si>
  <si>
    <t>0.9726943666593629</t>
  </si>
  <si>
    <t>0.027305633340637035</t>
  </si>
  <si>
    <t>0.9894128756486954</t>
  </si>
  <si>
    <t>0.010587124351304648</t>
  </si>
  <si>
    <t>0.9927643695139332</t>
  </si>
  <si>
    <t>0.9699668259086246</t>
  </si>
  <si>
    <t>0.030033174091375348</t>
  </si>
  <si>
    <t>0.019914318238339983</t>
  </si>
  <si>
    <t>0.5703542343521286</t>
  </si>
  <si>
    <t>0.4296457656478714</t>
  </si>
  <si>
    <t>0.7664735544561231</t>
  </si>
  <si>
    <t>0.23352644554387697</t>
  </si>
  <si>
    <t>0.9692546291239404</t>
  </si>
  <si>
    <t>0.6635664049069345</t>
  </si>
  <si>
    <t>0.3364335950930655</t>
  </si>
  <si>
    <t>0.6860939257890243</t>
  </si>
  <si>
    <t>0.3139060742109757</t>
  </si>
  <si>
    <t>6.089248717293793e-4</t>
  </si>
  <si>
    <t>0.9018609836838126</t>
  </si>
  <si>
    <t>0.9760960891376146</t>
  </si>
  <si>
    <t>0.023903910862385434</t>
  </si>
  <si>
    <t>0.9881867314139788</t>
  </si>
  <si>
    <t>0.011813268586021112</t>
  </si>
  <si>
    <t>9.621038707684414e-4</t>
  </si>
  <si>
    <t>0.9996357951828212</t>
  </si>
  <si>
    <t>3.6420481717885705e-4</t>
  </si>
  <si>
    <t>1.863898865529662e-4</t>
  </si>
  <si>
    <t>0.43225352220848956</t>
  </si>
  <si>
    <t>0.5677464777915104</t>
  </si>
  <si>
    <t>0.7420019084149875</t>
  </si>
  <si>
    <t>0.25799809158501247</t>
  </si>
  <si>
    <t>0.6607882089137153</t>
  </si>
  <si>
    <t>0.3392117910862847</t>
  </si>
  <si>
    <t>0.9213638121444502</t>
  </si>
  <si>
    <t>0.19377813882079847</t>
  </si>
  <si>
    <t>0.8062218611792015</t>
  </si>
  <si>
    <t>0.8887025676574132</t>
  </si>
  <si>
    <t>0.11129743234258677</t>
  </si>
  <si>
    <t>6.082861733879486e-4</t>
  </si>
  <si>
    <t>0.35919939940358747</t>
  </si>
  <si>
    <t>0.6408006005964125</t>
  </si>
  <si>
    <t>0.9471138867247739</t>
  </si>
  <si>
    <t>0.052886113275226104</t>
  </si>
  <si>
    <t>3.284228278943764e-4</t>
  </si>
  <si>
    <t>0.9792859097536125</t>
  </si>
  <si>
    <t>2.2722482179125258e-4</t>
  </si>
  <si>
    <t>0.9756526682065149</t>
  </si>
  <si>
    <t>5.796213445152839e-4</t>
  </si>
  <si>
    <t>0.7676019421459767</t>
  </si>
  <si>
    <t>0.23239805785402334</t>
  </si>
  <si>
    <t>1.8234961776086522e-4</t>
  </si>
  <si>
    <t>1.5113538221964788e-4</t>
  </si>
  <si>
    <t>0.9115634629144946</t>
  </si>
  <si>
    <t>0.7984451110945289</t>
  </si>
  <si>
    <t>0.20155488890547119</t>
  </si>
  <si>
    <t>9.918014934315944e-5</t>
  </si>
  <si>
    <t>0.20306732265099206</t>
  </si>
  <si>
    <t>0.3923555969953398</t>
  </si>
  <si>
    <t>0.6076444030046602</t>
  </si>
  <si>
    <t>0.7685880555913993</t>
  </si>
  <si>
    <t>0.2314119444086007</t>
  </si>
  <si>
    <t>4.0529160544439954e-4</t>
  </si>
  <si>
    <t>0.8791866997292951</t>
  </si>
  <si>
    <t>0.12081330027070489</t>
  </si>
  <si>
    <t>3.595190596369322e-4</t>
  </si>
  <si>
    <t>0.9686936725326822</t>
  </si>
  <si>
    <t>0.7870474118497343</t>
  </si>
  <si>
    <t>0.2129525881502658</t>
  </si>
  <si>
    <t>8.597049239516394e-5</t>
  </si>
  <si>
    <t>0.9899620791185277</t>
  </si>
  <si>
    <t>1.36094072580609e-4</t>
  </si>
  <si>
    <t>0.9457086183690612</t>
  </si>
  <si>
    <t>1.7575611306113617e-4</t>
  </si>
  <si>
    <t>0.7689357425052289</t>
  </si>
  <si>
    <t>0.23106425749477108</t>
  </si>
  <si>
    <t>1.0077807792807148e-4</t>
  </si>
  <si>
    <t>0.13962787412985234</t>
  </si>
  <si>
    <t>0.8603721258701477</t>
  </si>
  <si>
    <t>6.156826824030114e-4</t>
  </si>
  <si>
    <t>1.0417359419953087e-4</t>
  </si>
  <si>
    <t>0.2565467750172783</t>
  </si>
  <si>
    <t>0.7434532249827217</t>
  </si>
  <si>
    <t>6.129653044644376e-4</t>
  </si>
  <si>
    <t>0.9463753686606013</t>
  </si>
  <si>
    <t>0.053624631339398696</t>
  </si>
  <si>
    <t>7.788583281660561e-5</t>
  </si>
  <si>
    <t>2.0224436497069475e-5</t>
  </si>
  <si>
    <t>0.9843006762110568</t>
  </si>
  <si>
    <t>0.015699323788943242</t>
  </si>
  <si>
    <t>3.2291738918218686e-5</t>
  </si>
  <si>
    <t>0.9393748031398803</t>
  </si>
  <si>
    <t>1.5168658186269626e-5</t>
  </si>
  <si>
    <t>0.9976256360631497</t>
  </si>
  <si>
    <t>8.616092385034246e-6</t>
  </si>
  <si>
    <t>0.8002808706319254</t>
  </si>
  <si>
    <t>0.1997191293680746</t>
  </si>
  <si>
    <t>1.746917602513569e-5</t>
  </si>
  <si>
    <t>0.9973212581050889</t>
  </si>
  <si>
    <t>1.1248831258810254e-4</t>
  </si>
  <si>
    <t>0.9054193317520244</t>
  </si>
  <si>
    <t>2.3430657203840588e-5</t>
  </si>
  <si>
    <t>0.9048175839916659</t>
  </si>
  <si>
    <t>1.2949432633828923e-5</t>
  </si>
  <si>
    <t>0.3947042178879331</t>
  </si>
  <si>
    <t>0.6052957821120669</t>
  </si>
  <si>
    <t>3.7122189344345987e-6</t>
  </si>
  <si>
    <t>ken</t>
  </si>
  <si>
    <t>0.3502730898475261</t>
  </si>
  <si>
    <t>0.22937346924524113</t>
  </si>
  <si>
    <t>0.12569688248865965</t>
  </si>
  <si>
    <t>0.9953478464194425</t>
  </si>
  <si>
    <t>0.9649263868228491</t>
  </si>
  <si>
    <t>0.026591475527777506</t>
  </si>
  <si>
    <t>0.9997446960796509</t>
  </si>
  <si>
    <t>2.5530392034914403e-4</t>
  </si>
  <si>
    <t>0.8540671187296096</t>
  </si>
  <si>
    <t>0.14593288127039034</t>
  </si>
  <si>
    <t>0.9999573682461297</t>
  </si>
  <si>
    <t>4.263175387035423e-5</t>
  </si>
  <si>
    <t>0.9986561810369149</t>
  </si>
  <si>
    <t>1.0585192692420544e-4</t>
  </si>
  <si>
    <t>0.9882789063467913</t>
  </si>
  <si>
    <t>0.011721093653208755</t>
  </si>
  <si>
    <t>7.406011072092896e-4</t>
  </si>
  <si>
    <t>2.846265101046973e-4</t>
  </si>
  <si>
    <t>0.9903112114756946</t>
  </si>
  <si>
    <t>4.5106002678559385e-4</t>
  </si>
  <si>
    <t>2.5298799715429163e-4</t>
  </si>
  <si>
    <t>1.762420381860258e-5</t>
  </si>
  <si>
    <t>1.0451168328780981e-4</t>
  </si>
  <si>
    <t>0.9958639455782313</t>
  </si>
  <si>
    <t>6.630339912745706e-5</t>
  </si>
  <si>
    <t>2.437439244114136e-5</t>
  </si>
  <si>
    <t>0.8767976108430967</t>
  </si>
  <si>
    <t>0.12320238915690329</t>
  </si>
  <si>
    <t>2.2438771343193047e-5</t>
  </si>
  <si>
    <t>0.8644839656330658</t>
  </si>
  <si>
    <t>0.1355160343669342</t>
  </si>
  <si>
    <t>7.289636686188019e-5</t>
  </si>
  <si>
    <t>0.9965896760192218</t>
  </si>
  <si>
    <t>1.3301402612904972e-5</t>
  </si>
  <si>
    <t>0.9999771324033844</t>
  </si>
  <si>
    <t>2.2867596615595703e-5</t>
  </si>
  <si>
    <t>2.2541867007531175e-5</t>
  </si>
  <si>
    <t>0.7958854876688561</t>
  </si>
  <si>
    <t>0.2041145123311439</t>
  </si>
  <si>
    <t>6.239091866582519e-5</t>
  </si>
  <si>
    <t>3.908356635058344e-6</t>
  </si>
  <si>
    <t>2.2016079119406733e-5</t>
  </si>
  <si>
    <t>8.922929748464776e-7</t>
  </si>
  <si>
    <t>0.9180169286577993</t>
  </si>
  <si>
    <t>2.131502860190748e-6</t>
  </si>
  <si>
    <t>1.279159455275294e-5</t>
  </si>
  <si>
    <t>0.9018924302788844</t>
  </si>
  <si>
    <t>2.070160939909563e-6</t>
  </si>
  <si>
    <t>1.8825268308141745e-6</t>
  </si>
  <si>
    <t>0.8644906033630069</t>
  </si>
  <si>
    <t>0.13550939663699307</t>
  </si>
  <si>
    <t>1.5634457496876755e-6</t>
  </si>
  <si>
    <t>0.9352640545144804</t>
  </si>
  <si>
    <t>3.025857748323988e-7</t>
  </si>
  <si>
    <t>9.278609790431308e-9</t>
  </si>
  <si>
    <t>0.9603174603174603</t>
  </si>
  <si>
    <t>6.495026853301916e-7</t>
  </si>
  <si>
    <t>3.4837210579992547e-4</t>
  </si>
  <si>
    <t>2.621800065866789e-4</t>
  </si>
  <si>
    <t>1.6531863403845248e-4</t>
  </si>
  <si>
    <t>0.9998346813659615</t>
  </si>
  <si>
    <t>0.11345480999239675</t>
  </si>
  <si>
    <t>0.9693801344286781</t>
  </si>
  <si>
    <t>0.030619865571321882</t>
  </si>
  <si>
    <t>4.141352836462507e-6</t>
  </si>
  <si>
    <t>7.618769594587486e-7</t>
  </si>
  <si>
    <t>0.21280523425633835</t>
  </si>
  <si>
    <t>0.7871947657436617</t>
  </si>
  <si>
    <t>2.2059894776750438e-5</t>
  </si>
  <si>
    <t>0.7222591362126246</t>
  </si>
  <si>
    <t>0.2777408637873754</t>
  </si>
  <si>
    <t>7.757948741443956e-7</t>
  </si>
  <si>
    <t>0.7504690431519699</t>
  </si>
  <si>
    <t>2.747499454611049e-7</t>
  </si>
  <si>
    <t>0.030511657017681115</t>
  </si>
  <si>
    <t>0.9694883429823189</t>
  </si>
  <si>
    <t>6.588843907849611e-6</t>
  </si>
  <si>
    <t>0.015180380416704466</t>
  </si>
  <si>
    <t>0.9848196195832956</t>
  </si>
  <si>
    <t>1.7046352619987387e-5</t>
  </si>
  <si>
    <t>6.937247678352038e-7</t>
  </si>
  <si>
    <t>0.9999993062752321</t>
  </si>
  <si>
    <t>0.015328507195038681</t>
  </si>
  <si>
    <t>1.0295648519126918e-5</t>
  </si>
  <si>
    <t>1.5306908377451498e-4</t>
  </si>
  <si>
    <t>0.9998469309162255</t>
  </si>
  <si>
    <t>kgz</t>
  </si>
  <si>
    <t>0.9939186173646979</t>
  </si>
  <si>
    <t>0.33932937070140673</t>
  </si>
  <si>
    <t>0.9997619276050899</t>
  </si>
  <si>
    <t>2.380723949101671e-4</t>
  </si>
  <si>
    <t>0.9997060697050876</t>
  </si>
  <si>
    <t>2.93930294912461e-4</t>
  </si>
  <si>
    <t>0.021695652511628947</t>
  </si>
  <si>
    <t>0.9697114037058651</t>
  </si>
  <si>
    <t>0.030288596294134995</t>
  </si>
  <si>
    <t>0.9892520632482789</t>
  </si>
  <si>
    <t>0.010747936751721164</t>
  </si>
  <si>
    <t>0.9624864945846884</t>
  </si>
  <si>
    <t>0.019688177877824214</t>
  </si>
  <si>
    <t>0.9455273657371078</t>
  </si>
  <si>
    <t>0.9778694617166783</t>
  </si>
  <si>
    <t>0.022130538283321646</t>
  </si>
  <si>
    <t>0.016936039591066075</t>
  </si>
  <si>
    <t>0.9960488178749687</t>
  </si>
  <si>
    <t>0.9965658298400939</t>
  </si>
  <si>
    <t>0.9937882916624227</t>
  </si>
  <si>
    <t>0.010033273555296927</t>
  </si>
  <si>
    <t>0.020516613709755493</t>
  </si>
  <si>
    <t>0.9025695316972822</t>
  </si>
  <si>
    <t>0.9999168860625715</t>
  </si>
  <si>
    <t>8.311393742850613e-5</t>
  </si>
  <si>
    <t>0.9875199225488523</t>
  </si>
  <si>
    <t>0.012480077451147657</t>
  </si>
  <si>
    <t>0.9392116523670035</t>
  </si>
  <si>
    <t>0.015571963577475503</t>
  </si>
  <si>
    <t>0.9803207873794445</t>
  </si>
  <si>
    <t>0.019679212620555525</t>
  </si>
  <si>
    <t>0.010620506454122552</t>
  </si>
  <si>
    <t>0.9597290171978134</t>
  </si>
  <si>
    <t>0.7697001636582661</t>
  </si>
  <si>
    <t>0.23029983634173384</t>
  </si>
  <si>
    <t>0.8652964722830317</t>
  </si>
  <si>
    <t>0.13470352771696825</t>
  </si>
  <si>
    <t>0.9308814968087349</t>
  </si>
  <si>
    <t>0.024383623860148623</t>
  </si>
  <si>
    <t>0.13992283148903814</t>
  </si>
  <si>
    <t>0.8600771685109618</t>
  </si>
  <si>
    <t>0.016137133357053423</t>
  </si>
  <si>
    <t>0.9963355840685054</t>
  </si>
  <si>
    <t>0.011293088359104331</t>
  </si>
  <si>
    <t>0.9056727495972391</t>
  </si>
  <si>
    <t>0.7813984832222585</t>
  </si>
  <si>
    <t>0.21860151677774148</t>
  </si>
  <si>
    <t>0.022665628952158904</t>
  </si>
  <si>
    <t>0.9705775132402289</t>
  </si>
  <si>
    <t>0.029422486759771115</t>
  </si>
  <si>
    <t>0.8901481971935343</t>
  </si>
  <si>
    <t>0.1098518028064657</t>
  </si>
  <si>
    <t>0.5661741401469558</t>
  </si>
  <si>
    <t>0.4338258598530443</t>
  </si>
  <si>
    <t>0.013447405109471885</t>
  </si>
  <si>
    <t>0.9950248546505841</t>
  </si>
  <si>
    <t>0.6191403467300993</t>
  </si>
  <si>
    <t>0.3808596532699006</t>
  </si>
  <si>
    <t>0.020426020709088506</t>
  </si>
  <si>
    <t>0.9999651271731552</t>
  </si>
  <si>
    <t>3.487282684483256e-5</t>
  </si>
  <si>
    <t>0.9703878890710111</t>
  </si>
  <si>
    <t>0.9806431394655617</t>
  </si>
  <si>
    <t>0.9741269559409168</t>
  </si>
  <si>
    <t>0.025873044059083212</t>
  </si>
  <si>
    <t>0.7817992626378053</t>
  </si>
  <si>
    <t>0.2182007373621947</t>
  </si>
  <si>
    <t>0.9149036395080827</t>
  </si>
  <si>
    <t>0.9830158289165435</t>
  </si>
  <si>
    <t>0.9914612949061014</t>
  </si>
  <si>
    <t>0.6361403702140994</t>
  </si>
  <si>
    <t>0.3638596297859006</t>
  </si>
  <si>
    <t>0.9930647417155686</t>
  </si>
  <si>
    <t>0.9812694073094655</t>
  </si>
  <si>
    <t>8.443754116428709e-4</t>
  </si>
  <si>
    <t>0.22164865346105833</t>
  </si>
  <si>
    <t>0.7783513465389417</t>
  </si>
  <si>
    <t>0.015865547572868233</t>
  </si>
  <si>
    <t>0.2174301038764131</t>
  </si>
  <si>
    <t>0.9738345818968471</t>
  </si>
  <si>
    <t>0.026165418103152916</t>
  </si>
  <si>
    <t>8.83289698837146e-4</t>
  </si>
  <si>
    <t>5.778371176696975e-4</t>
  </si>
  <si>
    <t>0.9980590346806946</t>
  </si>
  <si>
    <t>2.7634776118256005e-4</t>
  </si>
  <si>
    <t>4.9054593696994414e-5</t>
  </si>
  <si>
    <t>0.9997929516978031</t>
  </si>
  <si>
    <t>2.0704830219686995e-4</t>
  </si>
  <si>
    <t>0.9430898800316494</t>
  </si>
  <si>
    <t>0.056910119968350596</t>
  </si>
  <si>
    <t>9.98943502100487e-4</t>
  </si>
  <si>
    <t>0.033042550577023884</t>
  </si>
  <si>
    <t>0.9669574494229761</t>
  </si>
  <si>
    <t>0.021054275900109054</t>
  </si>
  <si>
    <t>1.164732133900727e-4</t>
  </si>
  <si>
    <t>9.828797207171026e-4</t>
  </si>
  <si>
    <t>0.8908147646291278</t>
  </si>
  <si>
    <t>0.10918523537087223</t>
  </si>
  <si>
    <t>4.3657640787713336e-5</t>
  </si>
  <si>
    <t>0.5078186676030488</t>
  </si>
  <si>
    <t>0.4921813323969511</t>
  </si>
  <si>
    <t>0.9777428216944346</t>
  </si>
  <si>
    <t>0.022257178305565402</t>
  </si>
  <si>
    <t>4.944623292668446e-4</t>
  </si>
  <si>
    <t>0.8030641672448621</t>
  </si>
  <si>
    <t>0.19693583275513793</t>
  </si>
  <si>
    <t>6.546508534808936e-4</t>
  </si>
  <si>
    <t>0.9277944853767338</t>
  </si>
  <si>
    <t>5.728148238277004e-5</t>
  </si>
  <si>
    <t>1.7247038523184619e-4</t>
  </si>
  <si>
    <t>0.18662095319630184</t>
  </si>
  <si>
    <t>0.8133790468036981</t>
  </si>
  <si>
    <t>0.8748592204278346</t>
  </si>
  <si>
    <t>0.12514077957216538</t>
  </si>
  <si>
    <t>8.09775728941279e-5</t>
  </si>
  <si>
    <t>0.7165314084794899</t>
  </si>
  <si>
    <t>0.28346859152051007</t>
  </si>
  <si>
    <t>3.879387867166446e-4</t>
  </si>
  <si>
    <t>5.85721116624304e-5</t>
  </si>
  <si>
    <t>0.027333780406653352</t>
  </si>
  <si>
    <t>0.9726662195933466</t>
  </si>
  <si>
    <t>0.3178235620919304</t>
  </si>
  <si>
    <t>0.6821764379080696</t>
  </si>
  <si>
    <t>8.48640992763446e-4</t>
  </si>
  <si>
    <t>0.9232153979370167</t>
  </si>
  <si>
    <t>9.014138312170046e-5</t>
  </si>
  <si>
    <t>3.3439143375849614e-5</t>
  </si>
  <si>
    <t>0.9518854420723754</t>
  </si>
  <si>
    <t>0.029676962735907177</t>
  </si>
  <si>
    <t>0.9703230372640929</t>
  </si>
  <si>
    <t>0.16384501520964131</t>
  </si>
  <si>
    <t>0.8361549847903587</t>
  </si>
  <si>
    <t>0.9603158134356209</t>
  </si>
  <si>
    <t>1.7685688154116824e-4</t>
  </si>
  <si>
    <t>0.011607010993368675</t>
  </si>
  <si>
    <t>0.9883929890066313</t>
  </si>
  <si>
    <t>0.044599576544081455</t>
  </si>
  <si>
    <t>1.750928617660399e-5</t>
  </si>
  <si>
    <t>1.7422331312669313e-5</t>
  </si>
  <si>
    <t>0.9921420357528662</t>
  </si>
  <si>
    <t>3.9296751658794083e-5</t>
  </si>
  <si>
    <t>0.7111526330721902</t>
  </si>
  <si>
    <t>0.28884736692780977</t>
  </si>
  <si>
    <t>2.644945123287244e-4</t>
  </si>
  <si>
    <t>0.1336842592315376</t>
  </si>
  <si>
    <t>0.8663157407684624</t>
  </si>
  <si>
    <t>2.5155905199508445e-4</t>
  </si>
  <si>
    <t>0.030448484185447208</t>
  </si>
  <si>
    <t>0.9695515158145528</t>
  </si>
  <si>
    <t>7.209755047760765e-4</t>
  </si>
  <si>
    <t>9.803715864055633e-6</t>
  </si>
  <si>
    <t>8.273994942773308e-6</t>
  </si>
  <si>
    <t>0.019489880309678607</t>
  </si>
  <si>
    <t>0.9805101196903214</t>
  </si>
  <si>
    <t>4.7685773508189644e-5</t>
  </si>
  <si>
    <t>0.5638774375426555</t>
  </si>
  <si>
    <t>0.43612256245734454</t>
  </si>
  <si>
    <t>8.447096743560435e-5</t>
  </si>
  <si>
    <t>0.24736494845360824</t>
  </si>
  <si>
    <t>0.7526350515463918</t>
  </si>
  <si>
    <t>1.660358622374737e-5</t>
  </si>
  <si>
    <t>0.9174083878512675</t>
  </si>
  <si>
    <t>5.597072339445079e-5</t>
  </si>
  <si>
    <t>0.6040534256898681</t>
  </si>
  <si>
    <t>0.39594657431013197</t>
  </si>
  <si>
    <t>8.540337006321256e-6</t>
  </si>
  <si>
    <t>0.9400940349401391</t>
  </si>
  <si>
    <t>9.116019286606897e-6</t>
  </si>
  <si>
    <t>0.15276668064537488</t>
  </si>
  <si>
    <t>0.8472333193546251</t>
  </si>
  <si>
    <t>3.1020976537704004e-5</t>
  </si>
  <si>
    <t>mwi</t>
  </si>
  <si>
    <t>0.34864581032577674</t>
  </si>
  <si>
    <t>0.020732193319802583</t>
  </si>
  <si>
    <t>3.636168263386596e-4</t>
  </si>
  <si>
    <t>3.093376399042313e-5</t>
  </si>
  <si>
    <t>2.721634003437135e-5</t>
  </si>
  <si>
    <t>6.802166338163907e-4</t>
  </si>
  <si>
    <t>8.672390338763376e-6</t>
  </si>
  <si>
    <t>0.7444616177228233</t>
  </si>
  <si>
    <t>0.25553838227717673</t>
  </si>
  <si>
    <t>9.310348256382586e-6</t>
  </si>
  <si>
    <t>5.3147170881359635e-6</t>
  </si>
  <si>
    <t>0.4735169491525424</t>
  </si>
  <si>
    <t>0.5264830508474576</t>
  </si>
  <si>
    <t>9.056124424549368e-6</t>
  </si>
  <si>
    <t>0.4040767386091127</t>
  </si>
  <si>
    <t>0.5959232613908872</t>
  </si>
  <si>
    <t>4.000427844318947e-6</t>
  </si>
  <si>
    <t>1.4390028216974629e-6</t>
  </si>
  <si>
    <t>5.995845090406096e-7</t>
  </si>
  <si>
    <t>4.1731081829226424e-7</t>
  </si>
  <si>
    <t>6.384410011227761e-4</t>
  </si>
  <si>
    <t>0.9993615589988772</t>
  </si>
  <si>
    <t>0.5753613092653972</t>
  </si>
  <si>
    <t>mys</t>
  </si>
  <si>
    <t>0.011836440964717062</t>
  </si>
  <si>
    <t>0.41820866229502135</t>
  </si>
  <si>
    <t>0.9998987420552012</t>
  </si>
  <si>
    <t>1.0125794479881587e-4</t>
  </si>
  <si>
    <t>0.9819471642252074</t>
  </si>
  <si>
    <t>0.018052835774792608</t>
  </si>
  <si>
    <t>0.012374171677339027</t>
  </si>
  <si>
    <t>0.013146586435504003</t>
  </si>
  <si>
    <t>0.9395804322306577</t>
  </si>
  <si>
    <t>0.060419567769342326</t>
  </si>
  <si>
    <t>0.9178232452246159</t>
  </si>
  <si>
    <t>0.6528965800488441</t>
  </si>
  <si>
    <t>0.3471034199511559</t>
  </si>
  <si>
    <t>0.013118463625058177</t>
  </si>
  <si>
    <t>0.18730302629804435</t>
  </si>
  <si>
    <t>0.8126969737019557</t>
  </si>
  <si>
    <t>0.17111992352957167</t>
  </si>
  <si>
    <t>0.8288800764704284</t>
  </si>
  <si>
    <t>0.9131104438839593</t>
  </si>
  <si>
    <t>0.42340978983025856</t>
  </si>
  <si>
    <t>0.5765902101697414</t>
  </si>
  <si>
    <t>0.011462867665777997</t>
  </si>
  <si>
    <t>0.2580274287177942</t>
  </si>
  <si>
    <t>0.7419725712822057</t>
  </si>
  <si>
    <t>0.3001962175738297</t>
  </si>
  <si>
    <t>0.6998037824261703</t>
  </si>
  <si>
    <t>0.014941611124839901</t>
  </si>
  <si>
    <t>4.544476026338526e-4</t>
  </si>
  <si>
    <t>0.9862416011995495</t>
  </si>
  <si>
    <t>0.013758398800450542</t>
  </si>
  <si>
    <t>0.7249666827096795</t>
  </si>
  <si>
    <t>0.2750333172903205</t>
  </si>
  <si>
    <t>1.656298744841089e-4</t>
  </si>
  <si>
    <t>0.9435083040625997</t>
  </si>
  <si>
    <t>0.4988217302443348</t>
  </si>
  <si>
    <t>0.5011782697556652</t>
  </si>
  <si>
    <t>4.5091465443056845e-4</t>
  </si>
  <si>
    <t>0.9967305106139518</t>
  </si>
  <si>
    <t>6.572713216739614e-4</t>
  </si>
  <si>
    <t>0.024828293915980938</t>
  </si>
  <si>
    <t>0.8131708596520564</t>
  </si>
  <si>
    <t>0.18682914034794365</t>
  </si>
  <si>
    <t>0.10998648196480805</t>
  </si>
  <si>
    <t>0.8900135180351919</t>
  </si>
  <si>
    <t>0.7666388346749128</t>
  </si>
  <si>
    <t>0.23336116532508724</t>
  </si>
  <si>
    <t>3.9640134361225774e-4</t>
  </si>
  <si>
    <t>0.8321199793581854</t>
  </si>
  <si>
    <t>0.16788002064181456</t>
  </si>
  <si>
    <t>3.0566313823211306e-4</t>
  </si>
  <si>
    <t>0.9985664510487946</t>
  </si>
  <si>
    <t>0.9778044509504036</t>
  </si>
  <si>
    <t>0.1301836652334216</t>
  </si>
  <si>
    <t>0.9492396033129565</t>
  </si>
  <si>
    <t>0.050760396687043435</t>
  </si>
  <si>
    <t>5.461688112964007e-4</t>
  </si>
  <si>
    <t>0.3735938623460497</t>
  </si>
  <si>
    <t>0.6264061376539504</t>
  </si>
  <si>
    <t>4.700958179372337e-5</t>
  </si>
  <si>
    <t>0.9902008397976103</t>
  </si>
  <si>
    <t>0.5512486550116336</t>
  </si>
  <si>
    <t>0.44875134498836644</t>
  </si>
  <si>
    <t>1.053870622811909e-4</t>
  </si>
  <si>
    <t>0.9565774171207547</t>
  </si>
  <si>
    <t>0.045920116493637655</t>
  </si>
  <si>
    <t>0.21772923420566284</t>
  </si>
  <si>
    <t>0.7822707657943372</t>
  </si>
  <si>
    <t>0.7489243499469159</t>
  </si>
  <si>
    <t>3.078704736776873e-4</t>
  </si>
  <si>
    <t>0.1221007174742386</t>
  </si>
  <si>
    <t>0.8778992825257614</t>
  </si>
  <si>
    <t>0.3097676956022571</t>
  </si>
  <si>
    <t>0.6902323043977429</t>
  </si>
  <si>
    <t>2.9757353246686727e-5</t>
  </si>
  <si>
    <t>0.9966949749317449</t>
  </si>
  <si>
    <t>0.21308017585662986</t>
  </si>
  <si>
    <t>0.7869198241433701</t>
  </si>
  <si>
    <t>1.443951136592257e-4</t>
  </si>
  <si>
    <t>0.9966034723994146</t>
  </si>
  <si>
    <t>0.9326992737505434</t>
  </si>
  <si>
    <t>9.531788125904699e-5</t>
  </si>
  <si>
    <t>0.024076974630887506</t>
  </si>
  <si>
    <t>0.9759230253691125</t>
  </si>
  <si>
    <t>0.9696419859470933</t>
  </si>
  <si>
    <t>0.012341997566640858</t>
  </si>
  <si>
    <t>0.9876580024333591</t>
  </si>
  <si>
    <t>6.845677745416169e-4</t>
  </si>
  <si>
    <t>0.9975366823413699</t>
  </si>
  <si>
    <t>0.9963978183334704</t>
  </si>
  <si>
    <t>0.011706940329924835</t>
  </si>
  <si>
    <t>2.406019865483289e-7</t>
  </si>
  <si>
    <t>0.9983607295137517</t>
  </si>
  <si>
    <t>0.9937474830911067</t>
  </si>
  <si>
    <t>4.3501154155432847e-4</t>
  </si>
  <si>
    <t>0.9520324589618241</t>
  </si>
  <si>
    <t>1.2519880652299417e-4</t>
  </si>
  <si>
    <t>2.8033039009757034e-5</t>
  </si>
  <si>
    <t>0.9832673749399257</t>
  </si>
  <si>
    <t>7.693530797137931e-4</t>
  </si>
  <si>
    <t>5.21791279073014e-4</t>
  </si>
  <si>
    <t>9.328956774475288e-4</t>
  </si>
  <si>
    <t>0.021903132996566033</t>
  </si>
  <si>
    <t>7.309939025754123e-5</t>
  </si>
  <si>
    <t>0.9896099256121553</t>
  </si>
  <si>
    <t>7.771905743340203e-4</t>
  </si>
  <si>
    <t>0.1483571191503485</t>
  </si>
  <si>
    <t>0.8516428808496516</t>
  </si>
  <si>
    <t>2.5551543294515634e-6</t>
  </si>
  <si>
    <t>6.590386438188593e-5</t>
  </si>
  <si>
    <t>0.9945120615171099</t>
  </si>
  <si>
    <t>2.747959386617761e-4</t>
  </si>
  <si>
    <t>0.9973528534084329</t>
  </si>
  <si>
    <t>0.015579077244320033</t>
  </si>
  <si>
    <t>0.1426429621288255</t>
  </si>
  <si>
    <t>0.8573570378711745</t>
  </si>
  <si>
    <t>3.700897112625537e-5</t>
  </si>
  <si>
    <t>0.9986016696562628</t>
  </si>
  <si>
    <t>2.7593427332998314e-4</t>
  </si>
  <si>
    <t>0.025009185468461353</t>
  </si>
  <si>
    <t>2.7094739721833163e-5</t>
  </si>
  <si>
    <t>0.10709133206634099</t>
  </si>
  <si>
    <t>1.974221680973879e-4</t>
  </si>
  <si>
    <t>0.012293582699310622</t>
  </si>
  <si>
    <t>0.9877064173006894</t>
  </si>
  <si>
    <t>8.057364372154082e-4</t>
  </si>
  <si>
    <t>5.390321638524989e-4</t>
  </si>
  <si>
    <t>0.9976067435437875</t>
  </si>
  <si>
    <t>0.9960032738267727</t>
  </si>
  <si>
    <t>4.2852170881645964e-4</t>
  </si>
  <si>
    <t>1.0737838899463243e-4</t>
  </si>
  <si>
    <t>1.1975497456652432e-4</t>
  </si>
  <si>
    <t>0.2647647930655228</t>
  </si>
  <si>
    <t>0.7352352069344772</t>
  </si>
  <si>
    <t>5.109375811321847e-5</t>
  </si>
  <si>
    <t>0.020470494694555412</t>
  </si>
  <si>
    <t>0.9795295053054446</t>
  </si>
  <si>
    <t>4.120092162864744e-4</t>
  </si>
  <si>
    <t>3.311734908542085e-4</t>
  </si>
  <si>
    <t>mli</t>
  </si>
  <si>
    <t>0.9905753443731609</t>
  </si>
  <si>
    <t>0.5173786248141719</t>
  </si>
  <si>
    <t>0.3792729305932796</t>
  </si>
  <si>
    <t>0.041915253874388984</t>
  </si>
  <si>
    <t>0.9047915890536945</t>
  </si>
  <si>
    <t>0.9828921832743099</t>
  </si>
  <si>
    <t>0.017107816725690103</t>
  </si>
  <si>
    <t>6.587415443538664e-4</t>
  </si>
  <si>
    <t>0.8835504069068444</t>
  </si>
  <si>
    <t>0.11644959309315567</t>
  </si>
  <si>
    <t>0.9971485465835582</t>
  </si>
  <si>
    <t>3.1821097596349544e-4</t>
  </si>
  <si>
    <t>2.533466705226389e-5</t>
  </si>
  <si>
    <t>2.166069811874057e-4</t>
  </si>
  <si>
    <t>5.1630137885151565e-5</t>
  </si>
  <si>
    <t>3.8886422468509774e-5</t>
  </si>
  <si>
    <t>5.546933290814617e-5</t>
  </si>
  <si>
    <t>0.6234619395203337</t>
  </si>
  <si>
    <t>0.3765380604796663</t>
  </si>
  <si>
    <t>3.855275420996679e-5</t>
  </si>
  <si>
    <t>9.624118204239885e-6</t>
  </si>
  <si>
    <t>1.0934670641408725e-6</t>
  </si>
  <si>
    <t>4.743717410611138e-7</t>
  </si>
  <si>
    <t>4.2613054705489884e-7</t>
  </si>
  <si>
    <t>2.522210426624939e-5</t>
  </si>
  <si>
    <t>5.909546265761333e-7</t>
  </si>
  <si>
    <t>3.5939689534630146e-6</t>
  </si>
  <si>
    <t>2.33165771030039e-7</t>
  </si>
  <si>
    <t>5.427134325699183e-7</t>
  </si>
  <si>
    <t>8.844218901139409e-8</t>
  </si>
  <si>
    <t>1.1041605288122501e-4</t>
  </si>
  <si>
    <t>mrt</t>
  </si>
  <si>
    <t>0.11400236351975922</t>
  </si>
  <si>
    <t>0.9982581244938813</t>
  </si>
  <si>
    <t>0.3613165959235668</t>
  </si>
  <si>
    <t>1.505407362902544e-4</t>
  </si>
  <si>
    <t>1.4389685405911764e-6</t>
  </si>
  <si>
    <t>9.1408207087235e-5</t>
  </si>
  <si>
    <t>4.9119069795944904e-6</t>
  </si>
  <si>
    <t>0.43896667020171176</t>
  </si>
  <si>
    <t>1.916147046453301e-4</t>
  </si>
  <si>
    <t>mar</t>
  </si>
  <si>
    <t>5.189594939885661e-9</t>
  </si>
  <si>
    <t>0.4871112953176886</t>
  </si>
  <si>
    <t>0.9992728914253999</t>
  </si>
  <si>
    <t>7.271085746000985e-4</t>
  </si>
  <si>
    <t>0.051950360603183116</t>
  </si>
  <si>
    <t>0.9940371758203184</t>
  </si>
  <si>
    <t>0.052598957927873634</t>
  </si>
  <si>
    <t>1.345095404004569e-5</t>
  </si>
  <si>
    <t>0.8705389474786481</t>
  </si>
  <si>
    <t>0.12946105252135182</t>
  </si>
  <si>
    <t>0.9821784362240195</t>
  </si>
  <si>
    <t>0.9999868813824468</t>
  </si>
  <si>
    <t>1.3118617553116614e-5</t>
  </si>
  <si>
    <t>0.9993078550356488</t>
  </si>
  <si>
    <t>6.92144964351214e-4</t>
  </si>
  <si>
    <t>0.6863379435668281</t>
  </si>
  <si>
    <t>0.31366205643317185</t>
  </si>
  <si>
    <t>8.835631756367224e-4</t>
  </si>
  <si>
    <t>0.9995074966349645</t>
  </si>
  <si>
    <t>4.925033650354996e-4</t>
  </si>
  <si>
    <t>0.9999782351516937</t>
  </si>
  <si>
    <t>2.1764848306304556e-5</t>
  </si>
  <si>
    <t>0.9331433426089477</t>
  </si>
  <si>
    <t>0.9967745521851632</t>
  </si>
  <si>
    <t>2.9119997423958274e-4</t>
  </si>
  <si>
    <t>0.30793698265419994</t>
  </si>
  <si>
    <t>0.9997713353863003</t>
  </si>
  <si>
    <t>2.2866461369971822e-4</t>
  </si>
  <si>
    <t>3.3607505893547984e-4</t>
  </si>
  <si>
    <t>0.9315712651386643</t>
  </si>
  <si>
    <t>9.611999779935295e-5</t>
  </si>
  <si>
    <t>0.9966003683576069</t>
  </si>
  <si>
    <t>0.8467074784232086</t>
  </si>
  <si>
    <t>0.1532925215767914</t>
  </si>
  <si>
    <t>0.9348771772954522</t>
  </si>
  <si>
    <t>2.137315307096441e-4</t>
  </si>
  <si>
    <t>0.9973694954106205</t>
  </si>
  <si>
    <t>3.520136598566157e-4</t>
  </si>
  <si>
    <t>3.381730981000379e-4</t>
  </si>
  <si>
    <t>1.2586035705375689e-4</t>
  </si>
  <si>
    <t>0.9999915914293936</t>
  </si>
  <si>
    <t>8.408570606389653e-6</t>
  </si>
  <si>
    <t>0.7598857247496823</t>
  </si>
  <si>
    <t>0.24011427525031773</t>
  </si>
  <si>
    <t>3.4787863056156686e-4</t>
  </si>
  <si>
    <t>0.9999817585410267</t>
  </si>
  <si>
    <t>1.824145897334923e-5</t>
  </si>
  <si>
    <t>3.533802481720083e-4</t>
  </si>
  <si>
    <t>0.9806519759145879</t>
  </si>
  <si>
    <t>0.019348024085412134</t>
  </si>
  <si>
    <t>2.1982000269932792e-4</t>
  </si>
  <si>
    <t>0.9999885234566201</t>
  </si>
  <si>
    <t>1.1476543379899408e-5</t>
  </si>
  <si>
    <t>1.3216054153218304e-4</t>
  </si>
  <si>
    <t>0.6553915461218166</t>
  </si>
  <si>
    <t>0.3446084538781834</t>
  </si>
  <si>
    <t>4.953717065172621e-4</t>
  </si>
  <si>
    <t>3.5342170590114714e-4</t>
  </si>
  <si>
    <t>9.041652655039112e-5</t>
  </si>
  <si>
    <t>0.9668997453431359</t>
  </si>
  <si>
    <t>1.4761049738974997e-4</t>
  </si>
  <si>
    <t>0.11648062395929148</t>
  </si>
  <si>
    <t>0.8835193760407085</t>
  </si>
  <si>
    <t>1.9265229777081197e-4</t>
  </si>
  <si>
    <t>0.9563145668234365</t>
  </si>
  <si>
    <t>0.28037877729462807</t>
  </si>
  <si>
    <t>1.0223033621324716e-4</t>
  </si>
  <si>
    <t>0.32003080679498347</t>
  </si>
  <si>
    <t>0.6799691932050165</t>
  </si>
  <si>
    <t>3.758206344190594e-5</t>
  </si>
  <si>
    <t>2.3334710357705136e-4</t>
  </si>
  <si>
    <t>1.9127433385900933e-6</t>
  </si>
  <si>
    <t>0.9042738834996112</t>
  </si>
  <si>
    <t>4.506652334392649e-4</t>
  </si>
  <si>
    <t>5.379970774298007e-4</t>
  </si>
  <si>
    <t>0.5463470978920012</t>
  </si>
  <si>
    <t>0.45365290210799886</t>
  </si>
  <si>
    <t>2.1885383537756865e-6</t>
  </si>
  <si>
    <t>0.9997864182467879</t>
  </si>
  <si>
    <t>2.1358175321203936e-4</t>
  </si>
  <si>
    <t>9.882890649113005e-5</t>
  </si>
  <si>
    <t>0.9740608228980322</t>
  </si>
  <si>
    <t>6.07633802017975e-6</t>
  </si>
  <si>
    <t>0.9942802260823902</t>
  </si>
  <si>
    <t>3.6585434800870924e-4</t>
  </si>
  <si>
    <t>0.9856232539159369</t>
  </si>
  <si>
    <t>0.014376746084063157</t>
  </si>
  <si>
    <t>4.0265819426065294e-6</t>
  </si>
  <si>
    <t>0.10779876420482233</t>
  </si>
  <si>
    <t>0.8922012357951776</t>
  </si>
  <si>
    <t>3.242234570134394e-5</t>
  </si>
  <si>
    <t>0.34238878974155595</t>
  </si>
  <si>
    <t>1.912237756527425e-6</t>
  </si>
  <si>
    <t>5.83947282381962e-8</t>
  </si>
  <si>
    <t>7.54171476999283e-5</t>
  </si>
  <si>
    <t>0.9999245828523001</t>
  </si>
  <si>
    <t>0.3267400874392993</t>
  </si>
  <si>
    <t>0.6732599125607007</t>
  </si>
  <si>
    <t>5.013073663285044e-5</t>
  </si>
  <si>
    <t>0.16945773454765986</t>
  </si>
  <si>
    <t>0.8305422654523401</t>
  </si>
  <si>
    <t>2.1612609375395718e-4</t>
  </si>
  <si>
    <t>0.9886799132343381</t>
  </si>
  <si>
    <t>1.9636933709554977e-4</t>
  </si>
  <si>
    <t>0.49019607843137253</t>
  </si>
  <si>
    <t>0.5098039215686274</t>
  </si>
  <si>
    <t>1.9338513897064975e-8</t>
  </si>
  <si>
    <t>7.583730940025481e-10</t>
  </si>
  <si>
    <t>7.811242868226246e-8</t>
  </si>
  <si>
    <t>0.16955395984637506</t>
  </si>
  <si>
    <t>0.8304460401536249</t>
  </si>
  <si>
    <t>5.5552345881874655e-5</t>
  </si>
  <si>
    <t>0.1426814955569217</t>
  </si>
  <si>
    <t>0.8573185044430783</t>
  </si>
  <si>
    <t>4.523189923662531e-6</t>
  </si>
  <si>
    <t>4.439010510228248e-7</t>
  </si>
  <si>
    <t>0.9993943233363944</t>
  </si>
  <si>
    <t>6.056766636055441e-4</t>
  </si>
  <si>
    <t>2.316401321379673e-4</t>
  </si>
  <si>
    <t>0.9231356013416387</t>
  </si>
  <si>
    <t>3.2973430149652453e-5</t>
  </si>
  <si>
    <t>0.017225255007720916</t>
  </si>
  <si>
    <t>0.9827747449922791</t>
  </si>
  <si>
    <t>5.811539414857193e-6</t>
  </si>
  <si>
    <t>5.42186204005555e-6</t>
  </si>
  <si>
    <t>0.7815384615384615</t>
  </si>
  <si>
    <t>0.21846153846153846</t>
  </si>
  <si>
    <t>6.161781388770703e-7</t>
  </si>
  <si>
    <t>7.115228149445212e-5</t>
  </si>
  <si>
    <t>0.9999288477185055</t>
  </si>
  <si>
    <t>5.707125343319766e-4</t>
  </si>
  <si>
    <t>0.9944088530720507</t>
  </si>
  <si>
    <t>1.0464486974903559e-4</t>
  </si>
  <si>
    <t>0.4032886281471619</t>
  </si>
  <si>
    <t>0.5967113718528381</t>
  </si>
  <si>
    <t>3.2808130094263033e-4</t>
  </si>
  <si>
    <t>nam</t>
  </si>
  <si>
    <t>0.17707400801879428</t>
  </si>
  <si>
    <t>0.9994700011963416</t>
  </si>
  <si>
    <t>5.299988036584065e-4</t>
  </si>
  <si>
    <t>0.4093811740656217</t>
  </si>
  <si>
    <t>0.013958548837192592</t>
  </si>
  <si>
    <t>0.015079605710816572</t>
  </si>
  <si>
    <t>0.013999717314931957</t>
  </si>
  <si>
    <t>0.9896396233029896</t>
  </si>
  <si>
    <t>5.804355394788685e-4</t>
  </si>
  <si>
    <t>0.9451145169622869</t>
  </si>
  <si>
    <t>0.9256600660066007</t>
  </si>
  <si>
    <t>8.504550028994411e-5</t>
  </si>
  <si>
    <t>0.3475120103797735</t>
  </si>
  <si>
    <t>0.6524879896202266</t>
  </si>
  <si>
    <t>2.0010251912280002e-4</t>
  </si>
  <si>
    <t>0.9483326077492381</t>
  </si>
  <si>
    <t>4.0294866783416176e-4</t>
  </si>
  <si>
    <t>0.9024032941362791</t>
  </si>
  <si>
    <t>3.5445448858467297e-4</t>
  </si>
  <si>
    <t>6.765046768113459e-5</t>
  </si>
  <si>
    <t>0.9922664188723359</t>
  </si>
  <si>
    <t>4.6818530283379957e-4</t>
  </si>
  <si>
    <t>0.9990612135947893</t>
  </si>
  <si>
    <t>9.387864052107185e-4</t>
  </si>
  <si>
    <t>0.6080365893498857</t>
  </si>
  <si>
    <t>0.39196341065011436</t>
  </si>
  <si>
    <t>1.0739450346019757e-4</t>
  </si>
  <si>
    <t>5.760920440432683e-6</t>
  </si>
  <si>
    <t>0.24199553239017127</t>
  </si>
  <si>
    <t>0.7580044676098288</t>
  </si>
  <si>
    <t>1.8847542390989264e-5</t>
  </si>
  <si>
    <t>2.0849479786428296e-4</t>
  </si>
  <si>
    <t>0.9998133980220191</t>
  </si>
  <si>
    <t>1.866019779809666e-4</t>
  </si>
  <si>
    <t>3.760386436087545e-5</t>
  </si>
  <si>
    <t>0.5286474459064284</t>
  </si>
  <si>
    <t>0.4713525540935716</t>
  </si>
  <si>
    <t>0.035255830772012296</t>
  </si>
  <si>
    <t>0.9647441692279877</t>
  </si>
  <si>
    <t>3.8810780701623834e-5</t>
  </si>
  <si>
    <t>0.48100508332797115</t>
  </si>
  <si>
    <t>0.5189949166720288</t>
  </si>
  <si>
    <t>0.9992046417306205</t>
  </si>
  <si>
    <t>7.953582693794476e-4</t>
  </si>
  <si>
    <t>2.1212256384199755e-5</t>
  </si>
  <si>
    <t>0.9854651162790697</t>
  </si>
  <si>
    <t>0.014534883720930232</t>
  </si>
  <si>
    <t>4.827665362993527e-6</t>
  </si>
  <si>
    <t>1.6924896592355212e-4</t>
  </si>
  <si>
    <t>0.48873483535528595</t>
  </si>
  <si>
    <t>4.048783305882652e-6</t>
  </si>
  <si>
    <t>2.828416249534195e-4</t>
  </si>
  <si>
    <t>0.9997171583750466</t>
  </si>
  <si>
    <t>0.9940781681800237</t>
  </si>
  <si>
    <t>1.7773948204160762e-5</t>
  </si>
  <si>
    <t>3.508477734733668e-8</t>
  </si>
  <si>
    <t>0.9981852560325688</t>
  </si>
  <si>
    <t>0.018447723285294485</t>
  </si>
  <si>
    <t>0.9193548387096774</t>
  </si>
  <si>
    <t>4.350512391069748e-7</t>
  </si>
  <si>
    <t>0.9409282700421941</t>
  </si>
  <si>
    <t>1.6630184462637586e-6</t>
  </si>
  <si>
    <t>4.841699273932462e-7</t>
  </si>
  <si>
    <t>1.3402384946682611e-6</t>
  </si>
  <si>
    <t>0.043737295857573424</t>
  </si>
  <si>
    <t>0.9562627041424265</t>
  </si>
  <si>
    <t>2.0022180736578097e-4</t>
  </si>
  <si>
    <t>8.785228247773104e-6</t>
  </si>
  <si>
    <t>1.4546148688205787e-5</t>
  </si>
  <si>
    <t>0.1950832672482157</t>
  </si>
  <si>
    <t>0.8049167327517843</t>
  </si>
  <si>
    <t>8.84838084699831e-6</t>
  </si>
  <si>
    <t>0.9427150886294855</t>
  </si>
  <si>
    <t>6.816691560368738e-4</t>
  </si>
  <si>
    <t>4.2850441965396177e-4</t>
  </si>
  <si>
    <t>0.9931509976713392</t>
  </si>
  <si>
    <t>3.073566834736082e-4</t>
  </si>
  <si>
    <t>2.93119280826059e-4</t>
  </si>
  <si>
    <t>0.19647905422770495</t>
  </si>
  <si>
    <t>5.4605947463394805e-5</t>
  </si>
  <si>
    <t>0.9930605097606848</t>
  </si>
  <si>
    <t>2.1638887276743368e-4</t>
  </si>
  <si>
    <t>0.9941549851532648</t>
  </si>
  <si>
    <t>0.9260901318637745</t>
  </si>
  <si>
    <t>npl</t>
  </si>
  <si>
    <t>0.33193356211240055</t>
  </si>
  <si>
    <t>0.6418212333412783</t>
  </si>
  <si>
    <t>0.3581787666587217</t>
  </si>
  <si>
    <t>0.9963950605699547</t>
  </si>
  <si>
    <t>0.26334589850900386</t>
  </si>
  <si>
    <t>0.9931134905515776</t>
  </si>
  <si>
    <t>0.011334524739748263</t>
  </si>
  <si>
    <t>0.9997257890212389</t>
  </si>
  <si>
    <t>2.7421097876116065e-4</t>
  </si>
  <si>
    <t>0.9004557135514819</t>
  </si>
  <si>
    <t>7.786801356653777e-4</t>
  </si>
  <si>
    <t>3.356507249579636e-4</t>
  </si>
  <si>
    <t>0.7801965102490259</t>
  </si>
  <si>
    <t>0.21980348975097408</t>
  </si>
  <si>
    <t>1.6149207184178494e-4</t>
  </si>
  <si>
    <t>0.039872940536665555</t>
  </si>
  <si>
    <t>0.9601270594633344</t>
  </si>
  <si>
    <t>0.9395068418913426</t>
  </si>
  <si>
    <t>0.060493158108657366</t>
  </si>
  <si>
    <t>2.0192664446285188e-4</t>
  </si>
  <si>
    <t>0.9056152927120669</t>
  </si>
  <si>
    <t>3.091275056371758e-4</t>
  </si>
  <si>
    <t>1.170906433140504e-5</t>
  </si>
  <si>
    <t>0.9769892681040317</t>
  </si>
  <si>
    <t>2.8295993546664094e-4</t>
  </si>
  <si>
    <t>0.22684505826499785</t>
  </si>
  <si>
    <t>0.7731549417350022</t>
  </si>
  <si>
    <t>1.584690540646348e-4</t>
  </si>
  <si>
    <t>0.22105661722125708</t>
  </si>
  <si>
    <t>5.74510165793238e-7</t>
  </si>
  <si>
    <t>3.693279637242244e-7</t>
  </si>
  <si>
    <t>0.5930441018286124</t>
  </si>
  <si>
    <t>0.4069558981713876</t>
  </si>
  <si>
    <t>3.815021077136525e-5</t>
  </si>
  <si>
    <t>0.011792737633408783</t>
  </si>
  <si>
    <t>0.9968753079763706</t>
  </si>
  <si>
    <t>8.739530714927563e-4</t>
  </si>
  <si>
    <t>2.5004262090129e-4</t>
  </si>
  <si>
    <t>0.9997499573790987</t>
  </si>
  <si>
    <t>0.5477065307573782</t>
  </si>
  <si>
    <t>0.45229346924262176</t>
  </si>
  <si>
    <t>3.4622444777125346e-4</t>
  </si>
  <si>
    <t>7.236092326300544e-5</t>
  </si>
  <si>
    <t>2.6167570170534862e-5</t>
  </si>
  <si>
    <t>2.014478859913575e-4</t>
  </si>
  <si>
    <t>2.5795506444116386e-4</t>
  </si>
  <si>
    <t>9.165858034302307e-6</t>
  </si>
  <si>
    <t>0.9999908341419657</t>
  </si>
  <si>
    <t>6.751451965013534e-4</t>
  </si>
  <si>
    <t>nic</t>
  </si>
  <si>
    <t>0.3714498612485939</t>
  </si>
  <si>
    <t>0.3502419797682611</t>
  </si>
  <si>
    <t>0.9973749326970941</t>
  </si>
  <si>
    <t>0.020385706589822573</t>
  </si>
  <si>
    <t>0.9999242437920628</t>
  </si>
  <si>
    <t>7.575620793715468e-5</t>
  </si>
  <si>
    <t>0.8996192554797912</t>
  </si>
  <si>
    <t>0.10038074452020883</t>
  </si>
  <si>
    <t>0.9958479026922453</t>
  </si>
  <si>
    <t>0.9999715677270957</t>
  </si>
  <si>
    <t>2.8432272904328244e-5</t>
  </si>
  <si>
    <t>0.9990316068694474</t>
  </si>
  <si>
    <t>9.68393130552657e-4</t>
  </si>
  <si>
    <t>0.9995954735246216</t>
  </si>
  <si>
    <t>4.0452647537840813e-4</t>
  </si>
  <si>
    <t>0.9988825202643454</t>
  </si>
  <si>
    <t>5.533275473995807e-4</t>
  </si>
  <si>
    <t>1.1885293946191669e-4</t>
  </si>
  <si>
    <t>8.0196814527025e-5</t>
  </si>
  <si>
    <t>4.458797328132194e-4</t>
  </si>
  <si>
    <t>1.716656201761943e-4</t>
  </si>
  <si>
    <t>1.973633931124004e-5</t>
  </si>
  <si>
    <t>0.9999047505655435</t>
  </si>
  <si>
    <t>9.524943445648291e-5</t>
  </si>
  <si>
    <t>2.484867544222832e-4</t>
  </si>
  <si>
    <t>8.567304958400376e-5</t>
  </si>
  <si>
    <t>4.167974040125164e-5</t>
  </si>
  <si>
    <t>5.576499565936627e-4</t>
  </si>
  <si>
    <t>0.9870203431562095</t>
  </si>
  <si>
    <t>0.012979656843790561</t>
  </si>
  <si>
    <t>6.0531479884270915e-6</t>
  </si>
  <si>
    <t>4.631575354781335e-5</t>
  </si>
  <si>
    <t>0.9735424959025989</t>
  </si>
  <si>
    <t>0.026457504097401077</t>
  </si>
  <si>
    <t>1.2635872462645214e-5</t>
  </si>
  <si>
    <t>0.9354198636736734</t>
  </si>
  <si>
    <t>0.9891857840306578</t>
  </si>
  <si>
    <t>0.010814215969342223</t>
  </si>
  <si>
    <t>5.635699708286787e-5</t>
  </si>
  <si>
    <t>8.969960599272776e-5</t>
  </si>
  <si>
    <t>0.9982026267951812</t>
  </si>
  <si>
    <t>2.189310611650072e-7</t>
  </si>
  <si>
    <t>2.043159335683162e-5</t>
  </si>
  <si>
    <t>2.3668222828649426e-7</t>
  </si>
  <si>
    <t>6.792779951822385e-6</t>
  </si>
  <si>
    <t>1.488731215922049e-5</t>
  </si>
  <si>
    <t>9.843022168864581e-5</t>
  </si>
  <si>
    <t>0.056480891353792285</t>
  </si>
  <si>
    <t>5.583887580708115e-7</t>
  </si>
  <si>
    <t>0.9999994416112419</t>
  </si>
  <si>
    <t>ner</t>
  </si>
  <si>
    <t>0.8245358040759226</t>
  </si>
  <si>
    <t>0.17546419592407742</t>
  </si>
  <si>
    <t>0.034181242828770275</t>
  </si>
  <si>
    <t>0.8218007688376331</t>
  </si>
  <si>
    <t>0.17819923116236697</t>
  </si>
  <si>
    <t>0.9715832205683356</t>
  </si>
  <si>
    <t>0.028416779431664412</t>
  </si>
  <si>
    <t>6.737691696809165e-4</t>
  </si>
  <si>
    <t>0.7829914860681114</t>
  </si>
  <si>
    <t>0.21700851393188855</t>
  </si>
  <si>
    <t>5.064047511505202e-4</t>
  </si>
  <si>
    <t>nga</t>
  </si>
  <si>
    <t>0.4349747952907629</t>
  </si>
  <si>
    <t>0.28282571664286066</t>
  </si>
  <si>
    <t>9.192510834330204e-4</t>
  </si>
  <si>
    <t>0.12579216331330428</t>
  </si>
  <si>
    <t>0.046892026373270675</t>
  </si>
  <si>
    <t>2.1982830358826933e-4</t>
  </si>
  <si>
    <t>3.7660647885596094e-4</t>
  </si>
  <si>
    <t>0.8734602022076944</t>
  </si>
  <si>
    <t>0.12653979779230567</t>
  </si>
  <si>
    <t>0.9942675097086431</t>
  </si>
  <si>
    <t>4.937896042780466e-4</t>
  </si>
  <si>
    <t>6.669291434218519e-4</t>
  </si>
  <si>
    <t>4.382554985673232e-4</t>
  </si>
  <si>
    <t>8.562045585362988e-4</t>
  </si>
  <si>
    <t>0.3692076150701973</t>
  </si>
  <si>
    <t>0.6307923849298027</t>
  </si>
  <si>
    <t>4.3378476721075156e-5</t>
  </si>
  <si>
    <t>2.738374750664731e-4</t>
  </si>
  <si>
    <t>0.012878443460037886</t>
  </si>
  <si>
    <t>0.9871215565399621</t>
  </si>
  <si>
    <t>9.119427115290038e-4</t>
  </si>
  <si>
    <t>1.6601956580381854e-4</t>
  </si>
  <si>
    <t>0.22424280104033903</t>
  </si>
  <si>
    <t>4.649820789186956e-5</t>
  </si>
  <si>
    <t>1.2067939248631259e-4</t>
  </si>
  <si>
    <t>2.5528483128846395e-4</t>
  </si>
  <si>
    <t>3.7389797402559476e-4</t>
  </si>
  <si>
    <t>0.9119436810994489</t>
  </si>
  <si>
    <t>8.301833506071725e-5</t>
  </si>
  <si>
    <t>9.645871511861612e-7</t>
  </si>
  <si>
    <t>6.74536469360952e-8</t>
  </si>
  <si>
    <t>1.9272470553170053e-8</t>
  </si>
  <si>
    <t>9.294052561913493e-5</t>
  </si>
  <si>
    <t>2.1681529372316313e-9</t>
  </si>
  <si>
    <t>5.050500270105e-4</t>
  </si>
  <si>
    <t>5.292721498134879e-4</t>
  </si>
  <si>
    <t>1.4761009762720986e-6</t>
  </si>
  <si>
    <t>0.9999985238990238</t>
  </si>
  <si>
    <t>pak</t>
  </si>
  <si>
    <t>0.9662008370472411</t>
  </si>
  <si>
    <t>0.18678103983020322</t>
  </si>
  <si>
    <t>0.9998251487688314</t>
  </si>
  <si>
    <t>1.7485123116854363e-4</t>
  </si>
  <si>
    <t>0.12786675416031806</t>
  </si>
  <si>
    <t>0.9978346202485895</t>
  </si>
  <si>
    <t>0.047582258417148256</t>
  </si>
  <si>
    <t>0.9999912941839092</t>
  </si>
  <si>
    <t>8.705816090770623e-6</t>
  </si>
  <si>
    <t>0.9988808911594305</t>
  </si>
  <si>
    <t>0.6684015763773418</t>
  </si>
  <si>
    <t>0.33159842362265823</t>
  </si>
  <si>
    <t>0.4357563560804958</t>
  </si>
  <si>
    <t>0.5642436439195042</t>
  </si>
  <si>
    <t>0.9986862087006716</t>
  </si>
  <si>
    <t>0.9991211066686561</t>
  </si>
  <si>
    <t>8.78893331343994e-4</t>
  </si>
  <si>
    <t>0.9915534415866265</t>
  </si>
  <si>
    <t>8.423664541880018e-4</t>
  </si>
  <si>
    <t>3.717260764799453e-4</t>
  </si>
  <si>
    <t>0.013824559137714978</t>
  </si>
  <si>
    <t>6.588123514637115e-4</t>
  </si>
  <si>
    <t>0.9999522065004582</t>
  </si>
  <si>
    <t>4.779349954172474e-5</t>
  </si>
  <si>
    <t>0.6174975959397816</t>
  </si>
  <si>
    <t>0.3825024040602184</t>
  </si>
  <si>
    <t>0.9141027594077891</t>
  </si>
  <si>
    <t>0.010991499523068531</t>
  </si>
  <si>
    <t>0.9741205079341376</t>
  </si>
  <si>
    <t>8.471653723027564e-4</t>
  </si>
  <si>
    <t>0.5059404853792101</t>
  </si>
  <si>
    <t>0.4940595146207899</t>
  </si>
  <si>
    <t>2.30350878944268e-4</t>
  </si>
  <si>
    <t>0.9603675435209387</t>
  </si>
  <si>
    <t>0.012240112436263408</t>
  </si>
  <si>
    <t>0.5617424409720075</t>
  </si>
  <si>
    <t>0.43825755902799246</t>
  </si>
  <si>
    <t>4.5436206477649584e-4</t>
  </si>
  <si>
    <t>0.020361869694647514</t>
  </si>
  <si>
    <t>0.9796381303053525</t>
  </si>
  <si>
    <t>7.75694121985848e-4</t>
  </si>
  <si>
    <t>3.965936381004633e-4</t>
  </si>
  <si>
    <t>2.7740772867251384e-5</t>
  </si>
  <si>
    <t>0.8464458476193125</t>
  </si>
  <si>
    <t>0.15355415238068754</t>
  </si>
  <si>
    <t>0.13808871343038573</t>
  </si>
  <si>
    <t>0.9760972345850673</t>
  </si>
  <si>
    <t>1.9974407996198253e-4</t>
  </si>
  <si>
    <t>4.926615010010246e-4</t>
  </si>
  <si>
    <t>0.9585647309162759</t>
  </si>
  <si>
    <t>3.43276963513488e-5</t>
  </si>
  <si>
    <t>6.118951708417578e-6</t>
  </si>
  <si>
    <t>6.323639191776686e-6</t>
  </si>
  <si>
    <t>0.057572127373780126</t>
  </si>
  <si>
    <t>0.9424278726262199</t>
  </si>
  <si>
    <t>4.144251286850943e-4</t>
  </si>
  <si>
    <t>0.6974108529189282</t>
  </si>
  <si>
    <t>0.30258914708107176</t>
  </si>
  <si>
    <t>3.0242776340311542e-5</t>
  </si>
  <si>
    <t>5.427830441075647e-6</t>
  </si>
  <si>
    <t>9.63096425193548e-5</t>
  </si>
  <si>
    <t>0.9999036903574806</t>
  </si>
  <si>
    <t>1.884112162999999e-4</t>
  </si>
  <si>
    <t>0.9072212253695607</t>
  </si>
  <si>
    <t>3.612352800682004e-4</t>
  </si>
  <si>
    <t>6.369392864527546e-7</t>
  </si>
  <si>
    <t>0.9983502788387397</t>
  </si>
  <si>
    <t>1.5667381998316028e-4</t>
  </si>
  <si>
    <t>0.9993560849967804</t>
  </si>
  <si>
    <t>6.43915003219575e-4</t>
  </si>
  <si>
    <t>3.172563682024663e-4</t>
  </si>
  <si>
    <t>9.120263484816553e-4</t>
  </si>
  <si>
    <t>0.9990879736515184</t>
  </si>
  <si>
    <t>3.528943014129352e-5</t>
  </si>
  <si>
    <t>0.9999647105698587</t>
  </si>
  <si>
    <t>0.013033500787815634</t>
  </si>
  <si>
    <t>4.2342214694874357e-7</t>
  </si>
  <si>
    <t>1.7113206042636644e-5</t>
  </si>
  <si>
    <t>0.9999828867939574</t>
  </si>
  <si>
    <t>6.155250119050232e-6</t>
  </si>
  <si>
    <t>0.013040835021287996</t>
  </si>
  <si>
    <t>1.2190745026061244e-4</t>
  </si>
  <si>
    <t>2.3436119304184316e-4</t>
  </si>
  <si>
    <t>0.9997656388069581</t>
  </si>
  <si>
    <t>0.025446320495577327</t>
  </si>
  <si>
    <t>4.964674841474842e-7</t>
  </si>
  <si>
    <t>3.464716936459165e-5</t>
  </si>
  <si>
    <t>0.038449785201276045</t>
  </si>
  <si>
    <t>2.4028705154332965e-6</t>
  </si>
  <si>
    <t>0.9985610691066866</t>
  </si>
  <si>
    <t>0.9951317055061507</t>
  </si>
  <si>
    <t>1.9027427374657436e-4</t>
  </si>
  <si>
    <t>2.678897606963153e-4</t>
  </si>
  <si>
    <t>2.3634722633025004e-5</t>
  </si>
  <si>
    <t>1.846750677066863e-4</t>
  </si>
  <si>
    <t>0.9986763936529723</t>
  </si>
  <si>
    <t>6.643617903507829e-4</t>
  </si>
  <si>
    <t>pry</t>
  </si>
  <si>
    <t>5.526769626048735e-4</t>
  </si>
  <si>
    <t>0.8677051558173267</t>
  </si>
  <si>
    <t>0.1322948441826733</t>
  </si>
  <si>
    <t>3.169573987976919e-4</t>
  </si>
  <si>
    <t>1.233560692304628e-4</t>
  </si>
  <si>
    <t>1.687716300559472e-4</t>
  </si>
  <si>
    <t>5.529051619012695e-4</t>
  </si>
  <si>
    <t>5.330289753220129e-4</t>
  </si>
  <si>
    <t>1.5573891468399588e-4</t>
  </si>
  <si>
    <t>2.8629398906828573e-5</t>
  </si>
  <si>
    <t>8.353961079945741e-5</t>
  </si>
  <si>
    <t>2.192273582471311e-6</t>
  </si>
  <si>
    <t>4.97532978783458e-5</t>
  </si>
  <si>
    <t>2.3118065472501866e-6</t>
  </si>
  <si>
    <t>3.005042016643758e-6</t>
  </si>
  <si>
    <t>7.523128957879088e-4</t>
  </si>
  <si>
    <t>1.862652376565927e-6</t>
  </si>
  <si>
    <t>6.187015111689815e-6</t>
  </si>
  <si>
    <t>4.986586505263639e-5</t>
  </si>
  <si>
    <t>8.11587036105635e-5</t>
  </si>
  <si>
    <t>1.490849129779718e-4</t>
  </si>
  <si>
    <t>6.965790488279458e-8</t>
  </si>
  <si>
    <t>3.7659849695834063e-6</t>
  </si>
  <si>
    <t>4.430242750545736e-8</t>
  </si>
  <si>
    <t>7.897554953636208e-5</t>
  </si>
  <si>
    <t>0.9999210244504636</t>
  </si>
  <si>
    <t>0.41084074315743974</t>
  </si>
  <si>
    <t>4.4206988957100205e-4</t>
  </si>
  <si>
    <t>0.4423806719569354</t>
  </si>
  <si>
    <t>1.7971739459761003e-5</t>
  </si>
  <si>
    <t>0.9977831891978474</t>
  </si>
  <si>
    <t>per</t>
  </si>
  <si>
    <t>0.45174753764786457</t>
  </si>
  <si>
    <t>0.9203979812550507</t>
  </si>
  <si>
    <t>0.9999743746238695</t>
  </si>
  <si>
    <t>2.5625376130494473e-5</t>
  </si>
  <si>
    <t>0.9983591260555305</t>
  </si>
  <si>
    <t>0.014308986025351618</t>
  </si>
  <si>
    <t>0.9999638758251695</t>
  </si>
  <si>
    <t>3.6124174830475064e-5</t>
  </si>
  <si>
    <t>0.9978111527856433</t>
  </si>
  <si>
    <t>0.013572068904410215</t>
  </si>
  <si>
    <t>0.7942576748599991</t>
  </si>
  <si>
    <t>0.20574232514000088</t>
  </si>
  <si>
    <t>0.9950024079361738</t>
  </si>
  <si>
    <t>0.9880955152368528</t>
  </si>
  <si>
    <t>0.9676483944345349</t>
  </si>
  <si>
    <t>0.019842737034716198</t>
  </si>
  <si>
    <t>0.9999823386742253</t>
  </si>
  <si>
    <t>1.7661325774714055e-5</t>
  </si>
  <si>
    <t>0.5887624342460495</t>
  </si>
  <si>
    <t>0.4112375657539506</t>
  </si>
  <si>
    <t>0.9517522131518298</t>
  </si>
  <si>
    <t>1.847892131400865e-5</t>
  </si>
  <si>
    <t>0.9991408031521133</t>
  </si>
  <si>
    <t>8.591968478867282e-4</t>
  </si>
  <si>
    <t>0.9985296355628224</t>
  </si>
  <si>
    <t>8.17872194307009e-6</t>
  </si>
  <si>
    <t>0.9343648248268414</t>
  </si>
  <si>
    <t>0.8594239123055776</t>
  </si>
  <si>
    <t>0.14057608769442242</t>
  </si>
  <si>
    <t>8.982422376699709e-4</t>
  </si>
  <si>
    <t>0.9061123831494138</t>
  </si>
  <si>
    <t>2.756546675389259e-4</t>
  </si>
  <si>
    <t>0.8206399003495658</t>
  </si>
  <si>
    <t>0.1793600996504342</t>
  </si>
  <si>
    <t>0.9948885285501705</t>
  </si>
  <si>
    <t>6.387306947095652e-5</t>
  </si>
  <si>
    <t>0.9184545825751539</t>
  </si>
  <si>
    <t>4.3005539609844754e-4</t>
  </si>
  <si>
    <t>4.6392676156723785e-4</t>
  </si>
  <si>
    <t>0.9852574077676198</t>
  </si>
  <si>
    <t>0.014742592232380211</t>
  </si>
  <si>
    <t>5.2588865557654195e-5</t>
  </si>
  <si>
    <t>0.9123694926048632</t>
  </si>
  <si>
    <t>4.403627012253745e-4</t>
  </si>
  <si>
    <t>0.9605968909901553</t>
  </si>
  <si>
    <t>2.2790213292760755e-4</t>
  </si>
  <si>
    <t>0.5121225720464831</t>
  </si>
  <si>
    <t>0.4878774279535168</t>
  </si>
  <si>
    <t>7.559952040901589e-4</t>
  </si>
  <si>
    <t>0.2750213260492862</t>
  </si>
  <si>
    <t>0.7249786739507138</t>
  </si>
  <si>
    <t>1.4339910924280174e-4</t>
  </si>
  <si>
    <t>1.9978688356265665e-5</t>
  </si>
  <si>
    <t>0.9787596936784112</t>
  </si>
  <si>
    <t>0.3750902201371346</t>
  </si>
  <si>
    <t>0.6249097798628654</t>
  </si>
  <si>
    <t>1.8896939176588184e-5</t>
  </si>
  <si>
    <t>3.24482131792146e-6</t>
  </si>
  <si>
    <t>0.9900608121362715</t>
  </si>
  <si>
    <t>6.51819945027885e-6</t>
  </si>
  <si>
    <t>1.4853805717793626e-5</t>
  </si>
  <si>
    <t>0.054846328152427154</t>
  </si>
  <si>
    <t>0.9451536718475728</t>
  </si>
  <si>
    <t>2.670957214092555e-5</t>
  </si>
  <si>
    <t>0.31302617707761066</t>
  </si>
  <si>
    <t>0.6869738229223894</t>
  </si>
  <si>
    <t>2.8705565603663786e-5</t>
  </si>
  <si>
    <t>0.3053299322011143</t>
  </si>
  <si>
    <t>0.6946700677988856</t>
  </si>
  <si>
    <t>2.5397663561316687e-5</t>
  </si>
  <si>
    <t>8.450259746369482e-6</t>
  </si>
  <si>
    <t>0.9621423243766768</t>
  </si>
  <si>
    <t>1.1485934365131076e-4</t>
  </si>
  <si>
    <t>3.0602675768653723e-7</t>
  </si>
  <si>
    <t>0.14628577496946849</t>
  </si>
  <si>
    <t>0.8537142250305315</t>
  </si>
  <si>
    <t>8.027022183162335e-6</t>
  </si>
  <si>
    <t>0.9947816207509339</t>
  </si>
  <si>
    <t>2.9451878768996833e-7</t>
  </si>
  <si>
    <t>4.262211109840352e-8</t>
  </si>
  <si>
    <t>0.9901213996667461</t>
  </si>
  <si>
    <t>7.162219548975727e-6</t>
  </si>
  <si>
    <t>7.008788473443694e-4</t>
  </si>
  <si>
    <t>0.3606837082899119</t>
  </si>
  <si>
    <t>0.6393162917100881</t>
  </si>
  <si>
    <t>8.34353398017908e-5</t>
  </si>
  <si>
    <t>2.486147740369877e-6</t>
  </si>
  <si>
    <t>0.48536335721596724</t>
  </si>
  <si>
    <t>0.5146366427840328</t>
  </si>
  <si>
    <t>2.0820901271570118e-6</t>
  </si>
  <si>
    <t>0.9410442843706528</t>
  </si>
  <si>
    <t>7.567854180299234e-5</t>
  </si>
  <si>
    <t>1.9128036262963728e-4</t>
  </si>
  <si>
    <t>6.311055990340609e-6</t>
  </si>
  <si>
    <t>6.37192036498913e-5</t>
  </si>
  <si>
    <t>8.71763162163404e-6</t>
  </si>
  <si>
    <t>0.9999912823683784</t>
  </si>
  <si>
    <t>7.356998334484322e-4</t>
  </si>
  <si>
    <t>0.8138944398730458</t>
  </si>
  <si>
    <t>0.18610556012695428</t>
  </si>
  <si>
    <t>5.438794486711781e-5</t>
  </si>
  <si>
    <t>3.556670255984039e-4</t>
  </si>
  <si>
    <t>2.9270958992448094e-5</t>
  </si>
  <si>
    <t>0.9999707290410076</t>
  </si>
  <si>
    <t>0.014051585129332805</t>
  </si>
  <si>
    <t>3.9700408004719056e-4</t>
  </si>
  <si>
    <t>0.015779066537909985</t>
  </si>
  <si>
    <t>rwa</t>
  </si>
  <si>
    <t>0.7002411809389918</t>
  </si>
  <si>
    <t>0.12135308176285244</t>
  </si>
  <si>
    <t>0.011992322199725142</t>
  </si>
  <si>
    <t>0.023765961732438314</t>
  </si>
  <si>
    <t>0.024181453970078346</t>
  </si>
  <si>
    <t>1.9498502382469068e-4</t>
  </si>
  <si>
    <t>0.8345090013114493</t>
  </si>
  <si>
    <t>0.16549099868855066</t>
  </si>
  <si>
    <t>5.401302495666098e-4</t>
  </si>
  <si>
    <t>3.2278379477239974e-5</t>
  </si>
  <si>
    <t>5.287429309879392e-5</t>
  </si>
  <si>
    <t>5.193250496940812e-4</t>
  </si>
  <si>
    <t>0.8539297447561284</t>
  </si>
  <si>
    <t>0.14607025524387163</t>
  </si>
  <si>
    <t>2.123450500273293e-5</t>
  </si>
  <si>
    <t>5.205861335140565e-5</t>
  </si>
  <si>
    <t>2.1926759525187454e-5</t>
  </si>
  <si>
    <t>3.9742922428668205e-5</t>
  </si>
  <si>
    <t>0.9743030303030303</t>
  </si>
  <si>
    <t>0.025696969696969697</t>
  </si>
  <si>
    <t>2.2136045776162076e-5</t>
  </si>
  <si>
    <t>0.9972030230560102</t>
  </si>
  <si>
    <t>1.2380086692268098e-5</t>
  </si>
  <si>
    <t>8.253391128178733e-6</t>
  </si>
  <si>
    <t>5.2428889026206905e-6</t>
  </si>
  <si>
    <t>5.6668277186974915e-6</t>
  </si>
  <si>
    <t>2.2967824465933015e-6</t>
  </si>
  <si>
    <t>1.5937952958836695e-6</t>
  </si>
  <si>
    <t>2.9627420298228078e-5</t>
  </si>
  <si>
    <t>8.586102604087108e-8</t>
  </si>
  <si>
    <t>1.2503511917201851e-6</t>
  </si>
  <si>
    <t>7.298187213474042e-7</t>
  </si>
  <si>
    <t>2.6831570637772214e-8</t>
  </si>
  <si>
    <t>5.366314127554443e-8</t>
  </si>
  <si>
    <t>1.8283032232577987e-4</t>
  </si>
  <si>
    <t>sen</t>
  </si>
  <si>
    <t>0.9782687536323329</t>
  </si>
  <si>
    <t>0.021731246367667077</t>
  </si>
  <si>
    <t>0.4840204720641527</t>
  </si>
  <si>
    <t>0.30576821648442076</t>
  </si>
  <si>
    <t>0.020620134531576274</t>
  </si>
  <si>
    <t>0.9999290487848216</t>
  </si>
  <si>
    <t>7.095121517837752e-5</t>
  </si>
  <si>
    <t>1.5664619265103947e-4</t>
  </si>
  <si>
    <t>0.026254683064294432</t>
  </si>
  <si>
    <t>0.9950279311594934</t>
  </si>
  <si>
    <t>2.1597939067950368e-4</t>
  </si>
  <si>
    <t>1.8505467913588304e-4</t>
  </si>
  <si>
    <t>4.0898062113309855e-4</t>
  </si>
  <si>
    <t>6.320367457921964e-5</t>
  </si>
  <si>
    <t>5.495664090833995e-4</t>
  </si>
  <si>
    <t>0.9855203619909503</t>
  </si>
  <si>
    <t>0.014479638009049774</t>
  </si>
  <si>
    <t>3.6790360138563053e-5</t>
  </si>
  <si>
    <t>2.809177057684239e-4</t>
  </si>
  <si>
    <t>8.308711627582584e-5</t>
  </si>
  <si>
    <t>1.206490751439918e-4</t>
  </si>
  <si>
    <t>6.837013985931152e-6</t>
  </si>
  <si>
    <t>1.8750015601568163e-4</t>
  </si>
  <si>
    <t>4.932571814052594e-6</t>
  </si>
  <si>
    <t>4.971692785240659e-6</t>
  </si>
  <si>
    <t>4.143493501578436e-6</t>
  </si>
  <si>
    <t>1.5888940829978056e-5</t>
  </si>
  <si>
    <t>0.6357606132075472</t>
  </si>
  <si>
    <t>0.3642393867924528</t>
  </si>
  <si>
    <t>5.646737628507053e-6</t>
  </si>
  <si>
    <t>1.9993313360368428e-6</t>
  </si>
  <si>
    <t>1.5855646386413744e-5</t>
  </si>
  <si>
    <t>0.9170515425826713</t>
  </si>
  <si>
    <t>4.505570575340312e-6</t>
  </si>
  <si>
    <t>2.2473749405909554e-6</t>
  </si>
  <si>
    <t>1.2904926325526732e-5</t>
  </si>
  <si>
    <t>0.9818383713316056</t>
  </si>
  <si>
    <t>0.018161628668394388</t>
  </si>
  <si>
    <t>9.317391766196043e-4</t>
  </si>
  <si>
    <t>0.14513783894942334</t>
  </si>
  <si>
    <t>0.8548621610505767</t>
  </si>
  <si>
    <t>1.4368966245158373e-4</t>
  </si>
  <si>
    <t>srb</t>
  </si>
  <si>
    <t>0.9975561250059424</t>
  </si>
  <si>
    <t>0.37424847538319456</t>
  </si>
  <si>
    <t>0.9832490246359178</t>
  </si>
  <si>
    <t>0.7288795406505937</t>
  </si>
  <si>
    <t>0.2711204593494063</t>
  </si>
  <si>
    <t>0.9971971219629274</t>
  </si>
  <si>
    <t>0.6804426849848756</t>
  </si>
  <si>
    <t>0.31955731501512447</t>
  </si>
  <si>
    <t>0.9998385948299571</t>
  </si>
  <si>
    <t>1.614051700428873e-4</t>
  </si>
  <si>
    <t>0.025662055179945666</t>
  </si>
  <si>
    <t>6.983856289529957e-4</t>
  </si>
  <si>
    <t>0.9989824443935735</t>
  </si>
  <si>
    <t>0.024614686310395168</t>
  </si>
  <si>
    <t>0.9782914596564144</t>
  </si>
  <si>
    <t>0.021708540343585585</t>
  </si>
  <si>
    <t>0.021312408257585534</t>
  </si>
  <si>
    <t>0.5618091475504904</t>
  </si>
  <si>
    <t>0.4381908524495096</t>
  </si>
  <si>
    <t>0.3408351331953489</t>
  </si>
  <si>
    <t>0.6591648668046511</t>
  </si>
  <si>
    <t>0.037718175959204146</t>
  </si>
  <si>
    <t>0.9999976704960142</t>
  </si>
  <si>
    <t>2.3295039858578363e-6</t>
  </si>
  <si>
    <t>0.012613155233662767</t>
  </si>
  <si>
    <t>0.17460196896873328</t>
  </si>
  <si>
    <t>0.8253980310312667</t>
  </si>
  <si>
    <t>0.042592835886743285</t>
  </si>
  <si>
    <t>0.2950639995676711</t>
  </si>
  <si>
    <t>0.7049360004323288</t>
  </si>
  <si>
    <t>0.022094774514993542</t>
  </si>
  <si>
    <t>0.9759414787092681</t>
  </si>
  <si>
    <t>0.024058521290731927</t>
  </si>
  <si>
    <t>0.9864681985141365</t>
  </si>
  <si>
    <t>0.013531801485863562</t>
  </si>
  <si>
    <t>0.9659982133551348</t>
  </si>
  <si>
    <t>0.4922318383083346</t>
  </si>
  <si>
    <t>0.5077681616916654</t>
  </si>
  <si>
    <t>0.011156493885715577</t>
  </si>
  <si>
    <t>0.6964991967042803</t>
  </si>
  <si>
    <t>0.3035008032957197</t>
  </si>
  <si>
    <t>0.7686378622026863</t>
  </si>
  <si>
    <t>0.23136213779731374</t>
  </si>
  <si>
    <t>0.34601344707831205</t>
  </si>
  <si>
    <t>0.011706292549932246</t>
  </si>
  <si>
    <t>0.8279765226720596</t>
  </si>
  <si>
    <t>0.17202347732794046</t>
  </si>
  <si>
    <t>0.025923803995631153</t>
  </si>
  <si>
    <t>0.9347663900679188</t>
  </si>
  <si>
    <t>5.118907988013603e-4</t>
  </si>
  <si>
    <t>0.9966509829202556</t>
  </si>
  <si>
    <t>7.365632494141021e-4</t>
  </si>
  <si>
    <t>0.44786687681049137</t>
  </si>
  <si>
    <t>0.5521331231895086</t>
  </si>
  <si>
    <t>0.9143606818292724</t>
  </si>
  <si>
    <t>5.713503295309529e-4</t>
  </si>
  <si>
    <t>0.9032338686315421</t>
  </si>
  <si>
    <t>3.9016253727674533e-4</t>
  </si>
  <si>
    <t>0.7376866710557163</t>
  </si>
  <si>
    <t>0.26231332894428366</t>
  </si>
  <si>
    <t>0.9122803337299237</t>
  </si>
  <si>
    <t>0.12463043220775595</t>
  </si>
  <si>
    <t>0.8753695677922441</t>
  </si>
  <si>
    <t>0.26547408952926344</t>
  </si>
  <si>
    <t>0.7345259104707366</t>
  </si>
  <si>
    <t>7.965680344737374e-4</t>
  </si>
  <si>
    <t>0.7405991123627977</t>
  </si>
  <si>
    <t>0.2594008876372022</t>
  </si>
  <si>
    <t>0.23561995289417043</t>
  </si>
  <si>
    <t>0.7643800471058296</t>
  </si>
  <si>
    <t>0.33147785537575625</t>
  </si>
  <si>
    <t>0.6685221446242438</t>
  </si>
  <si>
    <t>0.18178577514262728</t>
  </si>
  <si>
    <t>0.8182142248573727</t>
  </si>
  <si>
    <t>5.655451974858313e-4</t>
  </si>
  <si>
    <t>0.9687447291458059</t>
  </si>
  <si>
    <t>0.031255270854194064</t>
  </si>
  <si>
    <t>3.9460635649209413e-4</t>
  </si>
  <si>
    <t>0.26139993738658857</t>
  </si>
  <si>
    <t>0.7386000626134114</t>
  </si>
  <si>
    <t>2.845286794251201e-4</t>
  </si>
  <si>
    <t>7.77389551634883e-5</t>
  </si>
  <si>
    <t>0.3059233638526556</t>
  </si>
  <si>
    <t>0.6940766361473444</t>
  </si>
  <si>
    <t>0.9562824633959318</t>
  </si>
  <si>
    <t>0.4404674625861779</t>
  </si>
  <si>
    <t>0.5595325374138221</t>
  </si>
  <si>
    <t>8.503022160128469e-5</t>
  </si>
  <si>
    <t>0.27005625205253964</t>
  </si>
  <si>
    <t>0.7299437479474603</t>
  </si>
  <si>
    <t>0.031711173106563025</t>
  </si>
  <si>
    <t>0.7521414470151905</t>
  </si>
  <si>
    <t>0.24785855298480955</t>
  </si>
  <si>
    <t>1.384767273276116e-4</t>
  </si>
  <si>
    <t>0.6067573494347891</t>
  </si>
  <si>
    <t>0.39324265056521085</t>
  </si>
  <si>
    <t>2.9128584397491986e-4</t>
  </si>
  <si>
    <t>0.013044309427602154</t>
  </si>
  <si>
    <t>0.9869556905723978</t>
  </si>
  <si>
    <t>8.755644274779396e-4</t>
  </si>
  <si>
    <t>0.6541380768712501</t>
  </si>
  <si>
    <t>0.3458619231287498</t>
  </si>
  <si>
    <t>5.358455294165573e-5</t>
  </si>
  <si>
    <t>0.12739180269043346</t>
  </si>
  <si>
    <t>0.8726081973095665</t>
  </si>
  <si>
    <t>0.044834365993458046</t>
  </si>
  <si>
    <t>0.5182413233761318</t>
  </si>
  <si>
    <t>0.4817586766238682</t>
  </si>
  <si>
    <t>0.9958005925020438</t>
  </si>
  <si>
    <t>0.021747526588837076</t>
  </si>
  <si>
    <t>0.9001642993647736</t>
  </si>
  <si>
    <t>5.173582120245174e-5</t>
  </si>
  <si>
    <t>0.11782891142194075</t>
  </si>
  <si>
    <t>0.8821710885780593</t>
  </si>
  <si>
    <t>0.5491729767368947</t>
  </si>
  <si>
    <t>0.4508270232631053</t>
  </si>
  <si>
    <t>3.9218992255872854e-5</t>
  </si>
  <si>
    <t>0.9908615415391652</t>
  </si>
  <si>
    <t>0.023763565176282066</t>
  </si>
  <si>
    <t>0.031182545204935797</t>
  </si>
  <si>
    <t>0.9688174547950642</t>
  </si>
  <si>
    <t>0.1410564113337551</t>
  </si>
  <si>
    <t>0.8589435886662449</t>
  </si>
  <si>
    <t>0.19439024832398025</t>
  </si>
  <si>
    <t>0.8056097516760198</t>
  </si>
  <si>
    <t>4.449252456345682e-6</t>
  </si>
  <si>
    <t>0.13351904796813527</t>
  </si>
  <si>
    <t>0.8664809520318647</t>
  </si>
  <si>
    <t>2.9255858067844067e-6</t>
  </si>
  <si>
    <t>3.7987112094848354e-4</t>
  </si>
  <si>
    <t>0.7428091330162182</t>
  </si>
  <si>
    <t>0.25719086698378174</t>
  </si>
  <si>
    <t>5.6074121158439935e-5</t>
  </si>
  <si>
    <t>0.9497877521727489</t>
  </si>
  <si>
    <t>6.435009103690902e-4</t>
  </si>
  <si>
    <t>0.44955289353804623</t>
  </si>
  <si>
    <t>0.5504471064619537</t>
  </si>
  <si>
    <t>1.6948852309763387e-6</t>
  </si>
  <si>
    <t>8.86669511064998e-4</t>
  </si>
  <si>
    <t>0.9507285483286463</t>
  </si>
  <si>
    <t>0.3906026685231469</t>
  </si>
  <si>
    <t>7.410035656188081e-4</t>
  </si>
  <si>
    <t>0.9905998459008212</t>
  </si>
  <si>
    <t>1.372281542485243e-4</t>
  </si>
  <si>
    <t>6.805205838614336e-6</t>
  </si>
  <si>
    <t>0.30527818941128926</t>
  </si>
  <si>
    <t>0.6947218105887107</t>
  </si>
  <si>
    <t>1.3266759184175555e-5</t>
  </si>
  <si>
    <t>0.9960403960648845</t>
  </si>
  <si>
    <t>0.1678440962267215</t>
  </si>
  <si>
    <t>0.8321559037732785</t>
  </si>
  <si>
    <t>5.2388668002235606e-5</t>
  </si>
  <si>
    <t>0.3148210082992692</t>
  </si>
  <si>
    <t>0.6851789917007308</t>
  </si>
  <si>
    <t>4.6171110071442496e-5</t>
  </si>
  <si>
    <t>0.11553891260127079</t>
  </si>
  <si>
    <t>0.8844610873987292</t>
  </si>
  <si>
    <t>0.9779457083902778</t>
  </si>
  <si>
    <t>2.6677928194847324e-6</t>
  </si>
  <si>
    <t>0.47707231040564374</t>
  </si>
  <si>
    <t>0.5229276895943563</t>
  </si>
  <si>
    <t>8.106967487460639e-8</t>
  </si>
  <si>
    <t>3.641358116113802e-5</t>
  </si>
  <si>
    <t>0.11358588351431392</t>
  </si>
  <si>
    <t>0.8864141164856861</t>
  </si>
  <si>
    <t>1.1587101325993124e-6</t>
  </si>
  <si>
    <t>1.728163832082273e-5</t>
  </si>
  <si>
    <t>0.027528967047415562</t>
  </si>
  <si>
    <t>0.9724710329525844</t>
  </si>
  <si>
    <t>8.699619696200045e-7</t>
  </si>
  <si>
    <t>0.9978310132680356</t>
  </si>
  <si>
    <t>0.9987584282916584</t>
  </si>
  <si>
    <t>2.6737908315852435e-5</t>
  </si>
  <si>
    <t>0.9984880106114165</t>
  </si>
  <si>
    <t>3.120617711568722e-5</t>
  </si>
  <si>
    <t>zaf</t>
  </si>
  <si>
    <t>0.9945090002922549</t>
  </si>
  <si>
    <t>0.15841229314971378</t>
  </si>
  <si>
    <t>0.9995891230949804</t>
  </si>
  <si>
    <t>4.108769050196136e-4</t>
  </si>
  <si>
    <t>0.12595732716785302</t>
  </si>
  <si>
    <t>0.9997376213049516</t>
  </si>
  <si>
    <t>2.6237869504846525e-4</t>
  </si>
  <si>
    <t>0.16028977345076395</t>
  </si>
  <si>
    <t>0.041771801659020495</t>
  </si>
  <si>
    <t>0.8496914148554575</t>
  </si>
  <si>
    <t>0.1503085851445425</t>
  </si>
  <si>
    <t>0.011516144075968252</t>
  </si>
  <si>
    <t>0.8840388084578114</t>
  </si>
  <si>
    <t>0.11596119154218867</t>
  </si>
  <si>
    <t>0.011366208918078933</t>
  </si>
  <si>
    <t>0.3809980533317226</t>
  </si>
  <si>
    <t>0.6190019466682775</t>
  </si>
  <si>
    <t>0.057400915710740394</t>
  </si>
  <si>
    <t>0.9968633999633778</t>
  </si>
  <si>
    <t>0.051117139007764253</t>
  </si>
  <si>
    <t>0.9946529322588286</t>
  </si>
  <si>
    <t>0.021569534423501964</t>
  </si>
  <si>
    <t>0.9975127533379435</t>
  </si>
  <si>
    <t>0.7356900797167082</t>
  </si>
  <si>
    <t>0.26430992028329187</t>
  </si>
  <si>
    <t>0.9839515748307766</t>
  </si>
  <si>
    <t>0.016048425169223432</t>
  </si>
  <si>
    <t>0.5354115228733811</t>
  </si>
  <si>
    <t>0.4645884771266188</t>
  </si>
  <si>
    <t>8.537029385840335e-4</t>
  </si>
  <si>
    <t>0.4831350728486655</t>
  </si>
  <si>
    <t>0.5168649271513345</t>
  </si>
  <si>
    <t>0.7722859434024035</t>
  </si>
  <si>
    <t>0.2277140565975965</t>
  </si>
  <si>
    <t>0.9490654264163675</t>
  </si>
  <si>
    <t>0.9898688716970144</t>
  </si>
  <si>
    <t>0.010131128302985622</t>
  </si>
  <si>
    <t>0.9334731542867437</t>
  </si>
  <si>
    <t>0.9287300255754476</t>
  </si>
  <si>
    <t>3.037123468748154e-4</t>
  </si>
  <si>
    <t>0.18064617835683364</t>
  </si>
  <si>
    <t>0.8193538216431664</t>
  </si>
  <si>
    <t>8.908468809310314e-4</t>
  </si>
  <si>
    <t>0.8248557291632816</t>
  </si>
  <si>
    <t>0.17514427083671835</t>
  </si>
  <si>
    <t>0.6701901202007389</t>
  </si>
  <si>
    <t>0.32980987979926113</t>
  </si>
  <si>
    <t>0.9901714626553004</t>
  </si>
  <si>
    <t>0.023233206219845128</t>
  </si>
  <si>
    <t>0.7337299741125964</t>
  </si>
  <si>
    <t>0.2662700258874036</t>
  </si>
  <si>
    <t>4.3169147896432073e-4</t>
  </si>
  <si>
    <t>0.43361913952873743</t>
  </si>
  <si>
    <t>0.5663808604712626</t>
  </si>
  <si>
    <t>6.611666479021838e-4</t>
  </si>
  <si>
    <t>0.9199098166045041</t>
  </si>
  <si>
    <t>4.6943420845699344e-4</t>
  </si>
  <si>
    <t>0.19334821935207605</t>
  </si>
  <si>
    <t>0.2409031857271443</t>
  </si>
  <si>
    <t>0.7590968142728557</t>
  </si>
  <si>
    <t>5.48156200204411e-4</t>
  </si>
  <si>
    <t>0.12434669251596082</t>
  </si>
  <si>
    <t>0.8756533074840391</t>
  </si>
  <si>
    <t>9.295306681794222e-4</t>
  </si>
  <si>
    <t>2.2110134571219297e-5</t>
  </si>
  <si>
    <t>0.9730048549885778</t>
  </si>
  <si>
    <t>5.647067365658716e-5</t>
  </si>
  <si>
    <t>0.7182996208305997</t>
  </si>
  <si>
    <t>0.28170037916940033</t>
  </si>
  <si>
    <t>8.069756677183586e-5</t>
  </si>
  <si>
    <t>0.9949331081381395</t>
  </si>
  <si>
    <t>6.710890157179553e-5</t>
  </si>
  <si>
    <t>0.9999954062765575</t>
  </si>
  <si>
    <t>4.593723442536348e-6</t>
  </si>
  <si>
    <t>1.623274916106814e-4</t>
  </si>
  <si>
    <t>0.4361049941927991</t>
  </si>
  <si>
    <t>1.3375771389218213e-4</t>
  </si>
  <si>
    <t>0.3588666954440215</t>
  </si>
  <si>
    <t>0.6411333045559785</t>
  </si>
  <si>
    <t>2.5336476269375903e-5</t>
  </si>
  <si>
    <t>0.9911935987436786</t>
  </si>
  <si>
    <t>5.318194276226435e-4</t>
  </si>
  <si>
    <t>0.029575010930001394</t>
  </si>
  <si>
    <t>0.9704249890699986</t>
  </si>
  <si>
    <t>0.9016077491511884</t>
  </si>
  <si>
    <t>2.4891052207504053e-5</t>
  </si>
  <si>
    <t>0.18717802874260928</t>
  </si>
  <si>
    <t>0.8128219712573908</t>
  </si>
  <si>
    <t>7.512064375342058e-4</t>
  </si>
  <si>
    <t>0.2169264930110675</t>
  </si>
  <si>
    <t>0.7830735069889325</t>
  </si>
  <si>
    <t>4.287380589290744e-5</t>
  </si>
  <si>
    <t>0.23952481645173293</t>
  </si>
  <si>
    <t>8.216657135088868e-5</t>
  </si>
  <si>
    <t>0.7142196787370558</t>
  </si>
  <si>
    <t>0.2857803212629442</t>
  </si>
  <si>
    <t>4.947065555924615e-5</t>
  </si>
  <si>
    <t>0.9893344573383811</t>
  </si>
  <si>
    <t>0.010665542661618942</t>
  </si>
  <si>
    <t>6.758039984353923e-4</t>
  </si>
  <si>
    <t>0.10049512912915523</t>
  </si>
  <si>
    <t>0.8995048708708447</t>
  </si>
  <si>
    <t>5.7179574005057315e-5</t>
  </si>
  <si>
    <t>1.243309797702569e-6</t>
  </si>
  <si>
    <t>0.1519998746241991</t>
  </si>
  <si>
    <t>0.8480001253758009</t>
  </si>
  <si>
    <t>9.516191778101376e-5</t>
  </si>
  <si>
    <t>0.014720368991561998</t>
  </si>
  <si>
    <t>5.414880130906632e-4</t>
  </si>
  <si>
    <t>1.4655247035694417e-6</t>
  </si>
  <si>
    <t>0.9173387096774194</t>
  </si>
  <si>
    <t>1.7260182397534266e-6</t>
  </si>
  <si>
    <t>0.23025302964512692</t>
  </si>
  <si>
    <t>1.259366937432994e-5</t>
  </si>
  <si>
    <t>0.3368925846306489</t>
  </si>
  <si>
    <t>2.104380129809974e-5</t>
  </si>
  <si>
    <t>0.45388836835764956</t>
  </si>
  <si>
    <t>0.5461116316423504</t>
  </si>
  <si>
    <t>3.7140213908979983e-6</t>
  </si>
  <si>
    <t>0.11126792711226081</t>
  </si>
  <si>
    <t>0.8887320728877391</t>
  </si>
  <si>
    <t>6.533963345103446e-5</t>
  </si>
  <si>
    <t>0.6412918108419838</t>
  </si>
  <si>
    <t>0.35870818915801617</t>
  </si>
  <si>
    <t>1.5085260220425613e-6</t>
  </si>
  <si>
    <t>6.388057137336271e-8</t>
  </si>
  <si>
    <t>0.5664651518310055</t>
  </si>
  <si>
    <t>0.4335348481689945</t>
  </si>
  <si>
    <t>3.5770634343737848e-6</t>
  </si>
  <si>
    <t>7.506588542706435e-8</t>
  </si>
  <si>
    <t>4.666940551353038e-5</t>
  </si>
  <si>
    <t>0.9999533305944864</t>
  </si>
  <si>
    <t>0.016782312473780505</t>
  </si>
  <si>
    <t>0.2550376850541974</t>
  </si>
  <si>
    <t>0.7449623149458026</t>
  </si>
  <si>
    <t>5.2535431609960396e-5</t>
  </si>
  <si>
    <t>3.9446874229387787e-7</t>
  </si>
  <si>
    <t>0.011207758113406964</t>
  </si>
  <si>
    <t>9.94338129244035e-4</t>
  </si>
  <si>
    <t>0.9995588627406576</t>
  </si>
  <si>
    <t>4.4113725934232103e-4</t>
  </si>
  <si>
    <t>0.9250836198009037</t>
  </si>
  <si>
    <t>1.499642397058577e-4</t>
  </si>
  <si>
    <t>0.5354969574036511</t>
  </si>
  <si>
    <t>0.4645030425963489</t>
  </si>
  <si>
    <t>6.127066476083232e-7</t>
  </si>
  <si>
    <t>0.1842731515050105</t>
  </si>
  <si>
    <t>0.8157268484949894</t>
  </si>
  <si>
    <t>5.347773217835113e-5</t>
  </si>
  <si>
    <t>0.018404907975460124</t>
  </si>
  <si>
    <t>0.9815950920245399</t>
  </si>
  <si>
    <t>4.051569312785261e-8</t>
  </si>
  <si>
    <t>0.49965486023566574</t>
  </si>
  <si>
    <t>0.5003451397643343</t>
  </si>
  <si>
    <t>0.5812569572015058</t>
  </si>
  <si>
    <t>0.41874304279849417</t>
  </si>
  <si>
    <t>1.1812362759552155e-4</t>
  </si>
  <si>
    <t>0.026020055893473615</t>
  </si>
  <si>
    <t>0.9739799441065263</t>
  </si>
  <si>
    <t>3.780014743814838e-5</t>
  </si>
  <si>
    <t>0.6846525984625886</t>
  </si>
  <si>
    <t>0.3153474015374113</t>
  </si>
  <si>
    <t>8.374817475808208e-6</t>
  </si>
  <si>
    <t>3.728438017900547e-8</t>
  </si>
  <si>
    <t>0.9850900997042412</t>
  </si>
  <si>
    <t>0.014909900295758758</t>
  </si>
  <si>
    <t>4.8912632669233695e-5</t>
  </si>
  <si>
    <t>2.726230093819918e-4</t>
  </si>
  <si>
    <t>2.644059104774352e-5</t>
  </si>
  <si>
    <t>3.60997311394512e-5</t>
  </si>
  <si>
    <t>0.9477319051314633</t>
  </si>
  <si>
    <t>1.4572848555498814e-4</t>
  </si>
  <si>
    <t>3.96821197659284e-4</t>
  </si>
  <si>
    <t>0.9996031788023407</t>
  </si>
  <si>
    <t>9.395763230123189e-5</t>
  </si>
  <si>
    <t>3.542557418106875e-4</t>
  </si>
  <si>
    <t>0.9996457442581893</t>
  </si>
  <si>
    <t>0.20281672426248348</t>
  </si>
  <si>
    <t>0.9977778058357849</t>
  </si>
  <si>
    <t>1.9686401297049414e-5</t>
  </si>
  <si>
    <t>2.681725265910918e-8</t>
  </si>
  <si>
    <t>0.9999999731827474</t>
  </si>
  <si>
    <t>0.10195630083922845</t>
  </si>
  <si>
    <t>4.323961537497039e-4</t>
  </si>
  <si>
    <t>lka</t>
  </si>
  <si>
    <t>0.10477893141099448</t>
  </si>
  <si>
    <t>0.9999997891919411</t>
  </si>
  <si>
    <t>2.1080805891101476e-7</t>
  </si>
  <si>
    <t>0.2311007444819944</t>
  </si>
  <si>
    <t>0.9848515950251634</t>
  </si>
  <si>
    <t>0.015148404974836608</t>
  </si>
  <si>
    <t>0.019176569493442274</t>
  </si>
  <si>
    <t>0.9968109017443424</t>
  </si>
  <si>
    <t>0.5532619734269579</t>
  </si>
  <si>
    <t>0.44673802657304207</t>
  </si>
  <si>
    <t>0.9804445977832567</t>
  </si>
  <si>
    <t>0.3873683005454033</t>
  </si>
  <si>
    <t>0.9758865321080726</t>
  </si>
  <si>
    <t>0.018464559992625643</t>
  </si>
  <si>
    <t>0.9933879953705868</t>
  </si>
  <si>
    <t>0.8057126065034559</t>
  </si>
  <si>
    <t>0.19428739349654411</t>
  </si>
  <si>
    <t>0.9827694076074919</t>
  </si>
  <si>
    <t>0.017230592392508088</t>
  </si>
  <si>
    <t>0.8031898270097932</t>
  </si>
  <si>
    <t>0.19681017299020676</t>
  </si>
  <si>
    <t>2.4733947589221513e-4</t>
  </si>
  <si>
    <t>0.9777711709368069</t>
  </si>
  <si>
    <t>7.690659558277379e-4</t>
  </si>
  <si>
    <t>0.9999828040148561</t>
  </si>
  <si>
    <t>1.719598514391945e-5</t>
  </si>
  <si>
    <t>2.132012198826888e-4</t>
  </si>
  <si>
    <t>0.9724178013539905</t>
  </si>
  <si>
    <t>2.637645532674769e-4</t>
  </si>
  <si>
    <t>0.1288434686164659</t>
  </si>
  <si>
    <t>0.8711565313835341</t>
  </si>
  <si>
    <t>0.3746855174240189</t>
  </si>
  <si>
    <t>0.6253144825759811</t>
  </si>
  <si>
    <t>5.592412111564946e-4</t>
  </si>
  <si>
    <t>0.9967309591825225</t>
  </si>
  <si>
    <t>7.730231483995204e-5</t>
  </si>
  <si>
    <t>0.7223828009620659</t>
  </si>
  <si>
    <t>0.2776171990379341</t>
  </si>
  <si>
    <t>1.847304794983764e-4</t>
  </si>
  <si>
    <t>0.9999950591664813</t>
  </si>
  <si>
    <t>4.94083351861459e-6</t>
  </si>
  <si>
    <t>2.629402464103541e-4</t>
  </si>
  <si>
    <t>2.0768115709952916e-5</t>
  </si>
  <si>
    <t>0.014498297648390319</t>
  </si>
  <si>
    <t>0.9855017023516097</t>
  </si>
  <si>
    <t>0.3338844601909261</t>
  </si>
  <si>
    <t>0.6661155398090739</t>
  </si>
  <si>
    <t>3.3001505024526394e-5</t>
  </si>
  <si>
    <t>0.9906461010805702</t>
  </si>
  <si>
    <t>1.9999866915690396e-4</t>
  </si>
  <si>
    <t>0.12278308321964529</t>
  </si>
  <si>
    <t>0.8772169167803547</t>
  </si>
  <si>
    <t>8.094316585190896e-6</t>
  </si>
  <si>
    <t>0.014152949949203521</t>
  </si>
  <si>
    <t>0.9858470500507964</t>
  </si>
  <si>
    <t>1.297955266112743e-4</t>
  </si>
  <si>
    <t>3.3478940438226365e-6</t>
  </si>
  <si>
    <t>0.9960174955540144</t>
  </si>
  <si>
    <t>9.460171611567662e-5</t>
  </si>
  <si>
    <t>0.058493968661082835</t>
  </si>
  <si>
    <t>0.9415060313389172</t>
  </si>
  <si>
    <t>1.6208769902116075e-4</t>
  </si>
  <si>
    <t>0.7268595295129292</t>
  </si>
  <si>
    <t>0.2731404704870708</t>
  </si>
  <si>
    <t>4.23027263697915e-5</t>
  </si>
  <si>
    <t>0.9998233153114952</t>
  </si>
  <si>
    <t>1.7668468850489416e-4</t>
  </si>
  <si>
    <t>7.352895114174373e-5</t>
  </si>
  <si>
    <t>1.7398055549816613e-5</t>
  </si>
  <si>
    <t>0.9999826019444502</t>
  </si>
  <si>
    <t>5.973743349133063e-4</t>
  </si>
  <si>
    <t>0.40120587865845997</t>
  </si>
  <si>
    <t>3.10274557425751e-5</t>
  </si>
  <si>
    <t>0.9970553713732677</t>
  </si>
  <si>
    <t>6.309032923948727e-5</t>
  </si>
  <si>
    <t>0.9999565915700829</t>
  </si>
  <si>
    <t>4.34084299170899e-5</t>
  </si>
  <si>
    <t>1.4964189966539015e-5</t>
  </si>
  <si>
    <t>2.84622076422044e-5</t>
  </si>
  <si>
    <t>0.9999715377923578</t>
  </si>
  <si>
    <t>0.9985854326593866</t>
  </si>
  <si>
    <t>7.209469618466953e-5</t>
  </si>
  <si>
    <t>3.388479301847091e-4</t>
  </si>
  <si>
    <t>4.610062138238954e-4</t>
  </si>
  <si>
    <t>0.99953899378617606</t>
  </si>
  <si>
    <t>2.3958101181190103e-4</t>
  </si>
  <si>
    <t>0.9997604189881881</t>
  </si>
  <si>
    <t>2.3317036204318462e-4</t>
  </si>
  <si>
    <t>8.630563837704261e-5</t>
  </si>
  <si>
    <t>0.9999136943616229</t>
  </si>
  <si>
    <t>4.1082353608038206e-5</t>
  </si>
  <si>
    <t>0.9778925836131933</t>
  </si>
  <si>
    <t>3.909052791497828e-4</t>
  </si>
  <si>
    <t>0.1507273997659596</t>
  </si>
  <si>
    <t>0.8492726002340404</t>
  </si>
  <si>
    <t>4.5739741690838126e-4</t>
  </si>
  <si>
    <t>8.905632002485127e-7</t>
  </si>
  <si>
    <t>3.113658383713509e-5</t>
  </si>
  <si>
    <t>0.9690164639880146</t>
  </si>
  <si>
    <t>2.0378047729100086e-4</t>
  </si>
  <si>
    <t>1.7466536149119135e-4</t>
  </si>
  <si>
    <t>4.7904268623990073e-4</t>
  </si>
  <si>
    <t>0.9995209573137601</t>
  </si>
  <si>
    <t>2.0204092349795526e-4</t>
  </si>
  <si>
    <t>2.740674146235248e-5</t>
  </si>
  <si>
    <t>1.0178466534305725e-4</t>
  </si>
  <si>
    <t>5.296915316944194e-4</t>
  </si>
  <si>
    <t>0.9969182797546076</t>
  </si>
  <si>
    <t>7.486986260364964e-4</t>
  </si>
  <si>
    <t>3.230912623886273e-4</t>
  </si>
  <si>
    <t>0.9692688403638613</t>
  </si>
  <si>
    <t>9.922244647670346e-4</t>
  </si>
  <si>
    <t>1.0175416397491987e-6</t>
  </si>
  <si>
    <t>0.9999989824583603</t>
  </si>
  <si>
    <t>0.010852355739473001</t>
  </si>
  <si>
    <t>9.861297944035394e-6</t>
  </si>
  <si>
    <t>tun</t>
  </si>
  <si>
    <t>0.46052737573471725</t>
  </si>
  <si>
    <t>0.9996564056022719</t>
  </si>
  <si>
    <t>3.43594397728099e-4</t>
  </si>
  <si>
    <t>0.8795652075267468</t>
  </si>
  <si>
    <t>0.1204347924732532</t>
  </si>
  <si>
    <t>0.1044733315370756</t>
  </si>
  <si>
    <t>0.9867767607212923</t>
  </si>
  <si>
    <t>0.013223239278707763</t>
  </si>
  <si>
    <t>0.1561529516356511</t>
  </si>
  <si>
    <t>0.012932820801772948</t>
  </si>
  <si>
    <t>0.9779962094213286</t>
  </si>
  <si>
    <t>0.8441055208526024</t>
  </si>
  <si>
    <t>0.15589447914739762</t>
  </si>
  <si>
    <t>0.9971104251575396</t>
  </si>
  <si>
    <t>0.012057060483491745</t>
  </si>
  <si>
    <t>0.9999558096843271</t>
  </si>
  <si>
    <t>4.4190315672938556e-5</t>
  </si>
  <si>
    <t>0.9238227300706884</t>
  </si>
  <si>
    <t>5.961218597163861e-4</t>
  </si>
  <si>
    <t>0.9906151839035013</t>
  </si>
  <si>
    <t>0.6496185360165492</t>
  </si>
  <si>
    <t>0.3503814639834509</t>
  </si>
  <si>
    <t>8.512722371096776e-4</t>
  </si>
  <si>
    <t>0.9834416598017469</t>
  </si>
  <si>
    <t>8.613854874310343e-4</t>
  </si>
  <si>
    <t>0.9563877688891063</t>
  </si>
  <si>
    <t>4.3335518282011567e-4</t>
  </si>
  <si>
    <t>0.9099362784361354</t>
  </si>
  <si>
    <t>0.8297678692857418</t>
  </si>
  <si>
    <t>0.17023213071425822</t>
  </si>
  <si>
    <t>5.506610266231392e-4</t>
  </si>
  <si>
    <t>1.6765705140218772e-4</t>
  </si>
  <si>
    <t>0.9641138747552391</t>
  </si>
  <si>
    <t>2.4264912297911317e-4</t>
  </si>
  <si>
    <t>0.8030227851406934</t>
  </si>
  <si>
    <t>0.19697721485930667</t>
  </si>
  <si>
    <t>8.792562185036285e-4</t>
  </si>
  <si>
    <t>5.298304598563541e-4</t>
  </si>
  <si>
    <t>0.88776883296717235</t>
  </si>
  <si>
    <t>0.11223116703282766</t>
  </si>
  <si>
    <t>0.7822617315387413</t>
  </si>
  <si>
    <t>0.21773826846125863</t>
  </si>
  <si>
    <t>1.942196228155925e-5</t>
  </si>
  <si>
    <t>0.48628344986918404</t>
  </si>
  <si>
    <t>2.8860495470180775e-5</t>
  </si>
  <si>
    <t>6.680141182882064e-5</t>
  </si>
  <si>
    <t>2.874701228751524e-5</t>
  </si>
  <si>
    <t>5.882579608833493e-6</t>
  </si>
  <si>
    <t>0.4358139146412762</t>
  </si>
  <si>
    <t>0.5641860853587238</t>
  </si>
  <si>
    <t>1.0573806584080981e-5</t>
  </si>
  <si>
    <t>0.9316235272678848</t>
  </si>
  <si>
    <t>2.5200684907657596e-4</t>
  </si>
  <si>
    <t>0.9952453381558619</t>
  </si>
  <si>
    <t>3.6869670439781575e-5</t>
  </si>
  <si>
    <t>0.9969101830303793</t>
  </si>
  <si>
    <t>1.1232803867388525e-4</t>
  </si>
  <si>
    <t>0.9980873327576762</t>
  </si>
  <si>
    <t>4.280245642164647e-4</t>
  </si>
  <si>
    <t>0.9535141283524904</t>
  </si>
  <si>
    <t>2.950386121782155e-5</t>
  </si>
  <si>
    <t>8.005642419167634e-7</t>
  </si>
  <si>
    <t>0.10610707137984215</t>
  </si>
  <si>
    <t>0.8938929286201579</t>
  </si>
  <si>
    <t>0.9656218402426694</t>
  </si>
  <si>
    <t>0.034378159757330634</t>
  </si>
  <si>
    <t>8.734230946008594e-7</t>
  </si>
  <si>
    <t>0.012164359936624014</t>
  </si>
  <si>
    <t>3.5016406168780666e-7</t>
  </si>
  <si>
    <t>4.6646357018618133e-4</t>
  </si>
  <si>
    <t>0.9754420432220039</t>
  </si>
  <si>
    <t>1.3485511278619942e-6</t>
  </si>
  <si>
    <t>0.9959368615332161</t>
  </si>
  <si>
    <t>0.9333404023562364</t>
  </si>
  <si>
    <t>1.5035417781172529e-6</t>
  </si>
  <si>
    <t>0.9746695095948827</t>
  </si>
  <si>
    <t>5.177394228612273e-6</t>
  </si>
  <si>
    <t>9.103294152513851e-4</t>
  </si>
  <si>
    <t>5.410100988397235e-6</t>
  </si>
  <si>
    <t>3.080913860287723e-5</t>
  </si>
  <si>
    <t>1.2329528306246034e-4</t>
  </si>
  <si>
    <t>7.355816519922203e-4</t>
  </si>
  <si>
    <t>0.9951163117734335</t>
  </si>
  <si>
    <t>8.666476628700426e-4</t>
  </si>
  <si>
    <t>0.7803520811462336</t>
  </si>
  <si>
    <t>0.21964791885376644</t>
  </si>
  <si>
    <t>0.9959401753084253</t>
  </si>
  <si>
    <t>3.671922794820902e-4</t>
  </si>
  <si>
    <t>9.012922681057323e-4</t>
  </si>
  <si>
    <t>6.388719019209803e-4</t>
  </si>
  <si>
    <t>tur</t>
  </si>
  <si>
    <t>0.9952616416468929</t>
  </si>
  <si>
    <t>0.2905265630093856</t>
  </si>
  <si>
    <t>0.9806434016430495</t>
  </si>
  <si>
    <t>0.019356598356950527</t>
  </si>
  <si>
    <t>0.22133983995452014</t>
  </si>
  <si>
    <t>0.9408338503222642</t>
  </si>
  <si>
    <t>0.9905016939126738</t>
  </si>
  <si>
    <t>0.12107472521225288</t>
  </si>
  <si>
    <t>0.9992381063223524</t>
  </si>
  <si>
    <t>7.618936776475744e-4</t>
  </si>
  <si>
    <t>0.9698932541269026</t>
  </si>
  <si>
    <t>0.036604835697394734</t>
  </si>
  <si>
    <t>0.9532064309888201</t>
  </si>
  <si>
    <t>0.046793569011179974</t>
  </si>
  <si>
    <t>0.023353535466275766</t>
  </si>
  <si>
    <t>0.9646066638679676</t>
  </si>
  <si>
    <t>0.035393336132032396</t>
  </si>
  <si>
    <t>0.9425995982460119</t>
  </si>
  <si>
    <t>0.057400401753988105</t>
  </si>
  <si>
    <t>0.9970159070339737</t>
  </si>
  <si>
    <t>0.012997017085935529</t>
  </si>
  <si>
    <t>0.9265617629751887</t>
  </si>
  <si>
    <t>0.8744295191631221</t>
  </si>
  <si>
    <t>0.1255704808368779</t>
  </si>
  <si>
    <t>0.4616230635153964</t>
  </si>
  <si>
    <t>0.5383769364846036</t>
  </si>
  <si>
    <t>0.8979371112453721</t>
  </si>
  <si>
    <t>0.1020628887546279</t>
  </si>
  <si>
    <t>0.9999316856335496</t>
  </si>
  <si>
    <t>6.831436645034049e-5</t>
  </si>
  <si>
    <t>0.43172250094233394</t>
  </si>
  <si>
    <t>0.011420655288665232</t>
  </si>
  <si>
    <t>0.7353183274536443</t>
  </si>
  <si>
    <t>0.26468167254635566</t>
  </si>
  <si>
    <t>0.47217449051875704</t>
  </si>
  <si>
    <t>0.6590258628389145</t>
  </si>
  <si>
    <t>0.3409741371610855</t>
  </si>
  <si>
    <t>0.5996244068273172</t>
  </si>
  <si>
    <t>0.40037559317268273</t>
  </si>
  <si>
    <t>0.9578908319637149</t>
  </si>
  <si>
    <t>0.042109168036285095</t>
  </si>
  <si>
    <t>0.5653169343450319</t>
  </si>
  <si>
    <t>0.9779692186281883</t>
  </si>
  <si>
    <t>0.022030781371811706</t>
  </si>
  <si>
    <t>7.552774355116959e-4</t>
  </si>
  <si>
    <t>0.8234396669574237</t>
  </si>
  <si>
    <t>0.17656033304257632</t>
  </si>
  <si>
    <t>0.9485994198564276</t>
  </si>
  <si>
    <t>6.254647277205235e-4</t>
  </si>
  <si>
    <t>0.6884723940121751</t>
  </si>
  <si>
    <t>0.3115276059878249</t>
  </si>
  <si>
    <t>0.24747696253718443</t>
  </si>
  <si>
    <t>0.7525230374628156</t>
  </si>
  <si>
    <t>0.43919263919292845</t>
  </si>
  <si>
    <t>0.5608073608070715</t>
  </si>
  <si>
    <t>0.9985324157182776</t>
  </si>
  <si>
    <t>6.463310722044007e-4</t>
  </si>
  <si>
    <t>0.2938602617249515</t>
  </si>
  <si>
    <t>0.7061397382750485</t>
  </si>
  <si>
    <t>0.9702862023500665</t>
  </si>
  <si>
    <t>0.029713797649933486</t>
  </si>
  <si>
    <t>7.889485307267291e-4</t>
  </si>
  <si>
    <t>0.11941253849398019</t>
  </si>
  <si>
    <t>0.8805874615060199</t>
  </si>
  <si>
    <t>0.9064268855363697</t>
  </si>
  <si>
    <t>4.342322513638384e-4</t>
  </si>
  <si>
    <t>3.25592162790263e-4</t>
  </si>
  <si>
    <t>5.979835100314799e-4</t>
  </si>
  <si>
    <t>0.9003276574643092</t>
  </si>
  <si>
    <t>0.2470580825990793</t>
  </si>
  <si>
    <t>0.7529419174009208</t>
  </si>
  <si>
    <t>8.060780187596324e-4</t>
  </si>
  <si>
    <t>0.9129531315719657</t>
  </si>
  <si>
    <t>1.6627108125485135e-4</t>
  </si>
  <si>
    <t>0.9143386818179161</t>
  </si>
  <si>
    <t>0.055045993364489315</t>
  </si>
  <si>
    <t>0.9449540066355107</t>
  </si>
  <si>
    <t>7.539754816995609e-4</t>
  </si>
  <si>
    <t>0.9082844793275842</t>
  </si>
  <si>
    <t>0.4736875470433047</t>
  </si>
  <si>
    <t>0.5263124529566953</t>
  </si>
  <si>
    <t>9.39702793878412e-4</t>
  </si>
  <si>
    <t>0.14044465024843256</t>
  </si>
  <si>
    <t>0.8595553497515674</t>
  </si>
  <si>
    <t>0.16879298468383516</t>
  </si>
  <si>
    <t>0.8312070153161648</t>
  </si>
  <si>
    <t>0.9450627116165414</t>
  </si>
  <si>
    <t>7.939857658478805e-4</t>
  </si>
  <si>
    <t>0.9114474358363556</t>
  </si>
  <si>
    <t>3.2628001781500015e-4</t>
  </si>
  <si>
    <t>0.9792519659864125</t>
  </si>
  <si>
    <t>3.605815829649886e-5</t>
  </si>
  <si>
    <t>0.1175937516261951</t>
  </si>
  <si>
    <t>0.8824062483738049</t>
  </si>
  <si>
    <t>4.548609732028063e-5</t>
  </si>
  <si>
    <t>0.17956003861608005</t>
  </si>
  <si>
    <t>6.545981832495656e-5</t>
  </si>
  <si>
    <t>0.19375005076500926</t>
  </si>
  <si>
    <t>0.8062499492349907</t>
  </si>
  <si>
    <t>5.372694136702225e-4</t>
  </si>
  <si>
    <t>0.15654093943290875</t>
  </si>
  <si>
    <t>0.8434590605670912</t>
  </si>
  <si>
    <t>0.9002467155995002</t>
  </si>
  <si>
    <t>9.370549802479957e-4</t>
  </si>
  <si>
    <t>0.9290976320925854</t>
  </si>
  <si>
    <t>3.4274991730506876e-4</t>
  </si>
  <si>
    <t>1.6995962474513136e-5</t>
  </si>
  <si>
    <t>0.019346412252639673</t>
  </si>
  <si>
    <t>0.9806535877473603</t>
  </si>
  <si>
    <t>3.126869903038218e-4</t>
  </si>
  <si>
    <t>0.9529305870133119</t>
  </si>
  <si>
    <t>0.013740078942666809</t>
  </si>
  <si>
    <t>0.9954934818397846</t>
  </si>
  <si>
    <t>0.13044998959262158</t>
  </si>
  <si>
    <t>0.8695500104073784</t>
  </si>
  <si>
    <t>4.734812168994069e-5</t>
  </si>
  <si>
    <t>0.9708873826394624</t>
  </si>
  <si>
    <t>1.574740167106805e-4</t>
  </si>
  <si>
    <t>0.17716770419652836</t>
  </si>
  <si>
    <t>0.8228322958034716</t>
  </si>
  <si>
    <t>1.365657545146033e-5</t>
  </si>
  <si>
    <t>0.9958567676766816</t>
  </si>
  <si>
    <t>0.18537377670956978</t>
  </si>
  <si>
    <t>0.8146262232904302</t>
  </si>
  <si>
    <t>3.766828303783571e-4</t>
  </si>
  <si>
    <t>0.9775006791057018</t>
  </si>
  <si>
    <t>0.11232549815057868</t>
  </si>
  <si>
    <t>0.8876745018494213</t>
  </si>
  <si>
    <t>2.1641417614922976e-6</t>
  </si>
  <si>
    <t>0.13471281838699276</t>
  </si>
  <si>
    <t>0.8652871816130072</t>
  </si>
  <si>
    <t>2.2424857073742645e-6</t>
  </si>
  <si>
    <t>0.16567108034908215</t>
  </si>
  <si>
    <t>0.8343289196509178</t>
  </si>
  <si>
    <t>2.2881734314724274e-6</t>
  </si>
  <si>
    <t>0.018395486084200774</t>
  </si>
  <si>
    <t>0.9816045139157992</t>
  </si>
  <si>
    <t>7.118934985472498e-5</t>
  </si>
  <si>
    <t>0.022705553347253327</t>
  </si>
  <si>
    <t>0.9772944466527467</t>
  </si>
  <si>
    <t>6.844792852797355e-4</t>
  </si>
  <si>
    <t>0.9993155207147203</t>
  </si>
  <si>
    <t>9.109587943501743e-4</t>
  </si>
  <si>
    <t>0.9909165166343189</t>
  </si>
  <si>
    <t>3.921420396010831e-4</t>
  </si>
  <si>
    <t>0.9972134573542183</t>
  </si>
  <si>
    <t>5.117585866745759e-4</t>
  </si>
  <si>
    <t>2.2260626132638862e-4</t>
  </si>
  <si>
    <t>0.9997773937386736</t>
  </si>
  <si>
    <t>8.889354091142446e-5</t>
  </si>
  <si>
    <t>0.025906853691822357</t>
  </si>
  <si>
    <t>0.9740931463081777</t>
  </si>
  <si>
    <t>8.318996049095443e-6</t>
  </si>
  <si>
    <t>0.9970835920948282</t>
  </si>
  <si>
    <t>3.092126747270835e-5</t>
  </si>
  <si>
    <t>0.9974060064462362</t>
  </si>
  <si>
    <t>0.9953619025288097</t>
  </si>
  <si>
    <t>4.159492601927868e-4</t>
  </si>
  <si>
    <t>0.9933587688855734</t>
  </si>
  <si>
    <t>0.9945492494303161</t>
  </si>
  <si>
    <t>5.27272624609153e-4</t>
  </si>
  <si>
    <t>2.0571009670528184e-6</t>
  </si>
  <si>
    <t>6.46780831180908e-7</t>
  </si>
  <si>
    <t>0.9921983207199122</t>
  </si>
  <si>
    <t>4.6572308328248185e-4</t>
  </si>
  <si>
    <t>0.9618416543655492</t>
  </si>
  <si>
    <t>3.710233969693602e-6</t>
  </si>
  <si>
    <t>1.7313004981941873e-5</t>
  </si>
  <si>
    <t>0.9960617709191422</t>
  </si>
  <si>
    <t>4.303853329445067e-5</t>
  </si>
  <si>
    <t>0.3402095358553655</t>
  </si>
  <si>
    <t>0.6597904641446345</t>
  </si>
  <si>
    <t>6.248552855003332e-4</t>
  </si>
  <si>
    <t>0.9981951306930186</t>
  </si>
  <si>
    <t>2.0172662294630864e-6</t>
  </si>
  <si>
    <t>8.220777771084113e-7</t>
  </si>
  <si>
    <t>0.9617124565552443</t>
  </si>
  <si>
    <t>1.379419810040636e-6</t>
  </si>
  <si>
    <t>0.9794292233373144</t>
  </si>
  <si>
    <t>9.65725559224885e-7</t>
  </si>
  <si>
    <t>4.454355130909575e-6</t>
  </si>
  <si>
    <t>uga</t>
  </si>
  <si>
    <t>0.6224377023846012</t>
  </si>
  <si>
    <t>0.9056769151875393</t>
  </si>
  <si>
    <t>3.1979223195596556e-4</t>
  </si>
  <si>
    <t>7.172373306924844e-4</t>
  </si>
  <si>
    <t>0.6305687470954933</t>
  </si>
  <si>
    <t>0.3694312529045067</t>
  </si>
  <si>
    <t>1.4094713495234765e-4</t>
  </si>
  <si>
    <t>0.9996507973460599</t>
  </si>
  <si>
    <t>3.492026539401699e-4</t>
  </si>
  <si>
    <t>1.990395220552993e-5</t>
  </si>
  <si>
    <t>5.092409143028144e-6</t>
  </si>
  <si>
    <t>2.6567177271657746e-5</t>
  </si>
  <si>
    <t>4.939497858478618e-6</t>
  </si>
  <si>
    <t>0.9719961261800735</t>
  </si>
  <si>
    <t>0.028003873819926514</t>
  </si>
  <si>
    <t>3.1339167768425295e-4</t>
  </si>
  <si>
    <t>2.5959239073691147e-4</t>
  </si>
  <si>
    <t>0.7042573935651608</t>
  </si>
  <si>
    <t>0.29574260643483913</t>
  </si>
  <si>
    <t>7.128909432710463e-6</t>
  </si>
  <si>
    <t>0.9859573607923806</t>
  </si>
  <si>
    <t>1.948483627560555e-4</t>
  </si>
  <si>
    <t>2.363174397583579e-7</t>
  </si>
  <si>
    <t>0.9970222586168391</t>
  </si>
  <si>
    <t>3.112208008111786e-5</t>
  </si>
  <si>
    <t>2.085153880220805e-7</t>
  </si>
  <si>
    <t>6.765165922494167e-7</t>
  </si>
  <si>
    <t>4.633675289379567e-9</t>
  </si>
  <si>
    <t>9.42607298130799e-4</t>
  </si>
  <si>
    <t>0.9990573927018692</t>
  </si>
  <si>
    <t>ukr</t>
  </si>
  <si>
    <t>0.017445205103906004</t>
  </si>
  <si>
    <t>0.33636540262814224</t>
  </si>
  <si>
    <t>0.4901777712129262</t>
  </si>
  <si>
    <t>0.5098222287870738</t>
  </si>
  <si>
    <t>0.11008652041381393</t>
  </si>
  <si>
    <t>0.9976557834262579</t>
  </si>
  <si>
    <t>0.6176979050665523</t>
  </si>
  <si>
    <t>0.38230209493344763</t>
  </si>
  <si>
    <t>0.44504062859208926</t>
  </si>
  <si>
    <t>0.5549593714079107</t>
  </si>
  <si>
    <t>0.029179361809318734</t>
  </si>
  <si>
    <t>0.21580065670314616</t>
  </si>
  <si>
    <t>0.7841993432968538</t>
  </si>
  <si>
    <t>0.5914372458736488</t>
  </si>
  <si>
    <t>0.4085627541263513</t>
  </si>
  <si>
    <t>0.042403626160522456</t>
  </si>
  <si>
    <t>0.6730885286366121</t>
  </si>
  <si>
    <t>0.32691147136338794</t>
  </si>
  <si>
    <t>0.013532249057046032</t>
  </si>
  <si>
    <t>0.9525964322748061</t>
  </si>
  <si>
    <t>0.31354741618825044</t>
  </si>
  <si>
    <t>0.6864525838117496</t>
  </si>
  <si>
    <t>0.8433869191648068</t>
  </si>
  <si>
    <t>0.15661308083519324</t>
  </si>
  <si>
    <t>0.013790293253255424</t>
  </si>
  <si>
    <t>0.8405533433338818</t>
  </si>
  <si>
    <t>0.15944665666611824</t>
  </si>
  <si>
    <t>0.9718249869835768</t>
  </si>
  <si>
    <t>0.028175013016423237</t>
  </si>
  <si>
    <t>0.8632016614147844</t>
  </si>
  <si>
    <t>0.13679833858521562</t>
  </si>
  <si>
    <t>0.28847421702633047</t>
  </si>
  <si>
    <t>0.7115257829736695</t>
  </si>
  <si>
    <t>0.026410926884749282</t>
  </si>
  <si>
    <t>0.47637464334552376</t>
  </si>
  <si>
    <t>0.5236253566544762</t>
  </si>
  <si>
    <t>0.027623559992045008</t>
  </si>
  <si>
    <t>0.9224903729544635</t>
  </si>
  <si>
    <t>0.14120078618202897</t>
  </si>
  <si>
    <t>0.013001424703255764</t>
  </si>
  <si>
    <t>0.4132258861070492</t>
  </si>
  <si>
    <t>0.5867741138929508</t>
  </si>
  <si>
    <t>0.016116413089414604</t>
  </si>
  <si>
    <t>0.9997568259407347</t>
  </si>
  <si>
    <t>2.4317405926535516e-4</t>
  </si>
  <si>
    <t>0.7922616804641776</t>
  </si>
  <si>
    <t>0.2077383195358225</t>
  </si>
  <si>
    <t>0.7362618078599666</t>
  </si>
  <si>
    <t>0.2637381921400333</t>
  </si>
  <si>
    <t>0.4549029454039703</t>
  </si>
  <si>
    <t>0.5450970545960296</t>
  </si>
  <si>
    <t>0.5993208269215398</t>
  </si>
  <si>
    <t>0.4006791730784602</t>
  </si>
  <si>
    <t>0.6392193680488596</t>
  </si>
  <si>
    <t>0.36078063195114035</t>
  </si>
  <si>
    <t>0.7303654683048031</t>
  </si>
  <si>
    <t>0.26963453169519686</t>
  </si>
  <si>
    <t>0.7861779279351501</t>
  </si>
  <si>
    <t>0.21382207206484996</t>
  </si>
  <si>
    <t>0.5563436769814553</t>
  </si>
  <si>
    <t>0.4436563230185447</t>
  </si>
  <si>
    <t>0.43331256440280946</t>
  </si>
  <si>
    <t>0.5666874355971906</t>
  </si>
  <si>
    <t>0.9999886095699257</t>
  </si>
  <si>
    <t>1.1390430074301096e-5</t>
  </si>
  <si>
    <t>7.400425948200362e-4</t>
  </si>
  <si>
    <t>0.7629771369280892</t>
  </si>
  <si>
    <t>0.23702286307191076</t>
  </si>
  <si>
    <t>5.144260285470333e-4</t>
  </si>
  <si>
    <t>0.9347406094699832</t>
  </si>
  <si>
    <t>2.571082473765594e-4</t>
  </si>
  <si>
    <t>0.20148140201570497</t>
  </si>
  <si>
    <t>6.270795486510263e-4</t>
  </si>
  <si>
    <t>1.1978078431140072e-4</t>
  </si>
  <si>
    <t>0.38712725073529713</t>
  </si>
  <si>
    <t>0.6128727492647029</t>
  </si>
  <si>
    <t>0.5771143341424709</t>
  </si>
  <si>
    <t>0.42288566585752907</t>
  </si>
  <si>
    <t>1.1480792494977087e-4</t>
  </si>
  <si>
    <t>0.21852877023910874</t>
  </si>
  <si>
    <t>0.7814712297608912</t>
  </si>
  <si>
    <t>0.1916433764171922</t>
  </si>
  <si>
    <t>0.8083566235828078</t>
  </si>
  <si>
    <t>0.6112477338533385</t>
  </si>
  <si>
    <t>0.3887522661466615</t>
  </si>
  <si>
    <t>0.9120200210156071</t>
  </si>
  <si>
    <t>0.15659046617273936</t>
  </si>
  <si>
    <t>0.8434095338272606</t>
  </si>
  <si>
    <t>0.12939078756942857</t>
  </si>
  <si>
    <t>0.8706092124305714</t>
  </si>
  <si>
    <t>0.22330823138135386</t>
  </si>
  <si>
    <t>0.7766917686186462</t>
  </si>
  <si>
    <t>0.6748717873838537</t>
  </si>
  <si>
    <t>0.3251282126161464</t>
  </si>
  <si>
    <t>5.717199099358436e-4</t>
  </si>
  <si>
    <t>0.32007085811982017</t>
  </si>
  <si>
    <t>0.6799291418801798</t>
  </si>
  <si>
    <t>0.020263731577821187</t>
  </si>
  <si>
    <t>0.9999649565308534</t>
  </si>
  <si>
    <t>3.5043469146640844e-5</t>
  </si>
  <si>
    <t>5.142007150727879e-4</t>
  </si>
  <si>
    <t>5.536141621981864e-4</t>
  </si>
  <si>
    <t>0.17836711160660826</t>
  </si>
  <si>
    <t>0.8216328883933918</t>
  </si>
  <si>
    <t>1.0643693688000948e-4</t>
  </si>
  <si>
    <t>0.3471777172029248</t>
  </si>
  <si>
    <t>0.6528222827970752</t>
  </si>
  <si>
    <t>2.958221354609201e-4</t>
  </si>
  <si>
    <t>0.28172063800205327</t>
  </si>
  <si>
    <t>0.7182793619979467</t>
  </si>
  <si>
    <t>6.826208063965965e-4</t>
  </si>
  <si>
    <t>0.11172895082184137</t>
  </si>
  <si>
    <t>0.8882710491781586</t>
  </si>
  <si>
    <t>0.15742227657119273</t>
  </si>
  <si>
    <t>0.8425777234288072</t>
  </si>
  <si>
    <t>7.664476603374365e-4</t>
  </si>
  <si>
    <t>0.3395200349686972</t>
  </si>
  <si>
    <t>0.6604799650313028</t>
  </si>
  <si>
    <t>5.384741595667201e-5</t>
  </si>
  <si>
    <t>0.2768354748793132</t>
  </si>
  <si>
    <t>0.7231645251206869</t>
  </si>
  <si>
    <t>1.1178197272778892e-4</t>
  </si>
  <si>
    <t>0.9784372982953491</t>
  </si>
  <si>
    <t>0.9160124906685165</t>
  </si>
  <si>
    <t>0.6806817680919796</t>
  </si>
  <si>
    <t>0.3193182319080205</t>
  </si>
  <si>
    <t>1.1316972944002614e-4</t>
  </si>
  <si>
    <t>0.019712770597329624</t>
  </si>
  <si>
    <t>0.9802872294026703</t>
  </si>
  <si>
    <t>0.8143656150555862</t>
  </si>
  <si>
    <t>0.18563438494441376</t>
  </si>
  <si>
    <t>9.935342819909307e-5</t>
  </si>
  <si>
    <t>0.11073314152110347</t>
  </si>
  <si>
    <t>0.8892668584788965</t>
  </si>
  <si>
    <t>5.519307248178676e-4</t>
  </si>
  <si>
    <t>0.31569792529963603</t>
  </si>
  <si>
    <t>7.011630709943971e-5</t>
  </si>
  <si>
    <t>0.13430819714333644</t>
  </si>
  <si>
    <t>0.8656918028566636</t>
  </si>
  <si>
    <t>9.857935241731409e-4</t>
  </si>
  <si>
    <t>0.20519032052900207</t>
  </si>
  <si>
    <t>0.7948096794709979</t>
  </si>
  <si>
    <t>6.526909878717396e-4</t>
  </si>
  <si>
    <t>0.17806107837388638</t>
  </si>
  <si>
    <t>0.8219389216261136</t>
  </si>
  <si>
    <t>7.344178819541623e-4</t>
  </si>
  <si>
    <t>0.5216002883297232</t>
  </si>
  <si>
    <t>0.4783997116702769</t>
  </si>
  <si>
    <t>2.7907698302445333e-5</t>
  </si>
  <si>
    <t>0.6316779699797529</t>
  </si>
  <si>
    <t>0.36832203002024716</t>
  </si>
  <si>
    <t>2.2522797891930935e-4</t>
  </si>
  <si>
    <t>0.8902838329202771</t>
  </si>
  <si>
    <t>0.10971616707972286</t>
  </si>
  <si>
    <t>4.502115865827093e-6</t>
  </si>
  <si>
    <t>0.9685086031691713</t>
  </si>
  <si>
    <t>4.878893910369914e-6</t>
  </si>
  <si>
    <t>0.10422135658480819</t>
  </si>
  <si>
    <t>0.8957786434151918</t>
  </si>
  <si>
    <t>0.3599081595542618</t>
  </si>
  <si>
    <t>0.6400918404457382</t>
  </si>
  <si>
    <t>4.5863186833773617e-4</t>
  </si>
  <si>
    <t>2.4272841811947865e-4</t>
  </si>
  <si>
    <t>0.9236660695014819</t>
  </si>
  <si>
    <t>1.4486206699475628e-4</t>
  </si>
  <si>
    <t>0.7459858661743172</t>
  </si>
  <si>
    <t>0.25401413382568283</t>
  </si>
  <si>
    <t>1.5990415416466051e-6</t>
  </si>
  <si>
    <t>0.7135525841955921</t>
  </si>
  <si>
    <t>0.2864474158044079</t>
  </si>
  <si>
    <t>1.7357831611734967e-5</t>
  </si>
  <si>
    <t>0.16353273744806987</t>
  </si>
  <si>
    <t>0.8364672625519302</t>
  </si>
  <si>
    <t>8.895362117810876e-6</t>
  </si>
  <si>
    <t>1.2221726875885907e-4</t>
  </si>
  <si>
    <t>0.8058939000451126</t>
  </si>
  <si>
    <t>0.1941060999548874</t>
  </si>
  <si>
    <t>1.6699381183068647e-6</t>
  </si>
  <si>
    <t>4.412996303494538e-6</t>
  </si>
  <si>
    <t>0.1808741383136629</t>
  </si>
  <si>
    <t>0.8191258616863372</t>
  </si>
  <si>
    <t>1.0009584688799687e-4</t>
  </si>
  <si>
    <t>0.9954127847793848</t>
  </si>
  <si>
    <t>1.5761518427719747e-5</t>
  </si>
  <si>
    <t>0.3989066979604569</t>
  </si>
  <si>
    <t>1.3706739357242988e-6</t>
  </si>
  <si>
    <t>0.16386530633217816</t>
  </si>
  <si>
    <t>0.8361346936678219</t>
  </si>
  <si>
    <t>7.13253767476992e-6</t>
  </si>
  <si>
    <t>0.014973549318009365</t>
  </si>
  <si>
    <t>0.9850264506819907</t>
  </si>
  <si>
    <t>2.4672975819467995e-4</t>
  </si>
  <si>
    <t>0.9985084043618089</t>
  </si>
  <si>
    <t>2.167683599482837e-4</t>
  </si>
  <si>
    <t>0.7295451915287583</t>
  </si>
  <si>
    <t>0.27045480847124176</t>
  </si>
  <si>
    <t>3.5187669093699156e-7</t>
  </si>
  <si>
    <t>0.8285213659228051</t>
  </si>
  <si>
    <t>0.1714786340771949</t>
  </si>
  <si>
    <t>6.205201493267473e-6</t>
  </si>
  <si>
    <t>0.042698121318331284</t>
  </si>
  <si>
    <t>0.9573018786816687</t>
  </si>
  <si>
    <t>1.4384758625607237e-4</t>
  </si>
  <si>
    <t>0.9429676402831326</t>
  </si>
  <si>
    <t>0.057032359716867397</t>
  </si>
  <si>
    <t>1.7057732633160711e-6</t>
  </si>
  <si>
    <t>4.598933957358294e-4</t>
  </si>
  <si>
    <t>0.9995401066042642</t>
  </si>
  <si>
    <t>1.2529269791400712e-5</t>
  </si>
  <si>
    <t>8.532029956781784e-4</t>
  </si>
  <si>
    <t>0.9991467970043219</t>
  </si>
  <si>
    <t>1.4666844335551013e-4</t>
  </si>
  <si>
    <t>0.4349196538936959</t>
  </si>
  <si>
    <t>0.5650803461063041</t>
  </si>
  <si>
    <t>9.883170106516358e-7</t>
  </si>
  <si>
    <t>0.011142953259136125</t>
  </si>
  <si>
    <t>0.9888570467408638</t>
  </si>
  <si>
    <t>8.679219182947391e-5</t>
  </si>
  <si>
    <t>zmb</t>
  </si>
  <si>
    <t>2.0988100700907163e-5</t>
  </si>
  <si>
    <t>0.9912983392754396</t>
  </si>
  <si>
    <t>0.9852271906378676</t>
  </si>
  <si>
    <t>0.014772809362132485</t>
  </si>
  <si>
    <t>1.7891541381646878e-4</t>
  </si>
  <si>
    <t>3.6546938183196816e-4</t>
  </si>
  <si>
    <t>1.0097066179378357e-4</t>
  </si>
  <si>
    <t>0.9996866797733615</t>
  </si>
  <si>
    <t>3.1332022663852844e-4</t>
  </si>
  <si>
    <t>5.7643522409179206e-5</t>
  </si>
  <si>
    <t>0.1095269292188416</t>
  </si>
  <si>
    <t>1.1481455692975857e-5</t>
  </si>
  <si>
    <t>8.48950488639887e-4</t>
  </si>
  <si>
    <t>1.726470744943777e-4</t>
  </si>
  <si>
    <t>0.16908807354510383</t>
  </si>
  <si>
    <t>0.8309119264548962</t>
  </si>
  <si>
    <t>3.837546631207816e-4</t>
  </si>
  <si>
    <t>zwe</t>
  </si>
  <si>
    <t>0.25309392293941413</t>
  </si>
  <si>
    <t>0.7029061433242326</t>
  </si>
  <si>
    <t>6.813034587241878e-4</t>
  </si>
  <si>
    <t>9.819702048121637e-5</t>
  </si>
  <si>
    <t>1.2204465159452893e-5</t>
  </si>
  <si>
    <t>5.093411034538606e-5</t>
  </si>
  <si>
    <t>6.424600366722561e-6</t>
  </si>
  <si>
    <t>5.290624268936229e-5</t>
  </si>
  <si>
    <t>3.2312629943610517e-6</t>
  </si>
  <si>
    <t>2.958198515964343e-7</t>
  </si>
  <si>
    <t>2.7003042863674517e-6</t>
  </si>
  <si>
    <t>4.323520907947886e-7</t>
  </si>
  <si>
    <t>6.826611959917715e-8</t>
  </si>
  <si>
    <t>6.228904157204919e-5</t>
  </si>
  <si>
    <t>TradeDataSwitched &lt;- TradeDataSwitched %&gt;% mutate(partner_name = ifelse(partner_name == "Rep. of Moldova", "Moldova", partner_name))</t>
  </si>
  <si>
    <t>3.2333092203601913e-4</t>
  </si>
  <si>
    <t>0.9923205939194769</t>
  </si>
  <si>
    <t>5.867676522419272e-5</t>
  </si>
  <si>
    <t>1.4268919222341934e-5</t>
  </si>
  <si>
    <t>6.602178918267374e-6</t>
  </si>
  <si>
    <t>2.594712265547877e-6</t>
  </si>
  <si>
    <t>1.4637094605420251e-6</t>
  </si>
  <si>
    <t>2.4578329508077694e-7</t>
  </si>
  <si>
    <t>4.4560711221961996e-7</t>
  </si>
  <si>
    <t>6.644141919866531e-8</t>
  </si>
  <si>
    <t>6.144582377019423e-8</t>
  </si>
  <si>
    <t>5.4451990170334726e-8</t>
  </si>
  <si>
    <t>8.662362472968845e-6</t>
  </si>
  <si>
    <t>1.1505855390854581e-5</t>
  </si>
  <si>
    <t>0.9999986076810754</t>
  </si>
  <si>
    <t>1.3923189245728626e-6</t>
  </si>
  <si>
    <t>0.9981749262951004</t>
  </si>
  <si>
    <t>2.673934917878127e-5</t>
  </si>
  <si>
    <t>0.6172850309182126</t>
  </si>
  <si>
    <t>0.3827149690817874</t>
  </si>
  <si>
    <t>4.290008176542361e-5</t>
  </si>
  <si>
    <t>1.2283157817808633e-4</t>
  </si>
  <si>
    <t>3.3335030283248303e-6</t>
  </si>
  <si>
    <t>8.709152055983791e-7</t>
  </si>
  <si>
    <t>4.5923258686006484e-7</t>
  </si>
  <si>
    <t>3.1282873764309595e-7</t>
  </si>
  <si>
    <t>2.077182817950157e-7</t>
  </si>
  <si>
    <t>1.301367548595279e-7</t>
  </si>
  <si>
    <t>6.88223222814811e-8</t>
  </si>
  <si>
    <t>2.377498406087529e-8</t>
  </si>
  <si>
    <t>5.5057857825184884e-8</t>
  </si>
  <si>
    <t>0.8730901754545043</t>
  </si>
  <si>
    <t>0.12690982454549576</t>
  </si>
  <si>
    <t>7.103316981283161e-6</t>
  </si>
  <si>
    <t>2.5263519920624327e-6</t>
  </si>
  <si>
    <t>1.8229281304145321e-6</t>
  </si>
  <si>
    <t>3.958836769732642e-4</t>
  </si>
  <si>
    <t>0.2162724852712186</t>
  </si>
  <si>
    <t>0.9753666524277375</t>
  </si>
  <si>
    <t>0.024633347572262567</t>
  </si>
  <si>
    <t>1.0246370155165527e-4</t>
  </si>
  <si>
    <t>2.9001473151698752e-5</t>
  </si>
  <si>
    <t>0.030378225808975156</t>
  </si>
  <si>
    <t>0.9696217741910248</t>
  </si>
  <si>
    <t>9.324911738164324e-4</t>
  </si>
  <si>
    <t>9.112747827020344e-6</t>
  </si>
  <si>
    <t>0.016490989459367562</t>
  </si>
  <si>
    <t>0.9835090105406324</t>
  </si>
  <si>
    <t>1.0298017813359013e-4</t>
  </si>
  <si>
    <t>9.862660152202614e-7</t>
  </si>
  <si>
    <t>0.2826825127334465</t>
  </si>
  <si>
    <t>0.7173174872665535</t>
  </si>
  <si>
    <t>3.4373413193179526e-6</t>
  </si>
  <si>
    <t>0.8302190074341973</t>
  </si>
  <si>
    <t>0.1697809925658027</t>
  </si>
  <si>
    <t>1.452262117677882e-5</t>
  </si>
  <si>
    <t>7.999085694980484e-5</t>
  </si>
  <si>
    <t>1.0442882103014123e-5</t>
  </si>
  <si>
    <t>0.8728647437692523</t>
  </si>
  <si>
    <t>0.1271352562307477</t>
  </si>
  <si>
    <t>1.0454592652050303e-5</t>
  </si>
  <si>
    <t>4.657870879140866e-6</t>
  </si>
  <si>
    <t>6.518872296807246e-7</t>
  </si>
  <si>
    <t>1.2119930312903831e-4</t>
  </si>
  <si>
    <t>6.675012950622989e-7</t>
  </si>
  <si>
    <t>0.3142162945728095</t>
  </si>
  <si>
    <t>0.6857837054271905</t>
  </si>
  <si>
    <t>8.045085131065233e-4</t>
  </si>
  <si>
    <t>2.552361647994546e-4</t>
  </si>
  <si>
    <t>0.8689479432107754</t>
  </si>
  <si>
    <t>0.1310520567892246</t>
  </si>
  <si>
    <t>4.212126596242261e-5</t>
  </si>
  <si>
    <t>4.4096534066273823e-4</t>
  </si>
  <si>
    <t>3.468142677604931e-5</t>
  </si>
  <si>
    <t>5.642041607549054e-4</t>
  </si>
  <si>
    <t>1.141000233999196e-4</t>
  </si>
  <si>
    <t>5.949663317683062e-4</t>
  </si>
  <si>
    <t>0.9865804188137266</t>
  </si>
  <si>
    <t>0.013419581186273436</t>
  </si>
  <si>
    <t>3.088975739697058e-4</t>
  </si>
  <si>
    <t>1.8782841447068557e-4</t>
  </si>
  <si>
    <t>6.536682555163064e-6</t>
  </si>
  <si>
    <t>4.917338711122668e-6</t>
  </si>
  <si>
    <t>3.3676163380840087e-6</t>
  </si>
  <si>
    <t>1.4852580480370512e-6</t>
  </si>
  <si>
    <t>3.326359170082979e-7</t>
  </si>
  <si>
    <t>1.333122241033256e-6</t>
  </si>
  <si>
    <t>0.9997564161400784</t>
  </si>
  <si>
    <t>2.4358385992162955e-4</t>
  </si>
  <si>
    <t>1.5949138002410536e-4</t>
  </si>
  <si>
    <t>4.931327981685761e-4</t>
  </si>
  <si>
    <t>6.423009019800858e-5</t>
  </si>
  <si>
    <t>3.382160905866491e-6</t>
  </si>
  <si>
    <t>0.8847771236333053</t>
  </si>
  <si>
    <t>0.1152228763666947</t>
  </si>
  <si>
    <t>5.35560421784619e-6</t>
  </si>
  <si>
    <t>8.417127036036162e-4</t>
  </si>
  <si>
    <t>6.86711202777291e-4</t>
  </si>
  <si>
    <t>0.4759498787388844</t>
  </si>
  <si>
    <t>0.5240501212611156</t>
  </si>
  <si>
    <t>7.3150557025063174e-6</t>
  </si>
  <si>
    <t>4.940582412250061e-6</t>
  </si>
  <si>
    <t>1.0515022975763174e-7</t>
  </si>
  <si>
    <t>4.412983280513613e-7</t>
  </si>
  <si>
    <t>1.6594886875633268e-7</t>
  </si>
  <si>
    <t>1.0705734816026576e-5</t>
  </si>
  <si>
    <t>0.039573063181222015</t>
  </si>
  <si>
    <t>4.086075096961327e-6</t>
  </si>
  <si>
    <t>7.48433094056957e-7</t>
  </si>
  <si>
    <t>0.9560325303685403</t>
  </si>
  <si>
    <t>1.7951306359677235e-5</t>
  </si>
  <si>
    <t>0.010179198870904405</t>
  </si>
  <si>
    <t>8.832033913243781e-4</t>
  </si>
  <si>
    <t>0.9910671216479374</t>
  </si>
  <si>
    <t>7.356643886783099e-4</t>
  </si>
  <si>
    <t>4.7812993699701463e-4</t>
  </si>
  <si>
    <t>6.0984452565832785e-6</t>
  </si>
  <si>
    <t>1.562726596999465e-5</t>
  </si>
  <si>
    <t>1.0054548752772e-6</t>
  </si>
  <si>
    <t>0.9926530012489898</t>
  </si>
  <si>
    <t>1.788921085934375e-4</t>
  </si>
  <si>
    <t>1.550897716113851e-6</t>
  </si>
  <si>
    <t>1.9057641426822744e-6</t>
  </si>
  <si>
    <t>6.703032501847999e-7</t>
  </si>
  <si>
    <t>0.7836668469442942</t>
  </si>
  <si>
    <t>0.21633315305570577</t>
  </si>
  <si>
    <t>1.2150889309722502e-5</t>
  </si>
  <si>
    <t>8.559509640840216e-5</t>
  </si>
  <si>
    <t>2.4508438351390505e-4</t>
  </si>
  <si>
    <t>2.7010342505070066e-5</t>
  </si>
  <si>
    <t>1.0419598089808271e-5</t>
  </si>
  <si>
    <t>0.8679106309845322</t>
  </si>
  <si>
    <t>0.13208936901546772</t>
  </si>
  <si>
    <t>6.98584741066487e-6</t>
  </si>
  <si>
    <t>6.455862915232647e-6</t>
  </si>
  <si>
    <t>0.9436960841180319</t>
  </si>
  <si>
    <t>7.375188771386924e-8</t>
  </si>
  <si>
    <t>0.9607104992240438</t>
  </si>
  <si>
    <t>1.116243396350308e-4</t>
  </si>
  <si>
    <t>0.7609770282058738</t>
  </si>
  <si>
    <t>0.2390229717941262</t>
  </si>
  <si>
    <t>5.898435856930147e-6</t>
  </si>
  <si>
    <t>0.6621267679413305</t>
  </si>
  <si>
    <t>0.3378732320586695</t>
  </si>
  <si>
    <t>3.274240782459916e-6</t>
  </si>
  <si>
    <t>0.9592532467532467</t>
  </si>
  <si>
    <t>0.040746753246753246</t>
  </si>
  <si>
    <t>1.0565386705056617e-5</t>
  </si>
  <si>
    <t>1.303521736338154e-7</t>
  </si>
  <si>
    <t>9.604897004596924e-8</t>
  </si>
  <si>
    <t>3.3462775099943926e-6</t>
  </si>
  <si>
    <t>0.9113149847094801</t>
  </si>
  <si>
    <t>5.047716407951562e-6</t>
  </si>
  <si>
    <t>1.433999785380132e-6</t>
  </si>
  <si>
    <t>0.16041306790408147</t>
  </si>
  <si>
    <t>7.595879551877008e-4</t>
  </si>
  <si>
    <t>2.4542480992443716e-7</t>
  </si>
  <si>
    <t>4.76197392390699e-8</t>
  </si>
  <si>
    <t>1.6703539302319903e-6</t>
  </si>
  <si>
    <t>4.443678734023188e-4</t>
  </si>
  <si>
    <t>1.5205191209480537e-5</t>
  </si>
  <si>
    <t>0.9903132063287052</t>
  </si>
  <si>
    <t>6.29551833900551e-5</t>
  </si>
  <si>
    <t>2.258643970511072e-8</t>
  </si>
  <si>
    <t>2.5554365045996893e-4</t>
  </si>
  <si>
    <t>1.2773351135623466e-4</t>
  </si>
  <si>
    <t>8.099775378364705e-4</t>
  </si>
  <si>
    <t>1.887267265031159e-5</t>
  </si>
  <si>
    <t>5.895392831826215e-6</t>
  </si>
  <si>
    <t>8.132428686250837e-7</t>
  </si>
  <si>
    <t>2.0887240850705037e-6</t>
  </si>
  <si>
    <t>1.0233512085434185e-6</t>
  </si>
  <si>
    <t>1.8044598604751098e-7</t>
  </si>
  <si>
    <t>2.6955664080111056e-5</t>
  </si>
  <si>
    <t>4.449353080623558e-8</t>
  </si>
  <si>
    <t>2.358157132730486e-6</t>
  </si>
  <si>
    <t>4.052371911319034e-5</t>
  </si>
  <si>
    <t>1.0255006471406874e-6</t>
  </si>
  <si>
    <t>0.9145527423610691</t>
  </si>
  <si>
    <t>9.146491561618589e-6</t>
  </si>
  <si>
    <t>0.9533157071170345</t>
  </si>
  <si>
    <t>3.414343829666995e-6</t>
  </si>
  <si>
    <t>9.483872808896052e-6</t>
  </si>
  <si>
    <t>0.9946599771496697</t>
  </si>
  <si>
    <t>9.267391227031682e-7</t>
  </si>
  <si>
    <t>0.9904569348968864</t>
  </si>
  <si>
    <t>2.8461400954310947e-7</t>
  </si>
  <si>
    <t>0.9567099567099567</t>
  </si>
  <si>
    <t>2.1268365937552218e-8</t>
  </si>
  <si>
    <t>0.9924122365290744</t>
  </si>
  <si>
    <t>7.176413158090783e-5</t>
  </si>
  <si>
    <t>0.4109988269769784</t>
  </si>
  <si>
    <t>0.5890011730230216</t>
  </si>
  <si>
    <t>1.891113923717536e-4</t>
  </si>
  <si>
    <t>3.0225554109642323e-4</t>
  </si>
  <si>
    <t>3.224934814174006e-4</t>
  </si>
  <si>
    <t>1.618552075804814e-6</t>
  </si>
  <si>
    <t>1.0538706612982837e-6</t>
  </si>
  <si>
    <t>5.629601930826333e-5</t>
  </si>
  <si>
    <t>4.167167657855678e-7</t>
  </si>
  <si>
    <t>2.494744371169599e-4</t>
  </si>
  <si>
    <t>7.327416092384726e-4</t>
  </si>
  <si>
    <t>6.818077117505433e-5</t>
  </si>
  <si>
    <t>1.1237427412855697e-7</t>
  </si>
  <si>
    <t>1.1598262238039137e-6</t>
  </si>
  <si>
    <t>4.4743518322746534e-7</t>
  </si>
  <si>
    <t>1.1283820461807854e-6</t>
  </si>
  <si>
    <t>0.9387304364313619</t>
  </si>
  <si>
    <t>0.061269563568638157</t>
  </si>
  <si>
    <t>7.251041491030536e-4</t>
  </si>
  <si>
    <t>3.7160674615460184e-5</t>
  </si>
  <si>
    <t>0.9602960969044414</t>
  </si>
  <si>
    <t>0.039703903095558546</t>
  </si>
  <si>
    <t>2.4418569034380464e-6</t>
  </si>
  <si>
    <t>0.17198305570398595</t>
  </si>
  <si>
    <t>3.536502244101071e-5</t>
  </si>
  <si>
    <t>0.9251740467215882</t>
  </si>
  <si>
    <t>8.47560698398752e-5</t>
  </si>
  <si>
    <t>4.569991612743266e-6</t>
  </si>
  <si>
    <t>5.099826000095809e-5</t>
  </si>
  <si>
    <t>1.2548104605201877e-4</t>
  </si>
  <si>
    <t>1.3833613792584944e-5</t>
  </si>
  <si>
    <t>4.796676072324876e-7</t>
  </si>
  <si>
    <t>3.3132565404409e-5</t>
  </si>
  <si>
    <t>3.396909950164778e-4</t>
  </si>
  <si>
    <t>9.091217539660161e-5</t>
  </si>
  <si>
    <t>0.5986343850465162</t>
  </si>
  <si>
    <t>0.4013656149534837</t>
  </si>
  <si>
    <t>2.129133742494263e-5</t>
  </si>
  <si>
    <t>1.924088998167452e-6</t>
  </si>
  <si>
    <t>8.459837220881072e-7</t>
  </si>
  <si>
    <t>1.0734531530765978e-5</t>
  </si>
  <si>
    <t>0.9344239911621961</t>
  </si>
  <si>
    <t>9.760129829956205e-6</t>
  </si>
  <si>
    <t>7.012661568703448e-5</t>
  </si>
  <si>
    <t>1.4544719992873811e-5</t>
  </si>
  <si>
    <t>2.542833537062596e-4</t>
  </si>
  <si>
    <t>3.4456272818939034e-5</t>
  </si>
  <si>
    <t>0.016057091882247992</t>
  </si>
  <si>
    <t>4.506531540080581e-6</t>
  </si>
  <si>
    <t>5.829144275750975e-7</t>
  </si>
  <si>
    <t>1.2043834131119154e-7</t>
  </si>
  <si>
    <t>1.6389251492695333e-4</t>
  </si>
  <si>
    <t>2.4658564349250685e-4</t>
  </si>
  <si>
    <t>5.347162290296299e-6</t>
  </si>
  <si>
    <t>2.84334296224062e-5</t>
  </si>
  <si>
    <t>0.30604552992612694</t>
  </si>
  <si>
    <t>8.383814554198169e-7</t>
  </si>
  <si>
    <t>1.4692214741142698e-06</t>
  </si>
  <si>
    <t>7.109747756273889e-7</t>
  </si>
  <si>
    <t>6.461300842247009e-5</t>
  </si>
  <si>
    <t>4.81440519175951e-7</t>
  </si>
  <si>
    <t>0.7811666236507381</t>
  </si>
  <si>
    <t>0.2188333763492619</t>
  </si>
  <si>
    <t>7.982496152403587e-5</t>
  </si>
  <si>
    <t>moz</t>
  </si>
  <si>
    <t>0.5415759172130099</t>
  </si>
  <si>
    <t>0.19073257604950095</t>
  </si>
  <si>
    <t>0.1668229562639522</t>
  </si>
  <si>
    <t>7.809789588311212e-4</t>
  </si>
  <si>
    <t>3.401558013654095e-4</t>
  </si>
  <si>
    <t>1.6155230850581914e-4</t>
  </si>
  <si>
    <t>1.8394006669350833e-4</t>
  </si>
  <si>
    <t>8.872266353902816e-4</t>
  </si>
  <si>
    <t>4.173311532044298e-4</t>
  </si>
  <si>
    <t>1.7045644657749824e-4</t>
  </si>
  <si>
    <t>5.336573833917993e-6</t>
  </si>
  <si>
    <t>4.317269765986252e-6</t>
  </si>
  <si>
    <t>8.634539531972504e-6</t>
  </si>
  <si>
    <t>0.8152022315202232</t>
  </si>
  <si>
    <t>0.18479776847977686</t>
  </si>
  <si>
    <t>5.29594939642796e-6</t>
  </si>
  <si>
    <t>8.40187229907504e-6</t>
  </si>
  <si>
    <t>0.028621995412052084</t>
  </si>
  <si>
    <t>0.9713780045879479</t>
  </si>
  <si>
    <t>2.1198570108435486e-6</t>
  </si>
  <si>
    <t>1.1921425837984278e-4</t>
  </si>
  <si>
    <t>1.5129279147424533e-4</t>
  </si>
  <si>
    <t>5.2243026612182646e-5</t>
  </si>
  <si>
    <t>3.6499210519454344e-5</t>
  </si>
  <si>
    <t>3.385862208260219e-5</t>
  </si>
  <si>
    <t>1.3930593692508344e-4</t>
  </si>
  <si>
    <t>0.9998606940630749</t>
  </si>
  <si>
    <t>2.2355905121386411e-4</t>
  </si>
  <si>
    <t>0.9997764409487861</t>
  </si>
  <si>
    <t>0.9412292507851054</t>
  </si>
  <si>
    <t>1.5640793741442693e-5</t>
  </si>
  <si>
    <t>0.9494845360824742</t>
  </si>
  <si>
    <t>0.050515463917525774</t>
  </si>
  <si>
    <t>6.8064468053833155e-6</t>
  </si>
  <si>
    <t>0.24133403361344538</t>
  </si>
  <si>
    <t>0.7586659663865546</t>
  </si>
  <si>
    <t>2.6720566427731614e-5</t>
  </si>
  <si>
    <t>1.3332215391987938e-7</t>
  </si>
  <si>
    <t>0.9999900883863413</t>
  </si>
  <si>
    <t>9.911613658683419e-6</t>
  </si>
  <si>
    <t>0.11114860270418447</t>
  </si>
  <si>
    <t>1.0939433576899576e-5</t>
  </si>
  <si>
    <t>0.5733944162611726</t>
  </si>
  <si>
    <t>0.42660558373882734</t>
  </si>
  <si>
    <t>8.1332127455502e-4</t>
  </si>
  <si>
    <t>0.032910089870351655</t>
  </si>
  <si>
    <t>1.9107934538013669e-4</t>
  </si>
  <si>
    <t>8.662245418814902e-4</t>
  </si>
  <si>
    <t>6.319611823725617e-6</t>
  </si>
  <si>
    <t>3.193866157406265e-4</t>
  </si>
  <si>
    <t>0.18973214285714285</t>
  </si>
  <si>
    <t>0.8102678571428571</t>
  </si>
  <si>
    <t>6.1281084351278715e-6</t>
  </si>
  <si>
    <t>4.44561437816196e-6</t>
  </si>
  <si>
    <t>0.12795021015195604</t>
  </si>
  <si>
    <t>0.8720497898480439</t>
  </si>
  <si>
    <t>1.6923428026652238e-4</t>
  </si>
  <si>
    <t>2.1024336305338257e-5</t>
  </si>
  <si>
    <t>4.981630238495548e-5</t>
  </si>
  <si>
    <t>0.9561072227581535</t>
  </si>
  <si>
    <t>2.882848711086572e-4</t>
  </si>
  <si>
    <t>1.559144178837281e-6</t>
  </si>
  <si>
    <t>1.4792639267905892e-7</t>
  </si>
  <si>
    <t>3.136039524796049e-5</t>
  </si>
  <si>
    <t>0.16891415621263728</t>
  </si>
  <si>
    <t>4.992515880634482e-5</t>
  </si>
  <si>
    <t>2.297831156052573e-4</t>
  </si>
  <si>
    <t>2.0381615371383164e-5</t>
  </si>
  <si>
    <t>1.5384200063976714e-5</t>
  </si>
  <si>
    <t>1.1758624252721055e-5</t>
  </si>
  <si>
    <t>1.6196752887001454e-4</t>
  </si>
  <si>
    <t>3.370273287985613e-7</t>
  </si>
  <si>
    <t>4.167671757123024e-8</t>
  </si>
  <si>
    <t>1.3827997621899514e-7</t>
  </si>
  <si>
    <t>1.6791139969449408e-7</t>
  </si>
  <si>
    <t>0.9981348648109228</t>
  </si>
  <si>
    <t>0.011964081832067281</t>
  </si>
  <si>
    <t>6.188872106386733e-7</t>
  </si>
  <si>
    <t>2.2207426912535938e-5</t>
  </si>
  <si>
    <t>4.818117638292514e-10</t>
  </si>
  <si>
    <t>8.857710370563105e-5</t>
  </si>
  <si>
    <t>0.9980103158847596</t>
  </si>
  <si>
    <t>8.956120901778112e-5</t>
  </si>
  <si>
    <t>4.6435964362056523e-7</t>
  </si>
  <si>
    <t>2.888782547007556e-5</t>
  </si>
  <si>
    <t>0.5707555841529552</t>
  </si>
  <si>
    <t>0.42924441584704476</t>
  </si>
  <si>
    <t>1.746505985461756e-5</t>
  </si>
  <si>
    <t>2.9057595676861643e-7</t>
  </si>
  <si>
    <t>0.9324385997532157</t>
  </si>
  <si>
    <t>4.748829883532629e-5</t>
  </si>
  <si>
    <t>1.0296181760969732e-5</t>
  </si>
  <si>
    <t>3.1052576213201096e-4</t>
  </si>
  <si>
    <t>1.803714130320594e-4</t>
  </si>
  <si>
    <t>6.848602384391811e-6</t>
  </si>
  <si>
    <t>0.9370654692931634</t>
  </si>
  <si>
    <t>3.84734540248651e-6</t>
  </si>
  <si>
    <t>1.6093205080881798e-5</t>
  </si>
  <si>
    <t>1.5241149588355454e-7</t>
  </si>
  <si>
    <t>3.482895244139729e-8</t>
  </si>
  <si>
    <t>2.9079095138777474e-4</t>
  </si>
  <si>
    <t>0.9997092090486123</t>
  </si>
  <si>
    <t>8.336212245781606e-5</t>
  </si>
  <si>
    <t>1.2538422878903025e-8</t>
  </si>
  <si>
    <t>2.2290529562494268e-8</t>
  </si>
  <si>
    <t>3.03043209909649e-5</t>
  </si>
  <si>
    <t>3.076723973960466e-4</t>
  </si>
  <si>
    <t>0.9524341541027188</t>
  </si>
  <si>
    <t>5.730069731747161e-4</t>
  </si>
  <si>
    <t>2.9234506002394973e-6</t>
  </si>
  <si>
    <t>2.7832238547257497e-7</t>
  </si>
  <si>
    <t>5.924473442678089e-8</t>
  </si>
  <si>
    <t>0.5308502390489728</t>
  </si>
  <si>
    <t>0.4691497609510273</t>
  </si>
  <si>
    <t>2.6388201423243585e-5</t>
  </si>
  <si>
    <t>5.2075695340029415e-6</t>
  </si>
  <si>
    <t>phl</t>
  </si>
  <si>
    <t>0.9999497186223845</t>
  </si>
  <si>
    <t>5.028137761550004e-5</t>
  </si>
  <si>
    <t>0.6088489745381808</t>
  </si>
  <si>
    <t>0.14925614308378654</t>
  </si>
  <si>
    <t>0.9351333712044418</t>
  </si>
  <si>
    <t>0.014541515664142917</t>
  </si>
  <si>
    <t>0.9945648260847295</t>
  </si>
  <si>
    <t>0.6856646476770486</t>
  </si>
  <si>
    <t>0.3143353523229514</t>
  </si>
  <si>
    <t>0.9168914091973811</t>
  </si>
  <si>
    <t>0.9968666519609036</t>
  </si>
  <si>
    <t>0.9947758907863219</t>
  </si>
  <si>
    <t>0.7863686851697054</t>
  </si>
  <si>
    <t>0.21363131483029466</t>
  </si>
  <si>
    <t>0.9833284193334764</t>
  </si>
  <si>
    <t>4.7657114137577823e-4</t>
  </si>
  <si>
    <t>0.12338077751510147</t>
  </si>
  <si>
    <t>0.8766192224848985</t>
  </si>
  <si>
    <t>0.016398674652342148</t>
  </si>
  <si>
    <t>0.9998220673859464</t>
  </si>
  <si>
    <t>1.7793261405362398e-4</t>
  </si>
  <si>
    <t>0.33578113352473893</t>
  </si>
  <si>
    <t>0.6642188664752611</t>
  </si>
  <si>
    <t>7.355592152983851e-4</t>
  </si>
  <si>
    <t>0.30604991891861244</t>
  </si>
  <si>
    <t>0.6939500810813876</t>
  </si>
  <si>
    <t>0.5782059111670929</t>
  </si>
  <si>
    <t>0.4217940888329071</t>
  </si>
  <si>
    <t>7.709486798055607e-5</t>
  </si>
  <si>
    <t>0.3275814131812235</t>
  </si>
  <si>
    <t>0.6724185868187764</t>
  </si>
  <si>
    <t>4.189410183626656e-4</t>
  </si>
  <si>
    <t>0.46521190656618416</t>
  </si>
  <si>
    <t>0.5347880934338158</t>
  </si>
  <si>
    <t>8.685382253385138e-4</t>
  </si>
  <si>
    <t>0.9376388702127796</t>
  </si>
  <si>
    <t>3.829657183922867e-5</t>
  </si>
  <si>
    <t>0.45467148412481795</t>
  </si>
  <si>
    <t>9.074270084140907e-5</t>
  </si>
  <si>
    <t>0.3151898507686043</t>
  </si>
  <si>
    <t>0.6848101492313957</t>
  </si>
  <si>
    <t>0.9384750544179239</t>
  </si>
  <si>
    <t>0.9957766554085459</t>
  </si>
  <si>
    <t>7.91405102719088e-5</t>
  </si>
  <si>
    <t>0.012258899692909843</t>
  </si>
  <si>
    <t>0.9877411003070902</t>
  </si>
  <si>
    <t>0.23583789320738086</t>
  </si>
  <si>
    <t>0.7641621067926191</t>
  </si>
  <si>
    <t>2.437051004721184e-4</t>
  </si>
  <si>
    <t>0.011712622563620174</t>
  </si>
  <si>
    <t>0.9882873774363798</t>
  </si>
  <si>
    <t>0.28657481997829876</t>
  </si>
  <si>
    <t>0.7134251800217013</t>
  </si>
  <si>
    <t>2.9831752101131746e-4</t>
  </si>
  <si>
    <t>0.44889879182238634</t>
  </si>
  <si>
    <t>0.5511012081776137</t>
  </si>
  <si>
    <t>2.7624018038670884e-5</t>
  </si>
  <si>
    <t>0.031135943239365416</t>
  </si>
  <si>
    <t>0.9688640567606346</t>
  </si>
  <si>
    <t>8.391719046769633e-5</t>
  </si>
  <si>
    <t>0.010520342366871212</t>
  </si>
  <si>
    <t>0.9894796576331288</t>
  </si>
  <si>
    <t>8.340075284295541e-5</t>
  </si>
  <si>
    <t>0.8914021769321921</t>
  </si>
  <si>
    <t>0.10859782306780782</t>
  </si>
  <si>
    <t>2.4543244455031173e-4</t>
  </si>
  <si>
    <t>0.9327735216115022</t>
  </si>
  <si>
    <t>6.646292295049074e-4</t>
  </si>
  <si>
    <t>4.7967884033985315e-6</t>
  </si>
  <si>
    <t>2.5308291731127976e-5</t>
  </si>
  <si>
    <t>0.9999746917082689</t>
  </si>
  <si>
    <t>1.2778275492699456e-5</t>
  </si>
  <si>
    <t>6.938125568698817e-4</t>
  </si>
  <si>
    <t>0.9993061874431302</t>
  </si>
  <si>
    <t>1.0779961055845787e-4</t>
  </si>
  <si>
    <t>0.028332592899916655</t>
  </si>
  <si>
    <t>0.9716674071000834</t>
  </si>
  <si>
    <t>2.671576463196839e-4</t>
  </si>
  <si>
    <t>0.9981227586385469</t>
  </si>
  <si>
    <t>5.682358771027646e-5</t>
  </si>
  <si>
    <t>2.282331781538872e-5</t>
  </si>
  <si>
    <t>0.9999771766821847</t>
  </si>
  <si>
    <t>1.7658439391070408e-6</t>
  </si>
  <si>
    <t>6.67070169731247e-5</t>
  </si>
  <si>
    <t>0.7833751643360822</t>
  </si>
  <si>
    <t>0.21662483566391777</t>
  </si>
  <si>
    <t>8.20709136981453e-6</t>
  </si>
  <si>
    <t>0.9200432334606877</t>
  </si>
  <si>
    <t>9.755913799949245e-6</t>
  </si>
  <si>
    <t>0.8027678892844287</t>
  </si>
  <si>
    <t>0.19723211071557137</t>
  </si>
  <si>
    <t>1.226159264591449e-5</t>
  </si>
  <si>
    <t>2.832908045968471e-4</t>
  </si>
  <si>
    <t>8.5297790575622e-5</t>
  </si>
  <si>
    <t>1.3159105327088186e-5</t>
  </si>
  <si>
    <t>3.525528027947822e-4</t>
  </si>
  <si>
    <t>0.9996474471972052</t>
  </si>
  <si>
    <t>3.825586497991861e-5</t>
  </si>
  <si>
    <t>7.359432330193464e-5</t>
  </si>
  <si>
    <t>4.0636971027513295e-5</t>
  </si>
  <si>
    <t>0.9971585232449055</t>
  </si>
  <si>
    <t>1.448129354412434e-4</t>
  </si>
  <si>
    <t>6.21024090856376e-4</t>
  </si>
  <si>
    <t>0.9974651303239996</t>
  </si>
  <si>
    <t>9.646486275691866e-5</t>
  </si>
  <si>
    <t>2.036516211406911e-5</t>
  </si>
  <si>
    <t>1.4328058720570362e-6</t>
  </si>
  <si>
    <t>7.137197789647409e-7</t>
  </si>
  <si>
    <t>2.71757571982793e-5</t>
  </si>
  <si>
    <t>2.1573883832475156e-4</t>
  </si>
  <si>
    <t>2.0637560843337835e-5</t>
  </si>
  <si>
    <t>0.9931967360293678</t>
  </si>
  <si>
    <t>4.172043486934832e-5</t>
  </si>
  <si>
    <t>1.1988496766419086e-5</t>
  </si>
  <si>
    <t>5.122599850695896e-5</t>
  </si>
  <si>
    <t>3.3957835352329336e-5</t>
  </si>
  <si>
    <t>8.908261320066905e-5</t>
  </si>
  <si>
    <t>0.7872174590802806</t>
  </si>
  <si>
    <t>0.2127825409197194</t>
  </si>
  <si>
    <t>2.1358385546505156e-6</t>
  </si>
  <si>
    <t>0.9526462395543176</t>
  </si>
  <si>
    <t>1.1952705239587453e-6</t>
  </si>
  <si>
    <t>1.0138158065332533e-6</t>
  </si>
  <si>
    <t>1.2352238562359177e-6</t>
  </si>
  <si>
    <t>1.8952861998983726e-6</t>
  </si>
  <si>
    <t>6.009647063358037e-7</t>
  </si>
  <si>
    <t>0.9999730232517988</t>
  </si>
  <si>
    <t>2.697674820119043e-5</t>
  </si>
  <si>
    <t>7.71368997942301e-4</t>
  </si>
  <si>
    <t>4.036951282172642e-7</t>
  </si>
  <si>
    <t>4.261688776231738e-7</t>
  </si>
  <si>
    <t>6.109530394050969e-7</t>
  </si>
  <si>
    <t>8.689849770285029e-7</t>
  </si>
  <si>
    <t>6.0343681877045375e-5</t>
  </si>
  <si>
    <t>8.897346774478869e-5</t>
  </si>
  <si>
    <t>5.7926570378326005e-5</t>
  </si>
  <si>
    <t>1.151489641274502e-6</t>
  </si>
  <si>
    <t>0.9973691826050354</t>
  </si>
  <si>
    <t>1.6304441331527318e-5</t>
  </si>
  <si>
    <t>3.789478274290783e-5</t>
  </si>
  <si>
    <t>0.4022572710172189</t>
  </si>
  <si>
    <t>1.2024709732798318e-5</t>
  </si>
  <si>
    <t>2.5321065392235248e-6</t>
  </si>
  <si>
    <t>4.526323753731264e-7</t>
  </si>
  <si>
    <t>0.9835779088820655</t>
  </si>
  <si>
    <t>0.016422091117934436</t>
  </si>
  <si>
    <t>0.031578947368421054</t>
  </si>
  <si>
    <t>1.3576054620856247e-6</t>
  </si>
  <si>
    <t>0.017894609075618594</t>
  </si>
  <si>
    <t>0.9821053909243814</t>
  </si>
  <si>
    <t>3.746146631767467e-5</t>
  </si>
  <si>
    <t>1.0588023460285016e-7</t>
  </si>
  <si>
    <t>4.9367471348568175e-8</t>
  </si>
  <si>
    <t>6.495719914285286e-9</t>
  </si>
  <si>
    <t>2.0916218123998622e-7</t>
  </si>
  <si>
    <t>1.78491744756805e-4</t>
  </si>
  <si>
    <t>0.9998215082552432</t>
  </si>
  <si>
    <t>1.6740444577100327e-4</t>
  </si>
  <si>
    <t>7.180942026416249e-4</t>
  </si>
  <si>
    <t>1.7021991674145132e-4</t>
  </si>
  <si>
    <t>1.2179792324760114e-5</t>
  </si>
  <si>
    <t>4.87416893080519e-5</t>
  </si>
  <si>
    <t>3.1236577205290595e-6</t>
  </si>
  <si>
    <t>0.9650205761316872</t>
  </si>
  <si>
    <t>2.1460243881497355e-7</t>
  </si>
  <si>
    <t>0.9988662131519275</t>
  </si>
  <si>
    <t>7.0103463346224695e-6</t>
  </si>
  <si>
    <t>2.2078440207301807e-8</t>
  </si>
  <si>
    <t>2.5848554657100662e-5</t>
  </si>
  <si>
    <t>7.285885268409596e-7</t>
  </si>
  <si>
    <t>6.79751017102408e-6</t>
  </si>
  <si>
    <t>1.3917475415415998e-4</t>
  </si>
  <si>
    <t>0.9842398097143985</t>
  </si>
  <si>
    <t>0.015760190285601515</t>
  </si>
  <si>
    <t>6.691699000781054e-4</t>
  </si>
  <si>
    <t>1.5242474864414086e-5</t>
  </si>
  <si>
    <t>3.225014833031732e-4</t>
  </si>
  <si>
    <t>0.9095035617648684</t>
  </si>
  <si>
    <t>1.2232902763962057e-6</t>
  </si>
  <si>
    <t>0.26904135159502895</t>
  </si>
  <si>
    <t>5.11365454422995e-4</t>
  </si>
  <si>
    <t>4.309318019122997e-7</t>
  </si>
  <si>
    <t>4.749517171614056e-7</t>
  </si>
  <si>
    <t>6.579818910918985e-7</t>
  </si>
  <si>
    <t>2.3168376446897836e-8</t>
  </si>
  <si>
    <t>2.4903687842770482e-5</t>
  </si>
  <si>
    <t>uzb</t>
  </si>
  <si>
    <t>0.43562505228874804</t>
  </si>
  <si>
    <t>0.1734700482775898</t>
  </si>
  <si>
    <t>0.9999819711530904</t>
  </si>
  <si>
    <t>1.8028846909655396e-5</t>
  </si>
  <si>
    <t>0.9998722631366747</t>
  </si>
  <si>
    <t>1.2773686332539973e-4</t>
  </si>
  <si>
    <t>0.10862573952267256</t>
  </si>
  <si>
    <t>0.9813805908309857</t>
  </si>
  <si>
    <t>0.018619409169014264</t>
  </si>
  <si>
    <t>0.9939009610883304</t>
  </si>
  <si>
    <t>0.15575568937524537</t>
  </si>
  <si>
    <t>0.8442443106247547</t>
  </si>
  <si>
    <t>0.9923678833215992</t>
  </si>
  <si>
    <t>3.543299765889803e-4</t>
  </si>
  <si>
    <t>0.021921782489046648</t>
  </si>
  <si>
    <t>0.9929569677300871</t>
  </si>
  <si>
    <t>0.016306447171705558</t>
  </si>
  <si>
    <t>0.9984665022811505</t>
  </si>
  <si>
    <t>0.014945834143542716</t>
  </si>
  <si>
    <t>0.9855547603642946</t>
  </si>
  <si>
    <t>0.014445239635705437</t>
  </si>
  <si>
    <t>0.9703866529134567</t>
  </si>
  <si>
    <t>0.20385551449174996</t>
  </si>
  <si>
    <t>0.024626680723970035</t>
  </si>
  <si>
    <t>0.9936152150228192</t>
  </si>
  <si>
    <t>0.9850971228881499</t>
  </si>
  <si>
    <t>0.014902877111850154</t>
  </si>
  <si>
    <t>0.8861737190112907</t>
  </si>
  <si>
    <t>0.11382628098870924</t>
  </si>
  <si>
    <t>0.9977663294539911</t>
  </si>
  <si>
    <t>6.711665637495132e-4</t>
  </si>
  <si>
    <t>0.7917301167202163</t>
  </si>
  <si>
    <t>0.20826988327978366</t>
  </si>
  <si>
    <t>0.025881781870249816</t>
  </si>
  <si>
    <t>0.9942099604743416</t>
  </si>
  <si>
    <t>0.9597746947085007</t>
  </si>
  <si>
    <t>0.29458904937318875</t>
  </si>
  <si>
    <t>0.7054109506268113</t>
  </si>
  <si>
    <t>0.9996669983880061</t>
  </si>
  <si>
    <t>3.330016119939545e-4</t>
  </si>
  <si>
    <t>0.9933953381121087</t>
  </si>
  <si>
    <t>0.9919908950212998</t>
  </si>
  <si>
    <t>0.5018199477444352</t>
  </si>
  <si>
    <t>0.4981800522555648</t>
  </si>
  <si>
    <t>0.9993885051282572</t>
  </si>
  <si>
    <t>6.114948717428067e-4</t>
  </si>
  <si>
    <t>0.43135778535991626</t>
  </si>
  <si>
    <t>0.5686422146400837</t>
  </si>
  <si>
    <t>0.9859228623123455</t>
  </si>
  <si>
    <t>0.014077137687654478</t>
  </si>
  <si>
    <t>0.9250034759735511</t>
  </si>
  <si>
    <t>0.9976931648398119</t>
  </si>
  <si>
    <t>0.9980368243635653</t>
  </si>
  <si>
    <t>0.8137039513819077</t>
  </si>
  <si>
    <t>0.18629604861809237</t>
  </si>
  <si>
    <t>0.23166977619348295</t>
  </si>
  <si>
    <t>0.13129733641403069</t>
  </si>
  <si>
    <t>0.8687026635859693</t>
  </si>
  <si>
    <t>0.9881307656278406</t>
  </si>
  <si>
    <t>0.011869234372159409</t>
  </si>
  <si>
    <t>0.8776189095509869</t>
  </si>
  <si>
    <t>0.1223810904490131</t>
  </si>
  <si>
    <t>0.4675829580738672</t>
  </si>
  <si>
    <t>0.5324170419261328</t>
  </si>
  <si>
    <t>0.9896128247232566</t>
  </si>
  <si>
    <t>0.010387175276743392</t>
  </si>
  <si>
    <t>2.646276643494707e-4</t>
  </si>
  <si>
    <t>0.9162900902146156</t>
  </si>
  <si>
    <t>0.011174990945031726</t>
  </si>
  <si>
    <t>8.002606273233736e-4</t>
  </si>
  <si>
    <t>0.3348807400290962</t>
  </si>
  <si>
    <t>0.6651192599709038</t>
  </si>
  <si>
    <t>0.9877708824013365</t>
  </si>
  <si>
    <t>0.012229117598663469</t>
  </si>
  <si>
    <t>0.9999522791487112</t>
  </si>
  <si>
    <t>4.772085128876604e-5</t>
  </si>
  <si>
    <t>5.625509872563043e-4</t>
  </si>
  <si>
    <t>0.9242602536579098</t>
  </si>
  <si>
    <t>5.830667409554102e-4</t>
  </si>
  <si>
    <t>0.9244092480266913</t>
  </si>
  <si>
    <t>0.5326006194373819</t>
  </si>
  <si>
    <t>0.46739938056261815</t>
  </si>
  <si>
    <t>9.69384177684554e-4</t>
  </si>
  <si>
    <t>0.9981493009299794</t>
  </si>
  <si>
    <t>7.686126239368277e-4</t>
  </si>
  <si>
    <t>2.570353111992683e-4</t>
  </si>
  <si>
    <t>2.614974604952679e-4</t>
  </si>
  <si>
    <t>0.6152959205317584</t>
  </si>
  <si>
    <t>0.38470407946824153</t>
  </si>
  <si>
    <t>1.007516956874118e-4</t>
  </si>
  <si>
    <t>4.8206047008188106e-4</t>
  </si>
  <si>
    <t>0.17855593520850327</t>
  </si>
  <si>
    <t>0.8214440647914967</t>
  </si>
  <si>
    <t>2.238389662591269e-4</t>
  </si>
  <si>
    <t>0.9884745650486138</t>
  </si>
  <si>
    <t>1.7697163127332866e-4</t>
  </si>
  <si>
    <t>0.9947505773315082</t>
  </si>
  <si>
    <t>0.9669359193558839</t>
  </si>
  <si>
    <t>0.47785087826589356</t>
  </si>
  <si>
    <t>0.5221491217341064</t>
  </si>
  <si>
    <t>6.478487541393735e-4</t>
  </si>
  <si>
    <t>0.1999396359139512</t>
  </si>
  <si>
    <t>0.8000603640860489</t>
  </si>
  <si>
    <t>3.763056828429659e-4</t>
  </si>
  <si>
    <t>0.8567036574607475</t>
  </si>
  <si>
    <t>0.1432963425392525</t>
  </si>
  <si>
    <t>1.1954458864289206e-4</t>
  </si>
  <si>
    <t>3.7792716493767746e-4</t>
  </si>
  <si>
    <t>0.019540897288756385</t>
  </si>
  <si>
    <t>0.9804591027112436</t>
  </si>
  <si>
    <t>5.091538299621912e-4</t>
  </si>
  <si>
    <t>0.9858042565823181</t>
  </si>
  <si>
    <t>0.014195743417681957</t>
  </si>
  <si>
    <t>3.36505558645515e-5</t>
  </si>
  <si>
    <t>0.6555392929520378</t>
  </si>
  <si>
    <t>0.34446070704796217</t>
  </si>
  <si>
    <t>1.5952936509286528e-4</t>
  </si>
  <si>
    <t>0.9617084561967784</t>
  </si>
  <si>
    <t>3.3671926541371394e-5</t>
  </si>
  <si>
    <t>0.6319823761014937</t>
  </si>
  <si>
    <t>0.36801762389850634</t>
  </si>
  <si>
    <t>1.2294910554427508e-4</t>
  </si>
  <si>
    <t>0.018147360616697267</t>
  </si>
  <si>
    <t>0.9818526393833027</t>
  </si>
  <si>
    <t>0.032994951526761226</t>
  </si>
  <si>
    <t>0.9670050484732388</t>
  </si>
  <si>
    <t>4.537404333521094e-4</t>
  </si>
  <si>
    <t>0.29710059587269316</t>
  </si>
  <si>
    <t>0.7028994041273069</t>
  </si>
  <si>
    <t>4.648684089041854e-5</t>
  </si>
  <si>
    <t>0.9976878091716553</t>
  </si>
  <si>
    <t>0.022852320731247763</t>
  </si>
  <si>
    <t>0.9984695997933257</t>
  </si>
  <si>
    <t>1.7102112239080785e-5</t>
  </si>
  <si>
    <t>1.6749765663916713e-4</t>
  </si>
  <si>
    <t>0.9998325023433609</t>
  </si>
  <si>
    <t>0.9835332956230228</t>
  </si>
  <si>
    <t>0.016466704376977153</t>
  </si>
  <si>
    <t>7.001701259695712e-5</t>
  </si>
  <si>
    <t>0.9145577482785547</t>
  </si>
  <si>
    <t>9.200590227684974e-5</t>
  </si>
  <si>
    <t>0.9433263743910926</t>
  </si>
  <si>
    <t>0.056673625608907444</t>
  </si>
  <si>
    <t>1.7252619432684215e-6</t>
  </si>
  <si>
    <t>0.9961111172815584</t>
  </si>
  <si>
    <t>7.999094758876275e-4</t>
  </si>
  <si>
    <t>2.5788884162425673e-6</t>
  </si>
  <si>
    <t>0.9989733045803244</t>
  </si>
  <si>
    <t>0.041145056335419095</t>
  </si>
  <si>
    <t>5.273034415333965e-7</t>
  </si>
  <si>
    <t>0.9661249541476707</t>
  </si>
  <si>
    <t>4.3989209070084394e-5</t>
  </si>
  <si>
    <t>0.016941381710927062</t>
  </si>
  <si>
    <t>0.9830586182890729</t>
  </si>
  <si>
    <t>0.026542777480187345</t>
  </si>
  <si>
    <t>0.9734572225198127</t>
  </si>
  <si>
    <t>2.7971862781582513e-5</t>
  </si>
  <si>
    <t>0.046436503129416516</t>
  </si>
  <si>
    <t>0.9535634968705835</t>
  </si>
  <si>
    <t>4.7572567320854514e-7</t>
  </si>
  <si>
    <t>0.046889314566502874</t>
  </si>
  <si>
    <t>0.9531106854334971</t>
  </si>
  <si>
    <t>4.036368575358874e-6</t>
  </si>
  <si>
    <t>0.9363596814883933</t>
  </si>
  <si>
    <t>4.724725279326369e-5</t>
  </si>
  <si>
    <t>7.695604734837806e-6</t>
  </si>
  <si>
    <t>0.16263031243272089</t>
  </si>
  <si>
    <t>0.8373696875672791</t>
  </si>
  <si>
    <t>1.938419797228976e-4</t>
  </si>
  <si>
    <t>0.9997193376368229</t>
  </si>
  <si>
    <t>2.80662363177098e-4</t>
  </si>
  <si>
    <t>2.8057905784686547e-4</t>
  </si>
  <si>
    <t>5.5438578929046665e-6</t>
  </si>
  <si>
    <t>3.93159753020461e-4</t>
  </si>
  <si>
    <t>1.2110409616894025e-4</t>
  </si>
  <si>
    <t>2.1486381887621012e-4</t>
  </si>
  <si>
    <t>0.024656868699137618</t>
  </si>
  <si>
    <t>0.9753431313008624</t>
  </si>
  <si>
    <t>2.497933167377891e-4</t>
  </si>
  <si>
    <t>2.1390050807742172e-5</t>
  </si>
  <si>
    <t>1.2976819763302339e-4</t>
  </si>
  <si>
    <t>0.9645484949832775</t>
  </si>
  <si>
    <t>1.8707158511057137e-6</t>
  </si>
  <si>
    <t>0.9676117897568083</t>
  </si>
  <si>
    <t>5.58274165197869e-5</t>
  </si>
  <si>
    <t>7.758152693548779e-8</t>
  </si>
  <si>
    <t>0.010303976260705403</t>
  </si>
  <si>
    <t>2.4693416510068e-4</t>
  </si>
  <si>
    <t>6.774305269039524e-5</t>
  </si>
  <si>
    <t>2.3883394480999527e-5</t>
  </si>
  <si>
    <t>1.2868145346512878e-6</t>
  </si>
  <si>
    <t>7.732558995070097e-7</t>
  </si>
  <si>
    <t>6.448662407209401e-7</t>
  </si>
  <si>
    <t>2.212970845985344e-5</t>
  </si>
  <si>
    <t>8.534550549659845e-5</t>
  </si>
  <si>
    <t>3.2524098189819145e-5</t>
  </si>
  <si>
    <t>4.022573593928064e-6</t>
  </si>
  <si>
    <t>5.523475628731888e-7</t>
  </si>
  <si>
    <t>6.099244289677438e-7</t>
  </si>
  <si>
    <t>5.2600215055513116e-5</t>
  </si>
  <si>
    <t>5.965364874416051e-5</t>
  </si>
  <si>
    <t>1.91792062125221e-5</t>
  </si>
  <si>
    <t>7.4981066820621245e-6</t>
  </si>
  <si>
    <t>1.7329979901976716e-5</t>
  </si>
  <si>
    <t>2.5476301240635533e-5</t>
  </si>
  <si>
    <t>6.191153773154445e-6</t>
  </si>
  <si>
    <t>9.721220210242505e-7</t>
  </si>
  <si>
    <t>7.091075750176894e-7</t>
  </si>
  <si>
    <t>4.873502970121575e-7</t>
  </si>
  <si>
    <t>1.0572149300263733e-7</t>
  </si>
  <si>
    <t>4.7858314881193875e-6</t>
  </si>
  <si>
    <t>1.8444516250254766e-5</t>
  </si>
  <si>
    <t>0.9199261373174417</t>
  </si>
  <si>
    <t>6.708018150906172e-6</t>
  </si>
  <si>
    <t>3.935625891794036e-7</t>
  </si>
  <si>
    <t>6.384835137760281e-6</t>
  </si>
  <si>
    <t>3.0308260623071953e-6</t>
  </si>
  <si>
    <t>0.6581711884534576</t>
  </si>
  <si>
    <t>0.34182881154654243</t>
  </si>
  <si>
    <t>6.1635617507109166e-6</t>
  </si>
  <si>
    <t>1.1956194983894808e-4</t>
  </si>
  <si>
    <t>2.3219905745248554e-6</t>
  </si>
  <si>
    <t>2.052554660664351e-5</t>
  </si>
  <si>
    <t>6.418044779406942e-7</t>
  </si>
  <si>
    <t>1.4388395235376463e-6</t>
  </si>
  <si>
    <t>6.985375544531599e-7</t>
  </si>
  <si>
    <t>1.70014431242568e-7</t>
  </si>
  <si>
    <t>2.9457402590607684e-5</t>
  </si>
  <si>
    <t>0.25495163519115616</t>
  </si>
  <si>
    <t>0.7450483648088438</t>
  </si>
  <si>
    <t>2.8533889336298055e-5</t>
  </si>
  <si>
    <t>1.4194657062736942e-6</t>
  </si>
  <si>
    <t>0.6948118006103764</t>
  </si>
  <si>
    <t>0.3051881993896236</t>
  </si>
  <si>
    <t>1.937964985093113e-5</t>
  </si>
  <si>
    <t>4.60012034440549e-7</t>
  </si>
  <si>
    <t>0.17918481387131235</t>
  </si>
  <si>
    <t>0.8208151861286876</t>
  </si>
  <si>
    <t>1.599396127744869e-4</t>
  </si>
  <si>
    <t>0.5432997772093408</t>
  </si>
  <si>
    <t>0.4567002227906593</t>
  </si>
  <si>
    <t>3.3257641942488605e-4</t>
  </si>
  <si>
    <t>6.96355032833277e-7</t>
  </si>
  <si>
    <t>1.6168733000096504e-5</t>
  </si>
  <si>
    <t>0.9997018485390579</t>
  </si>
  <si>
    <t>2.981514609421586e-4</t>
  </si>
  <si>
    <t>3.071473180920009e-5</t>
  </si>
  <si>
    <t>7.484174632792743e-5</t>
  </si>
  <si>
    <t>0.12903225806451613</t>
  </si>
  <si>
    <t>0.8709677419354839</t>
  </si>
  <si>
    <t>1.703321442012885e-6</t>
  </si>
  <si>
    <t>7.69241941554206e-8</t>
  </si>
  <si>
    <t>1.2108590325909857e-5</t>
  </si>
  <si>
    <t>0.7540983606557377</t>
  </si>
  <si>
    <t>0.2459016393442623</t>
  </si>
  <si>
    <t>2.755545644023508e-7</t>
  </si>
  <si>
    <t>1.2422541837810896e-6</t>
  </si>
  <si>
    <t>4.894288388685914e-7</t>
  </si>
  <si>
    <t>3.7819501185300246e-7</t>
  </si>
  <si>
    <t>1.5325549499925588e-7</t>
  </si>
  <si>
    <t>1.0629010137045166e-7</t>
  </si>
  <si>
    <t>0.10960643250105798</t>
  </si>
  <si>
    <t>7.836060025417146e-7</t>
  </si>
  <si>
    <t>0.9973974173605226</t>
  </si>
  <si>
    <t>3.695111109460471e-6</t>
  </si>
  <si>
    <t>0.2815354296975409</t>
  </si>
  <si>
    <t>0.7184645703024591</t>
  </si>
  <si>
    <t>5.2134544284825305e-6</t>
  </si>
  <si>
    <t>2.6787338823240533e-4</t>
  </si>
  <si>
    <t>2.9852622801131327e-5</t>
  </si>
  <si>
    <t>4.559726929972517e-6</t>
  </si>
  <si>
    <t>1.3752861145607174e-4</t>
  </si>
  <si>
    <t>0.9870079983826335</t>
  </si>
  <si>
    <t>0.012992001617366472</t>
  </si>
  <si>
    <t>2.0397734928459006e-4</t>
  </si>
  <si>
    <t>9.656610043727046e-5</t>
  </si>
  <si>
    <t>3.955780640653881e-6</t>
  </si>
  <si>
    <t>0.9540545794334964</t>
  </si>
  <si>
    <t>8.034858541072944e-4</t>
  </si>
  <si>
    <t>0.9939733251151404</t>
  </si>
  <si>
    <t>1.599613460734701e-5</t>
  </si>
  <si>
    <t>3.388371977490293e-5</t>
  </si>
  <si>
    <t>1.899483724640651e-6</t>
  </si>
  <si>
    <t>2.748253778776529e-5</t>
  </si>
  <si>
    <t>6.365957848017001e-5</t>
  </si>
  <si>
    <t>0.49692216904519565</t>
  </si>
  <si>
    <t>0.5030778309548043</t>
  </si>
  <si>
    <t>4.475439247871978e-5</t>
  </si>
  <si>
    <t>6.775926187634094e-5</t>
  </si>
  <si>
    <t>0.7937220731728701</t>
  </si>
  <si>
    <t>0.20627792682712986</t>
  </si>
  <si>
    <t>7.599788095651847e-5</t>
  </si>
  <si>
    <t>0.5626936636249562</t>
  </si>
  <si>
    <t>0.43730633637504374</t>
  </si>
  <si>
    <t>4.75095358971207e-5</t>
  </si>
  <si>
    <t>2.7099490732991253e-5</t>
  </si>
  <si>
    <t>1.4958790241427156e-5</t>
  </si>
  <si>
    <t>3.0472354213925785e-6</t>
  </si>
  <si>
    <t>2.464320993817481e-6</t>
  </si>
  <si>
    <t>1.165828855150195e-7</t>
  </si>
  <si>
    <t>0.9990438416318436</t>
  </si>
  <si>
    <t>9.56158368156385e-4</t>
  </si>
  <si>
    <t>1.1351956969562484e-4</t>
  </si>
  <si>
    <t>6.8671339667847e-5</t>
  </si>
  <si>
    <t>7.543314702771813e-5</t>
  </si>
  <si>
    <t>2.2120209089624885e-5</t>
  </si>
  <si>
    <t>4.07872531992677e-6</t>
  </si>
  <si>
    <t>2.777272198892402e-7</t>
  </si>
  <si>
    <t>1.782176770905988e-8</t>
  </si>
  <si>
    <t>7.962917487026754e-9</t>
  </si>
  <si>
    <t>0.4918032786885246</t>
  </si>
  <si>
    <t>0.5081967213114754</t>
  </si>
  <si>
    <t>7.710126455692572e-9</t>
  </si>
  <si>
    <t>5.356641953971331e-7</t>
  </si>
  <si>
    <t>0.011327799398595828</t>
  </si>
  <si>
    <t>0.7408259052359633</t>
  </si>
  <si>
    <t>0.25917409476403674</t>
  </si>
  <si>
    <t>4.337951297799359e-5</t>
  </si>
  <si>
    <t>5.2782223691595815e-5</t>
  </si>
  <si>
    <t>5.273790612342487e-6</t>
  </si>
  <si>
    <t>6.998224121180776e-4</t>
  </si>
  <si>
    <t>0.8376404555985645</t>
  </si>
  <si>
    <t>0.16235954440143555</t>
  </si>
  <si>
    <t>0.044794068460883935</t>
  </si>
  <si>
    <t>0.21739130434782608</t>
  </si>
  <si>
    <t>8.069498789887436e-7</t>
  </si>
  <si>
    <t>9.332550774391557e-7</t>
  </si>
  <si>
    <t>0.024451939291736932</t>
  </si>
  <si>
    <t>8.32210918678826e-6</t>
  </si>
  <si>
    <t>3.3028863007722675e-4</t>
  </si>
  <si>
    <t>5.139130221155226e-5</t>
  </si>
  <si>
    <t>2.820571337775373e-5</t>
  </si>
  <si>
    <t>1.3528346523083628e-5</t>
  </si>
  <si>
    <t>3.9668559066675954e-7</t>
  </si>
  <si>
    <t>2.1886101554028112e-7</t>
  </si>
  <si>
    <t>7.660135543909839e-7</t>
  </si>
  <si>
    <t>0.9940496377370125</t>
  </si>
  <si>
    <t>4.4367231494056364e-4</t>
  </si>
  <si>
    <t>3.2218368325499035e-6</t>
  </si>
  <si>
    <t>0.9427312775330396</t>
  </si>
  <si>
    <t>1.343171645525855e-6</t>
  </si>
  <si>
    <t>0.25696594427244585</t>
  </si>
  <si>
    <t>0.7430340557275542</t>
  </si>
  <si>
    <t>4.778022483533603e-6</t>
  </si>
  <si>
    <t>8.831205642939818e-6</t>
  </si>
  <si>
    <t>0.2817238627294493</t>
  </si>
  <si>
    <t>0.7182761372705507</t>
  </si>
  <si>
    <t>7.414070801074433e-6</t>
  </si>
  <si>
    <t>8.2838779900273e-8</t>
  </si>
  <si>
    <t>2.366822282864943e-8</t>
  </si>
  <si>
    <t>8.875583560743536e-9</t>
  </si>
  <si>
    <t>2.1005547760426366e-7</t>
  </si>
  <si>
    <t>2.9585278535811784e-7</t>
  </si>
  <si>
    <t>5.735993802523189e-5</t>
  </si>
  <si>
    <t>1.9526283833635778e-7</t>
  </si>
  <si>
    <t>1.5447892612012286e-4</t>
  </si>
  <si>
    <t>1.0087919723480273e-4</t>
  </si>
  <si>
    <t>3.703966639607132e-5</t>
  </si>
  <si>
    <t>4.164512756172041e-6</t>
  </si>
  <si>
    <t>2.6662680493044994e-4</t>
  </si>
  <si>
    <t>0.7292920502550785</t>
  </si>
  <si>
    <t>0.27070794974492157</t>
  </si>
  <si>
    <t>3.515672033015186e-4</t>
  </si>
  <si>
    <t>0.9527285278046255</t>
  </si>
  <si>
    <t>0.047271472195374496</t>
  </si>
  <si>
    <t>4.43916545886435e-4</t>
  </si>
  <si>
    <t>6.26837104741856e-7</t>
  </si>
  <si>
    <t>0.40429567493922475</t>
  </si>
  <si>
    <t>0.5957043250607752</t>
  </si>
  <si>
    <t>9.017829877710183e-6</t>
  </si>
  <si>
    <t>9.009879983607e-8</t>
  </si>
  <si>
    <t>1.546615761891897e-7</t>
  </si>
  <si>
    <t>3.1558670530815966e-8</t>
  </si>
  <si>
    <t>1.2045294095731283e-9</t>
  </si>
  <si>
    <t>5.901953201026414e-6</t>
  </si>
  <si>
    <t>3.605621097734621e-6</t>
  </si>
  <si>
    <t>0.9999963943789023</t>
  </si>
  <si>
    <t>7.349537372980847e-4</t>
  </si>
  <si>
    <t>4.2908677271370527e-4</t>
  </si>
  <si>
    <t>0.17140151515151514</t>
  </si>
  <si>
    <t>0.8285984848484849</t>
  </si>
  <si>
    <t>4.238234949553301e-7</t>
  </si>
  <si>
    <t>0.4843373493975904</t>
  </si>
  <si>
    <t>0.5156626506024097</t>
  </si>
  <si>
    <t>1.6655942273339204e-7</t>
  </si>
  <si>
    <t>0.9329373650107992</t>
  </si>
  <si>
    <t>4.831427303288128e-5</t>
  </si>
  <si>
    <t>3.345958061310223e-5</t>
  </si>
  <si>
    <t>9.384312945810086e-7</t>
  </si>
  <si>
    <t>8.375244830836291e-6</t>
  </si>
  <si>
    <t>4.143074161027482e-4</t>
  </si>
  <si>
    <t>0.9995856925838973</t>
  </si>
  <si>
    <t>3.0862670646353988e-6</t>
  </si>
  <si>
    <t>4.1343447765451414e-8</t>
  </si>
  <si>
    <t>2.3808711259568204e-6</t>
  </si>
  <si>
    <t>6.541817895407752e-4</t>
  </si>
  <si>
    <t>5.321440966614684e-5</t>
  </si>
  <si>
    <t>0.6042260570077602</t>
  </si>
  <si>
    <t>0.3957739429922397</t>
  </si>
  <si>
    <t>2.1118056510542154e-4</t>
  </si>
  <si>
    <t>1.246218427793637e-5</t>
  </si>
  <si>
    <t>3.1334472786987595e-6</t>
  </si>
  <si>
    <t>0.24295010845986983</t>
  </si>
  <si>
    <t>0.7570498915401301</t>
  </si>
  <si>
    <t>5.652368115041979e-7</t>
  </si>
  <si>
    <t>2.018268154576922e-4</t>
  </si>
  <si>
    <t>0.7341586393991949</t>
  </si>
  <si>
    <t>0.26584136060080504</t>
  </si>
  <si>
    <t>7.28737628477377e-4</t>
  </si>
  <si>
    <t>2.3413228538520032e-5</t>
  </si>
  <si>
    <t>5.811718200141462e-5</t>
  </si>
  <si>
    <t>3.767152517543219e-6</t>
  </si>
  <si>
    <t>1.1761178952983757e-4</t>
  </si>
  <si>
    <t>1.8699408047350411e-4</t>
  </si>
  <si>
    <t>2.1212722355911296e-5</t>
  </si>
  <si>
    <t>4.519720713855144e-6</t>
  </si>
  <si>
    <t>4.0228011436578106e-5</t>
  </si>
  <si>
    <t>2.225217488398907e-4</t>
  </si>
  <si>
    <t>0.9900979991833402</t>
  </si>
  <si>
    <t>7.003161684935134e-7</t>
  </si>
  <si>
    <t>0.24547903039630628</t>
  </si>
  <si>
    <t>0.7545209696036937</t>
  </si>
  <si>
    <t>6.460140272349015e-7</t>
  </si>
  <si>
    <t>0.7551546391752577</t>
  </si>
  <si>
    <t>0.24484536082474226</t>
  </si>
  <si>
    <t>9.644226339636082e-8</t>
  </si>
  <si>
    <t>4.27030434316876e-7</t>
  </si>
  <si>
    <t>1.1682439122755048e-7</t>
  </si>
  <si>
    <t>1.347208937134731e-7</t>
  </si>
  <si>
    <t>5.1966024715926256e-5</t>
  </si>
  <si>
    <t>1.2509644221457202e-6</t>
  </si>
  <si>
    <t>6.145577988582871e-5</t>
  </si>
  <si>
    <t>6.012355866605116e-4</t>
  </si>
  <si>
    <t>2.2496493529937796e-6</t>
  </si>
  <si>
    <t>3.25392896683746e-4</t>
  </si>
  <si>
    <t>4.496263648673016e-4</t>
  </si>
  <si>
    <t>0.14047835847134446</t>
  </si>
  <si>
    <t>0.8595216415286555</t>
  </si>
  <si>
    <t>7.709578451599064e-4</t>
  </si>
  <si>
    <t>0.023070124579541332</t>
  </si>
  <si>
    <t>0.9769298754204586</t>
  </si>
  <si>
    <t>4.411186234783269e-5</t>
  </si>
  <si>
    <t>2.040539456352825e-7</t>
  </si>
  <si>
    <t>0.15604831751509923</t>
  </si>
  <si>
    <t>0.8439516824849008</t>
  </si>
  <si>
    <t>3.8429014939452806e-5</t>
  </si>
  <si>
    <t>1.6064588212394204e-4</t>
  </si>
  <si>
    <t>9.134765846263371e-7</t>
  </si>
  <si>
    <t>0.9978646166986974</t>
  </si>
  <si>
    <t>7.37553594104334e-5</t>
  </si>
  <si>
    <t>0.7757621095941649</t>
  </si>
  <si>
    <t>0.22423789040583506</t>
  </si>
  <si>
    <t>8.421309134477628e-5</t>
  </si>
  <si>
    <t>1.327375975039788e-4</t>
  </si>
  <si>
    <t>4.6301874874361896e-4</t>
  </si>
  <si>
    <t>3.81129745722206e-4</t>
  </si>
  <si>
    <t>4.3993721519469716e-7</t>
  </si>
  <si>
    <t>6.314616062923887e-5</t>
  </si>
  <si>
    <t>1.663199509899647e-5</t>
  </si>
  <si>
    <t>2.32280342959801e-4</t>
  </si>
  <si>
    <t>6.120431686239643e-5</t>
  </si>
  <si>
    <t>1.9520513228929186e-7</t>
  </si>
  <si>
    <t>1.0636177079865262e-7</t>
  </si>
  <si>
    <t>7.257626713319826e-8</t>
  </si>
  <si>
    <t>6.631969238033634e-8</t>
  </si>
  <si>
    <t>3.707543192126817e-5</t>
  </si>
  <si>
    <t>1.7857834358426035e-6</t>
  </si>
  <si>
    <t>2.74286998315694e-7</t>
  </si>
  <si>
    <t>1.6513825899187455e-5</t>
  </si>
  <si>
    <t>4.486116159943549e-6</t>
  </si>
  <si>
    <t>4.5475965423834977e-7</t>
  </si>
  <si>
    <t>2.794294423515152e-4</t>
  </si>
  <si>
    <t>1.5957320371959942e-4</t>
  </si>
  <si>
    <t>1.076905988741487e-4</t>
  </si>
  <si>
    <t>6.849497453736506e-5</t>
  </si>
  <si>
    <t>5.0208181021971824e-5</t>
  </si>
  <si>
    <t>0.9273906123365654</t>
  </si>
  <si>
    <t>3.140648684730733e-4</t>
  </si>
  <si>
    <t>3.1400046755678564e-5</t>
  </si>
  <si>
    <t>3.735253144683709e-6</t>
  </si>
  <si>
    <t>5.669778645259791e-6</t>
  </si>
  <si>
    <t>5.014122514931586e-5</t>
  </si>
  <si>
    <t>3.95814735612476e-7</t>
  </si>
  <si>
    <t>1.3006145650993165e-7</t>
  </si>
  <si>
    <t>2.138413038202253e-6</t>
  </si>
  <si>
    <t>7.077774691946038e-8</t>
  </si>
  <si>
    <t>4.7493161771021715e-8</t>
  </si>
  <si>
    <t>5.842152837394972e-6</t>
  </si>
  <si>
    <t>1.1434584856093646e-6</t>
  </si>
  <si>
    <t>8.871660664210588e-7</t>
  </si>
  <si>
    <t>2.3657761771228234e-7</t>
  </si>
  <si>
    <t>1.2354608924974744e-6</t>
  </si>
  <si>
    <t>8.036588839764186e-4</t>
  </si>
  <si>
    <t>5.089051768274917e-5</t>
  </si>
  <si>
    <t>9.965080642269309e-7</t>
  </si>
  <si>
    <t>7.70621468600964e-6</t>
  </si>
  <si>
    <t>3.6330522919887865e-5</t>
  </si>
  <si>
    <t>3.113598334862263e-8</t>
  </si>
  <si>
    <t>2.0146812754991113e-8</t>
  </si>
  <si>
    <t>2.5229053150608673e-6</t>
  </si>
  <si>
    <t>1.6058958630333721e-6</t>
  </si>
  <si>
    <t>2.348989729331515e-6</t>
  </si>
  <si>
    <t>0.9906811886765879</t>
  </si>
  <si>
    <t>9.622275043171269e-5</t>
  </si>
  <si>
    <t>4.8400933372875864e-4</t>
  </si>
  <si>
    <t>3.0473124876626236e-5</t>
  </si>
  <si>
    <t>3.0181445063563136e-6</t>
  </si>
  <si>
    <t>1.2853686677356946e-7</t>
  </si>
  <si>
    <t>2.9662353870823722e-8</t>
  </si>
  <si>
    <t>0.9460616438356164</t>
  </si>
  <si>
    <t>1.0434949485849704e-7</t>
  </si>
  <si>
    <t>3.07404106934571e-6</t>
  </si>
  <si>
    <t>5.797798480494856e-7</t>
  </si>
  <si>
    <t>8.921125574338858e-5</t>
  </si>
  <si>
    <t>1.4356071259083998e-6</t>
  </si>
  <si>
    <t>3.299061258820021e-7</t>
  </si>
  <si>
    <t>0.014084507042253521</t>
  </si>
  <si>
    <t>0.9859154929577465</t>
  </si>
  <si>
    <t>4.025885692403807e-7</t>
  </si>
  <si>
    <t>7.990542835082396e-4</t>
  </si>
  <si>
    <t>5.228376918834116e-7</t>
  </si>
  <si>
    <t>1.5349363431439606e-7</t>
  </si>
  <si>
    <t>2.9583912224311325e-5</t>
  </si>
  <si>
    <t>7.4532644739602114e-06</t>
  </si>
  <si>
    <t>1.4999067461202718e-4</t>
  </si>
  <si>
    <t>3.09957958093862e-5</t>
  </si>
  <si>
    <t>4.463657635783331e-6</t>
  </si>
  <si>
    <t>8.162622401780759e-7</t>
  </si>
  <si>
    <t>2.072886456940298e-8</t>
  </si>
  <si>
    <t>8.371588627491562e-5</t>
  </si>
  <si>
    <t>1.0891781004145983e-4</t>
  </si>
  <si>
    <t>4.468688123903648e-6</t>
  </si>
  <si>
    <t>2.2269578005899998e-6</t>
  </si>
  <si>
    <t>6.259124278764863e-6</t>
  </si>
  <si>
    <t>0.8469945355191257</t>
  </si>
  <si>
    <t>0.15300546448087432</t>
  </si>
  <si>
    <t>1.2841028509125224e-6</t>
  </si>
  <si>
    <t>2.3696258620391194e-5</t>
  </si>
  <si>
    <t>2.184096146957293e-4</t>
  </si>
  <si>
    <t>1.8738606574289444e-4</t>
  </si>
  <si>
    <t>9.151126212278004e-6</t>
  </si>
  <si>
    <t>8.768119435082512e-6</t>
  </si>
  <si>
    <t>2.0518220206901355e-7</t>
  </si>
  <si>
    <t>0.3988334758821553</t>
  </si>
  <si>
    <t>7.177660220931811e-5</t>
  </si>
  <si>
    <t>3.6431979706655115e-4</t>
  </si>
  <si>
    <t>4.0081005190604146e-4</t>
  </si>
  <si>
    <t>3.024332441556211e-6</t>
  </si>
  <si>
    <t>5.059023520207139e-7</t>
  </si>
  <si>
    <t>0.014766142570897341</t>
  </si>
  <si>
    <t>0.9852338574291026</t>
  </si>
  <si>
    <t>1.3345463140424519e-5</t>
  </si>
  <si>
    <t>1.1474106249711707e-5</t>
  </si>
  <si>
    <t>4.221201044084454e-5</t>
  </si>
  <si>
    <t>3.650074215858436e-8</t>
  </si>
  <si>
    <t>7.116613890100435e-6</t>
  </si>
  <si>
    <t>4.116869710994796e-6</t>
  </si>
  <si>
    <t>2.940925665789843e-7</t>
  </si>
  <si>
    <t>5.2851417762020365e-8</t>
  </si>
  <si>
    <t>8.60966644187751e-8</t>
  </si>
  <si>
    <t>9.441223829407364e-6</t>
  </si>
  <si>
    <t>2.1640967997245647e-4</t>
  </si>
  <si>
    <t>1.532024720118211e-5</t>
  </si>
  <si>
    <t>3.861266305399176e-6</t>
  </si>
  <si>
    <t>1.3707912261641936e-7</t>
  </si>
  <si>
    <t>1.1776052998722165e-5</t>
  </si>
  <si>
    <t>2.8895249114956247e-5</t>
  </si>
  <si>
    <t>8.296321641199168e-6</t>
  </si>
  <si>
    <t>1.3127999097407611e-4</t>
  </si>
  <si>
    <t>4.60295682276592e-7</t>
  </si>
  <si>
    <t>2.854998535639621e-7</t>
  </si>
  <si>
    <t>1.137005247721202e-6</t>
  </si>
  <si>
    <t>0.9963741652754591</t>
  </si>
  <si>
    <t>9.528893323615692e-6</t>
  </si>
  <si>
    <t>1.2428126726335157e-8</t>
  </si>
  <si>
    <t>6.999073250443253e-5</t>
  </si>
  <si>
    <t>4.0612540048094464e-5</t>
  </si>
  <si>
    <t>3.0529883597140844e-6</t>
  </si>
  <si>
    <t>2.137091851799859e-6</t>
  </si>
  <si>
    <t>0.5282522996057819</t>
  </si>
  <si>
    <t>0.47174770039421815</t>
  </si>
  <si>
    <t>1.4829728564313308e-6</t>
  </si>
  <si>
    <t>6.495719914285286e-10</t>
  </si>
  <si>
    <t>2.5982879657141146e-9</t>
  </si>
  <si>
    <t>5.3849315665609106e-6</t>
  </si>
  <si>
    <t>3.936100163277351e-5</t>
  </si>
  <si>
    <t>1.4222602933221641e-4</t>
  </si>
  <si>
    <t>2.107627205374296e-5</t>
  </si>
  <si>
    <t>3.5748804857563357e-6</t>
  </si>
  <si>
    <t>0.11011904761904762</t>
  </si>
  <si>
    <t>0.8898809523809523</t>
  </si>
  <si>
    <t>4.670744691694603e-6</t>
  </si>
  <si>
    <t>2.4722974506484678e-5</t>
  </si>
  <si>
    <t>5.3028890697187536e-5</t>
  </si>
  <si>
    <t>5.706078734657275e-5</t>
  </si>
  <si>
    <t>4.1697056168934956e-4</t>
  </si>
  <si>
    <t>1.0441982338056233e-5</t>
  </si>
  <si>
    <t>1.8049037344513488e-5</t>
  </si>
  <si>
    <t>3.858651090231942e-6</t>
  </si>
  <si>
    <t>0.17193553386022006</t>
  </si>
  <si>
    <t>0.8280644661397799</t>
  </si>
  <si>
    <t>2.0326428967564668e-4</t>
  </si>
  <si>
    <t>1.5389458894974503e-4</t>
  </si>
  <si>
    <t>6.711318069039104e-5</t>
  </si>
  <si>
    <t>1.6721897775207262e-4</t>
  </si>
  <si>
    <t>3.381458416986589e-9</t>
  </si>
  <si>
    <t>5.061470502961732e-5</t>
  </si>
  <si>
    <t>2.8304083868747147e-7</t>
  </si>
  <si>
    <t>9.09524014627679e-6</t>
  </si>
  <si>
    <t>0.016554466383738437</t>
  </si>
  <si>
    <t>3.3759756288953476e-4</t>
  </si>
  <si>
    <t>6.740396849408331e-6</t>
  </si>
  <si>
    <t>6.982899351760924e-6</t>
  </si>
  <si>
    <t>1.4720209437177178e-7</t>
  </si>
  <si>
    <t>1.1960170167706458e-7</t>
  </si>
  <si>
    <t>0.8365276211950394</t>
  </si>
  <si>
    <t>0.16347237880496054</t>
  </si>
  <si>
    <t>4.994134715338068e-7</t>
  </si>
  <si>
    <t>4.243325398212554e-5</t>
  </si>
  <si>
    <t>2.538389377769472e-6</t>
  </si>
  <si>
    <t>1.7962394257366968e-6</t>
  </si>
  <si>
    <t>5.728747139695226e-7</t>
  </si>
  <si>
    <t>2.268029472434823e-6</t>
  </si>
  <si>
    <t>2.3103118689702773e-4</t>
  </si>
  <si>
    <t>1.1723735277741992e-4</t>
  </si>
  <si>
    <t>2.0963405569505017e-6</t>
  </si>
  <si>
    <t>4.074392305044863e-6</t>
  </si>
  <si>
    <t>3.942960295204706e-5</t>
  </si>
  <si>
    <t>1.3448227934579208e-4</t>
  </si>
  <si>
    <t>2.3497694457674617e-7</t>
  </si>
  <si>
    <t>1.715160179392308e-9</t>
  </si>
  <si>
    <t>2.4619219278570683e-7</t>
  </si>
  <si>
    <t>4.282437938844726e-6</t>
  </si>
  <si>
    <t>9.174678827897068e-9</t>
  </si>
  <si>
    <t>1.259698525260966e-8</t>
  </si>
  <si>
    <t>6.164482144894089e-9</t>
  </si>
  <si>
    <t>3.1269112329172917e-9</t>
  </si>
  <si>
    <t>2.1057181325018115e-4</t>
  </si>
  <si>
    <t>1.2101998422020435e-4</t>
  </si>
  <si>
    <t>1.1595898929660571e-4</t>
  </si>
  <si>
    <t>4.2698370059477744e-6</t>
  </si>
  <si>
    <t>4.348348860371142e-7</t>
  </si>
  <si>
    <t>3.0800804427628925e-7</t>
  </si>
  <si>
    <t>3.3681353539265653e-6</t>
  </si>
  <si>
    <t>5.257878881244408e-8</t>
  </si>
  <si>
    <t>2.113461118931576e-8</t>
  </si>
  <si>
    <t>4.940576354494623e-7</t>
  </si>
  <si>
    <t>9.511410857960374e-7</t>
  </si>
  <si>
    <t>3.8621707100541045e-5</t>
  </si>
  <si>
    <t>2.9085859426652755e-5</t>
  </si>
  <si>
    <t>6.687024323546753e-7</t>
  </si>
  <si>
    <t>4.530732719342971e-5</t>
  </si>
  <si>
    <t>5.355039487322553e-7</t>
  </si>
  <si>
    <t>1.577411589536257e-5</t>
  </si>
  <si>
    <t>4.911868828627136e-7</t>
  </si>
  <si>
    <t>7.648481461719396e-7</t>
  </si>
  <si>
    <t>8.869666505036373e-5</t>
  </si>
  <si>
    <t>0.33299071641916966</t>
  </si>
  <si>
    <t>3.8705471498540145e-6</t>
  </si>
  <si>
    <t>9.308910866737502e-7</t>
  </si>
  <si>
    <t>5.623947813296936e-6</t>
  </si>
  <si>
    <t>2.1303307137710347e-6</t>
  </si>
  <si>
    <t>2.739099877369294e-7</t>
  </si>
  <si>
    <t>8.190799985097273e-8</t>
  </si>
  <si>
    <t>2.4813305837206445e-8</t>
  </si>
  <si>
    <t>1.8067941143596924e-8</t>
  </si>
  <si>
    <t>7.22717645743877e-10</t>
  </si>
  <si>
    <t>3.540352840617339e-6</t>
  </si>
  <si>
    <t>6.684451049697938e-6</t>
  </si>
  <si>
    <t>1.8055328945620356e-7</t>
  </si>
  <si>
    <t>2.340505604061898e-6</t>
  </si>
  <si>
    <t>3.1346057197257565e-5</t>
  </si>
  <si>
    <t>5.900605060462983e-6</t>
  </si>
  <si>
    <t>4.5280443247462217e-7</t>
  </si>
  <si>
    <t>3.271179080193502e-7</t>
  </si>
  <si>
    <t>5.846147922856758e-9</t>
  </si>
  <si>
    <t>0.9992355918416802</t>
  </si>
  <si>
    <t>7.644081583197988e-4</t>
  </si>
  <si>
    <t>9.661189143475838e-6</t>
  </si>
  <si>
    <t>9.237231689378167e-5</t>
  </si>
  <si>
    <t>1.7283608829385784e-6</t>
  </si>
  <si>
    <t>3.5679299728222664e-7</t>
  </si>
  <si>
    <t>5.534230081870486e-5</t>
  </si>
  <si>
    <t>4.612464393631609e-6</t>
  </si>
  <si>
    <t>0.27527245187242305</t>
  </si>
  <si>
    <t>1.2707610587981142e-5</t>
  </si>
  <si>
    <t>9.084052146220323e-4</t>
  </si>
  <si>
    <t>2.4359900576578544e-4</t>
  </si>
  <si>
    <t>8.199239826835709e-5</t>
  </si>
  <si>
    <t>3.9993326910957934e-4</t>
  </si>
  <si>
    <t>3.495983835917861e-5</t>
  </si>
  <si>
    <t>1.747612661738935e-5</t>
  </si>
  <si>
    <t>8.738063308694675e-6</t>
  </si>
  <si>
    <t>7.585124399908571e-9</t>
  </si>
  <si>
    <t>3.959434936752275e-6</t>
  </si>
  <si>
    <t>Top 10</t>
  </si>
  <si>
    <t>Top 5 (Import)</t>
  </si>
  <si>
    <t>Top 5 (Import or Export)</t>
  </si>
  <si>
    <t>Top 5 (Export)</t>
  </si>
  <si>
    <t>Top 10 (Import or Export)</t>
  </si>
  <si>
    <t>Top 10 (Import)</t>
  </si>
  <si>
    <t>Top 10 (Export)</t>
  </si>
  <si>
    <t>Mean Influence (RAI)</t>
  </si>
  <si>
    <t>Count</t>
  </si>
  <si>
    <t>Sample</t>
  </si>
  <si>
    <t>Top10</t>
  </si>
  <si>
    <t>Not Top 5 (Import)</t>
  </si>
  <si>
    <t>Not Top 5 (Export)</t>
  </si>
  <si>
    <t>Not Top 10 (Import or Export)</t>
  </si>
  <si>
    <t>Not Top 10 (Import)</t>
  </si>
  <si>
    <t>Not Top 10 (Export)</t>
  </si>
  <si>
    <t>impTop10Count</t>
  </si>
  <si>
    <t>expTop10Count</t>
  </si>
  <si>
    <t>Imp Top 10</t>
  </si>
  <si>
    <t>Exp Top 10</t>
  </si>
  <si>
    <t>Median Influence (RAI)</t>
  </si>
  <si>
    <t>Not Top 5 (Import or Export)</t>
  </si>
  <si>
    <t xml:space="preserve">     Multiple of Average</t>
  </si>
  <si>
    <t xml:space="preserve">     Multiple of Median</t>
  </si>
  <si>
    <t xml:space="preserve">Top 5 Premium to Not Top 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</si>
</sst>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"/>
    <numFmt numFmtId="172" formatCode="0.0\x"/>
  </numFmts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scheme val="minor"/>
    </font>
    <font>
      <i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0" fontId="0" fillId="0" borderId="1" xfId="0" applyBorder="1"/>
    <xf numFmtId="2" fontId="0" fillId="0" borderId="0" xfId="0" applyNumberFormat="1"/>
    <xf numFmtId="167" fontId="0" fillId="0" borderId="0" xfId="0" applyNumberFormat="1"/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0" fillId="4" borderId="0" xfId="0" applyFill="1"/>
    <xf numFmtId="2" fontId="0" fillId="4" borderId="0" xfId="0" applyNumberFormat="1" applyFill="1"/>
    <xf numFmtId="0" fontId="3" fillId="4" borderId="0" xfId="0" applyFont="1" applyFill="1"/>
    <xf numFmtId="172" fontId="3" fillId="4" borderId="0" xfId="0" applyNumberFormat="1" applyFont="1" applyFill="1"/>
    <xf numFmtId="167" fontId="0" fillId="4" borderId="0" xfId="0" applyNumberFormat="1" applyFill="1"/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D0CE9-ECFC-1845-A421-40078061C94A}">
  <dimension ref="A1:L53"/>
  <sheetViews>
    <sheetView workbookViewId="0">
      <selection activeCell="L7" sqref="L7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</v>
      </c>
      <c r="H1" t="s">
        <v>5673</v>
      </c>
      <c r="I1" t="s">
        <v>5674</v>
      </c>
      <c r="J1" t="s">
        <v>5675</v>
      </c>
      <c r="K1" t="s">
        <v>5676</v>
      </c>
      <c r="L1" t="s">
        <v>5657</v>
      </c>
    </row>
    <row r="2" spans="1:12" x14ac:dyDescent="0.2">
      <c r="A2" t="s">
        <v>6</v>
      </c>
      <c r="B2">
        <v>37.967415780000003</v>
      </c>
      <c r="C2">
        <v>0</v>
      </c>
      <c r="D2">
        <v>0</v>
      </c>
      <c r="E2">
        <v>0</v>
      </c>
      <c r="F2">
        <v>0</v>
      </c>
      <c r="G2" s="2">
        <f>IF(OR(E2=1,F2=1),1,0)</f>
        <v>0</v>
      </c>
      <c r="H2">
        <f>COUNTIFS(Sheet3!$R$2:$R$3528,1,Sheet3!$B$2:$B$3528,A2)</f>
        <v>0</v>
      </c>
      <c r="I2">
        <f>COUNTIFS(Sheet3!$S$2:$S$3528,1,Sheet3!$B$2:$B$3528,A2)</f>
        <v>0</v>
      </c>
      <c r="J2">
        <f>IF(H2&gt;0,1,0)</f>
        <v>0</v>
      </c>
      <c r="K2">
        <f>IF(I2&gt;0,1,0)</f>
        <v>0</v>
      </c>
      <c r="L2" s="2">
        <f>IF(OR(J2=1,K2=1),1,0)</f>
        <v>0</v>
      </c>
    </row>
    <row r="3" spans="1:12" x14ac:dyDescent="0.2">
      <c r="A3" t="s">
        <v>7</v>
      </c>
      <c r="B3">
        <v>57.431486270000001</v>
      </c>
      <c r="C3">
        <v>0</v>
      </c>
      <c r="D3">
        <v>0</v>
      </c>
      <c r="E3">
        <v>0</v>
      </c>
      <c r="F3">
        <v>0</v>
      </c>
      <c r="G3">
        <f t="shared" ref="G3:G53" si="0">IF(OR(E3=1,F3=1),1,0)</f>
        <v>0</v>
      </c>
      <c r="H3">
        <f>COUNTIFS(Sheet3!$R$2:$R$3528,1,Sheet3!$B$2:$B$3528,A3)</f>
        <v>1</v>
      </c>
      <c r="I3">
        <f>COUNTIFS(Sheet3!$S$2:$S$3528,1,Sheet3!$B$2:$B$3528,A3)</f>
        <v>0</v>
      </c>
      <c r="J3">
        <f t="shared" ref="J3:J53" si="1">IF(H3&gt;0,1,0)</f>
        <v>1</v>
      </c>
      <c r="K3">
        <f t="shared" ref="K3:K53" si="2">IF(I3&gt;0,1,0)</f>
        <v>0</v>
      </c>
      <c r="L3" s="2">
        <f t="shared" ref="L3:L53" si="3">IF(OR(J3=1,K3=1),1,0)</f>
        <v>1</v>
      </c>
    </row>
    <row r="4" spans="1:12" x14ac:dyDescent="0.2">
      <c r="A4" t="s">
        <v>8</v>
      </c>
      <c r="B4">
        <v>39.663424999999997</v>
      </c>
      <c r="C4">
        <v>1</v>
      </c>
      <c r="D4">
        <v>0</v>
      </c>
      <c r="E4">
        <v>1</v>
      </c>
      <c r="F4">
        <v>0</v>
      </c>
      <c r="G4">
        <f t="shared" si="0"/>
        <v>1</v>
      </c>
      <c r="H4">
        <f>COUNTIFS(Sheet3!$R$2:$R$3528,1,Sheet3!$B$2:$B$3528,A4)</f>
        <v>1</v>
      </c>
      <c r="I4">
        <f>COUNTIFS(Sheet3!$S$2:$S$3528,1,Sheet3!$B$2:$B$3528,A4)</f>
        <v>0</v>
      </c>
      <c r="J4">
        <f t="shared" si="1"/>
        <v>1</v>
      </c>
      <c r="K4">
        <f t="shared" si="2"/>
        <v>0</v>
      </c>
      <c r="L4" s="2">
        <f t="shared" si="3"/>
        <v>1</v>
      </c>
    </row>
    <row r="5" spans="1:12" x14ac:dyDescent="0.2">
      <c r="A5" t="s">
        <v>9</v>
      </c>
      <c r="B5">
        <v>171.3383935</v>
      </c>
      <c r="C5">
        <v>10</v>
      </c>
      <c r="D5">
        <v>1</v>
      </c>
      <c r="E5">
        <v>1</v>
      </c>
      <c r="F5">
        <v>1</v>
      </c>
      <c r="G5">
        <f t="shared" si="0"/>
        <v>1</v>
      </c>
      <c r="H5">
        <f>COUNTIFS(Sheet3!$R$2:$R$3528,1,Sheet3!$B$2:$B$3528,A5)</f>
        <v>42</v>
      </c>
      <c r="I5">
        <f>COUNTIFS(Sheet3!$S$2:$S$3528,1,Sheet3!$B$2:$B$3528,A5)</f>
        <v>3</v>
      </c>
      <c r="J5">
        <f t="shared" si="1"/>
        <v>1</v>
      </c>
      <c r="K5">
        <f t="shared" si="2"/>
        <v>1</v>
      </c>
      <c r="L5" s="2">
        <f t="shared" si="3"/>
        <v>1</v>
      </c>
    </row>
    <row r="6" spans="1:12" x14ac:dyDescent="0.2">
      <c r="A6" t="s">
        <v>10</v>
      </c>
      <c r="B6">
        <v>483.10993400000001</v>
      </c>
      <c r="C6">
        <v>16</v>
      </c>
      <c r="D6">
        <v>2</v>
      </c>
      <c r="E6">
        <v>1</v>
      </c>
      <c r="F6">
        <v>1</v>
      </c>
      <c r="G6">
        <f t="shared" si="0"/>
        <v>1</v>
      </c>
      <c r="H6">
        <f>COUNTIFS(Sheet3!$R$2:$R$3528,1,Sheet3!$B$2:$B$3528,A6)</f>
        <v>35</v>
      </c>
      <c r="I6">
        <f>COUNTIFS(Sheet3!$S$2:$S$3528,1,Sheet3!$B$2:$B$3528,A6)</f>
        <v>3</v>
      </c>
      <c r="J6">
        <f t="shared" si="1"/>
        <v>1</v>
      </c>
      <c r="K6">
        <f t="shared" si="2"/>
        <v>1</v>
      </c>
      <c r="L6" s="2">
        <f t="shared" si="3"/>
        <v>1</v>
      </c>
    </row>
    <row r="7" spans="1:12" x14ac:dyDescent="0.2">
      <c r="A7" t="s">
        <v>11</v>
      </c>
      <c r="B7">
        <v>238.2333423</v>
      </c>
      <c r="C7">
        <v>70</v>
      </c>
      <c r="D7">
        <v>47</v>
      </c>
      <c r="E7">
        <v>1</v>
      </c>
      <c r="F7">
        <v>1</v>
      </c>
      <c r="G7">
        <f t="shared" si="0"/>
        <v>1</v>
      </c>
      <c r="H7">
        <f>COUNTIFS(Sheet3!$R$2:$R$3528,1,Sheet3!$B$2:$B$3528,A7)</f>
        <v>79</v>
      </c>
      <c r="I7">
        <f>COUNTIFS(Sheet3!$S$2:$S$3528,1,Sheet3!$B$2:$B$3528,A7)</f>
        <v>74</v>
      </c>
      <c r="J7">
        <f t="shared" si="1"/>
        <v>1</v>
      </c>
      <c r="K7">
        <f t="shared" si="2"/>
        <v>1</v>
      </c>
      <c r="L7" s="2">
        <f t="shared" si="3"/>
        <v>1</v>
      </c>
    </row>
    <row r="8" spans="1:12" x14ac:dyDescent="0.2">
      <c r="A8" t="s">
        <v>12</v>
      </c>
      <c r="B8">
        <v>41.643896949999998</v>
      </c>
      <c r="C8">
        <v>0</v>
      </c>
      <c r="D8">
        <v>0</v>
      </c>
      <c r="E8">
        <v>0</v>
      </c>
      <c r="F8">
        <v>0</v>
      </c>
      <c r="G8">
        <f t="shared" si="0"/>
        <v>0</v>
      </c>
      <c r="H8">
        <f>COUNTIFS(Sheet3!$R$2:$R$3528,1,Sheet3!$B$2:$B$3528,A8)</f>
        <v>0</v>
      </c>
      <c r="I8">
        <f>COUNTIFS(Sheet3!$S$2:$S$3528,1,Sheet3!$B$2:$B$3528,A8)</f>
        <v>0</v>
      </c>
      <c r="J8">
        <f t="shared" si="1"/>
        <v>0</v>
      </c>
      <c r="K8">
        <f t="shared" si="2"/>
        <v>0</v>
      </c>
      <c r="L8" s="2">
        <f t="shared" si="3"/>
        <v>0</v>
      </c>
    </row>
    <row r="9" spans="1:12" x14ac:dyDescent="0.2">
      <c r="A9" t="s">
        <v>13</v>
      </c>
      <c r="B9">
        <v>100.6357569</v>
      </c>
      <c r="C9">
        <v>1</v>
      </c>
      <c r="D9">
        <v>0</v>
      </c>
      <c r="E9">
        <v>1</v>
      </c>
      <c r="F9">
        <v>0</v>
      </c>
      <c r="G9">
        <f t="shared" si="0"/>
        <v>1</v>
      </c>
      <c r="H9">
        <f>COUNTIFS(Sheet3!$R$2:$R$3528,1,Sheet3!$B$2:$B$3528,A9)</f>
        <v>1</v>
      </c>
      <c r="I9">
        <f>COUNTIFS(Sheet3!$S$2:$S$3528,1,Sheet3!$B$2:$B$3528,A9)</f>
        <v>0</v>
      </c>
      <c r="J9">
        <f t="shared" si="1"/>
        <v>1</v>
      </c>
      <c r="K9">
        <f t="shared" si="2"/>
        <v>0</v>
      </c>
      <c r="L9" s="2">
        <f t="shared" si="3"/>
        <v>1</v>
      </c>
    </row>
    <row r="10" spans="1:12" x14ac:dyDescent="0.2">
      <c r="A10" t="s">
        <v>14</v>
      </c>
      <c r="B10">
        <v>30.8574895</v>
      </c>
      <c r="C10">
        <v>0</v>
      </c>
      <c r="D10">
        <v>0</v>
      </c>
      <c r="E10">
        <v>0</v>
      </c>
      <c r="F10">
        <v>0</v>
      </c>
      <c r="G10">
        <f t="shared" si="0"/>
        <v>0</v>
      </c>
      <c r="H10">
        <f>COUNTIFS(Sheet3!$R$2:$R$3528,1,Sheet3!$B$2:$B$3528,A10)</f>
        <v>0</v>
      </c>
      <c r="I10">
        <f>COUNTIFS(Sheet3!$S$2:$S$3528,1,Sheet3!$B$2:$B$3528,A10)</f>
        <v>0</v>
      </c>
      <c r="J10">
        <f t="shared" si="1"/>
        <v>0</v>
      </c>
      <c r="K10">
        <f t="shared" si="2"/>
        <v>0</v>
      </c>
      <c r="L10" s="2">
        <f t="shared" si="3"/>
        <v>0</v>
      </c>
    </row>
    <row r="11" spans="1:12" x14ac:dyDescent="0.2">
      <c r="A11" t="s">
        <v>15</v>
      </c>
      <c r="B11">
        <v>62.358898000000003</v>
      </c>
      <c r="C11">
        <v>0</v>
      </c>
      <c r="D11">
        <v>0</v>
      </c>
      <c r="E11">
        <v>0</v>
      </c>
      <c r="F11">
        <v>0</v>
      </c>
      <c r="G11">
        <f t="shared" si="0"/>
        <v>0</v>
      </c>
      <c r="H11">
        <f>COUNTIFS(Sheet3!$R$2:$R$3528,1,Sheet3!$B$2:$B$3528,A11)</f>
        <v>0</v>
      </c>
      <c r="I11">
        <f>COUNTIFS(Sheet3!$S$2:$S$3528,1,Sheet3!$B$2:$B$3528,A11)</f>
        <v>0</v>
      </c>
      <c r="J11">
        <f t="shared" si="1"/>
        <v>0</v>
      </c>
      <c r="K11">
        <f t="shared" si="2"/>
        <v>0</v>
      </c>
      <c r="L11" s="2">
        <f t="shared" si="3"/>
        <v>0</v>
      </c>
    </row>
    <row r="12" spans="1:12" x14ac:dyDescent="0.2">
      <c r="A12" t="s">
        <v>16</v>
      </c>
      <c r="B12">
        <v>8.9011500350000006</v>
      </c>
      <c r="C12">
        <v>0</v>
      </c>
      <c r="D12">
        <v>0</v>
      </c>
      <c r="E12">
        <v>0</v>
      </c>
      <c r="F12">
        <v>0</v>
      </c>
      <c r="G12">
        <f t="shared" si="0"/>
        <v>0</v>
      </c>
      <c r="H12">
        <f>COUNTIFS(Sheet3!$R$2:$R$3528,1,Sheet3!$B$2:$B$3528,A12)</f>
        <v>0</v>
      </c>
      <c r="I12">
        <f>COUNTIFS(Sheet3!$S$2:$S$3528,1,Sheet3!$B$2:$B$3528,A12)</f>
        <v>2</v>
      </c>
      <c r="J12">
        <f t="shared" si="1"/>
        <v>0</v>
      </c>
      <c r="K12">
        <f t="shared" si="2"/>
        <v>1</v>
      </c>
      <c r="L12" s="2">
        <f t="shared" si="3"/>
        <v>1</v>
      </c>
    </row>
    <row r="13" spans="1:12" x14ac:dyDescent="0.2">
      <c r="A13" t="s">
        <v>17</v>
      </c>
      <c r="B13">
        <v>10.352380159999999</v>
      </c>
      <c r="C13">
        <v>0</v>
      </c>
      <c r="D13">
        <v>2</v>
      </c>
      <c r="E13">
        <v>0</v>
      </c>
      <c r="F13">
        <v>1</v>
      </c>
      <c r="G13">
        <f t="shared" si="0"/>
        <v>1</v>
      </c>
      <c r="H13">
        <f>COUNTIFS(Sheet3!$R$2:$R$3528,1,Sheet3!$B$2:$B$3528,A13)</f>
        <v>0</v>
      </c>
      <c r="I13">
        <f>COUNTIFS(Sheet3!$S$2:$S$3528,1,Sheet3!$B$2:$B$3528,A13)</f>
        <v>3</v>
      </c>
      <c r="J13">
        <f t="shared" si="1"/>
        <v>0</v>
      </c>
      <c r="K13">
        <f t="shared" si="2"/>
        <v>1</v>
      </c>
      <c r="L13" s="2">
        <f t="shared" si="3"/>
        <v>1</v>
      </c>
    </row>
    <row r="14" spans="1:12" x14ac:dyDescent="0.2">
      <c r="A14" t="s">
        <v>18</v>
      </c>
      <c r="B14">
        <v>6.7062261379999999</v>
      </c>
      <c r="C14">
        <v>0</v>
      </c>
      <c r="D14">
        <v>0</v>
      </c>
      <c r="E14">
        <v>0</v>
      </c>
      <c r="F14">
        <v>0</v>
      </c>
      <c r="G14">
        <f t="shared" si="0"/>
        <v>0</v>
      </c>
      <c r="H14">
        <f>COUNTIFS(Sheet3!$R$2:$R$3528,1,Sheet3!$B$2:$B$3528,A14)</f>
        <v>0</v>
      </c>
      <c r="I14">
        <f>COUNTIFS(Sheet3!$S$2:$S$3528,1,Sheet3!$B$2:$B$3528,A14)</f>
        <v>0</v>
      </c>
      <c r="J14">
        <f t="shared" si="1"/>
        <v>0</v>
      </c>
      <c r="K14">
        <f t="shared" si="2"/>
        <v>0</v>
      </c>
      <c r="L14" s="2">
        <f t="shared" si="3"/>
        <v>0</v>
      </c>
    </row>
    <row r="15" spans="1:12" x14ac:dyDescent="0.2">
      <c r="A15" t="s">
        <v>19</v>
      </c>
      <c r="B15">
        <v>158.85371929999999</v>
      </c>
      <c r="C15">
        <v>0</v>
      </c>
      <c r="D15">
        <v>0</v>
      </c>
      <c r="E15">
        <v>0</v>
      </c>
      <c r="F15">
        <v>0</v>
      </c>
      <c r="G15">
        <f t="shared" si="0"/>
        <v>0</v>
      </c>
      <c r="H15">
        <f>COUNTIFS(Sheet3!$R$2:$R$3528,1,Sheet3!$B$2:$B$3528,A15)</f>
        <v>0</v>
      </c>
      <c r="I15">
        <f>COUNTIFS(Sheet3!$S$2:$S$3528,1,Sheet3!$B$2:$B$3528,A15)</f>
        <v>0</v>
      </c>
      <c r="J15">
        <f t="shared" si="1"/>
        <v>0</v>
      </c>
      <c r="K15">
        <f t="shared" si="2"/>
        <v>0</v>
      </c>
      <c r="L15" s="2">
        <f t="shared" si="3"/>
        <v>0</v>
      </c>
    </row>
    <row r="16" spans="1:12" x14ac:dyDescent="0.2">
      <c r="A16" t="s">
        <v>20</v>
      </c>
      <c r="B16">
        <v>257.83499610000001</v>
      </c>
      <c r="C16">
        <v>4</v>
      </c>
      <c r="D16">
        <v>1</v>
      </c>
      <c r="E16">
        <v>1</v>
      </c>
      <c r="F16">
        <v>1</v>
      </c>
      <c r="G16">
        <f t="shared" si="0"/>
        <v>1</v>
      </c>
      <c r="H16">
        <f>COUNTIFS(Sheet3!$R$2:$R$3528,1,Sheet3!$B$2:$B$3528,A16)</f>
        <v>20</v>
      </c>
      <c r="I16">
        <f>COUNTIFS(Sheet3!$S$2:$S$3528,1,Sheet3!$B$2:$B$3528,A16)</f>
        <v>2</v>
      </c>
      <c r="J16">
        <f t="shared" si="1"/>
        <v>1</v>
      </c>
      <c r="K16">
        <f t="shared" si="2"/>
        <v>1</v>
      </c>
      <c r="L16" s="2">
        <f t="shared" si="3"/>
        <v>1</v>
      </c>
    </row>
    <row r="17" spans="1:12" x14ac:dyDescent="0.2">
      <c r="A17" t="s">
        <v>21</v>
      </c>
      <c r="B17">
        <v>12.414189650000001</v>
      </c>
      <c r="C17">
        <v>1</v>
      </c>
      <c r="D17">
        <v>0</v>
      </c>
      <c r="E17">
        <v>1</v>
      </c>
      <c r="F17">
        <v>0</v>
      </c>
      <c r="G17">
        <f t="shared" si="0"/>
        <v>1</v>
      </c>
      <c r="H17">
        <f>COUNTIFS(Sheet3!$R$2:$R$3528,1,Sheet3!$B$2:$B$3528,A17)</f>
        <v>1</v>
      </c>
      <c r="I17">
        <f>COUNTIFS(Sheet3!$S$2:$S$3528,1,Sheet3!$B$2:$B$3528,A17)</f>
        <v>0</v>
      </c>
      <c r="J17">
        <f t="shared" si="1"/>
        <v>1</v>
      </c>
      <c r="K17">
        <f t="shared" si="2"/>
        <v>0</v>
      </c>
      <c r="L17" s="2">
        <f t="shared" si="3"/>
        <v>1</v>
      </c>
    </row>
    <row r="18" spans="1:12" x14ac:dyDescent="0.2">
      <c r="A18" t="s">
        <v>22</v>
      </c>
      <c r="B18">
        <v>10.251031490000001</v>
      </c>
      <c r="C18">
        <v>0</v>
      </c>
      <c r="D18">
        <v>0</v>
      </c>
      <c r="E18">
        <v>0</v>
      </c>
      <c r="F18">
        <v>0</v>
      </c>
      <c r="G18">
        <f t="shared" si="0"/>
        <v>0</v>
      </c>
      <c r="H18">
        <f>COUNTIFS(Sheet3!$R$2:$R$3528,1,Sheet3!$B$2:$B$3528,A18)</f>
        <v>0</v>
      </c>
      <c r="I18">
        <f>COUNTIFS(Sheet3!$S$2:$S$3528,1,Sheet3!$B$2:$B$3528,A18)</f>
        <v>0</v>
      </c>
      <c r="J18">
        <f t="shared" si="1"/>
        <v>0</v>
      </c>
      <c r="K18">
        <f t="shared" si="2"/>
        <v>0</v>
      </c>
      <c r="L18" s="2">
        <f t="shared" si="3"/>
        <v>0</v>
      </c>
    </row>
    <row r="19" spans="1:12" x14ac:dyDescent="0.2">
      <c r="A19" t="s">
        <v>23</v>
      </c>
      <c r="B19">
        <v>4.5962645599999998</v>
      </c>
      <c r="C19">
        <v>0</v>
      </c>
      <c r="D19">
        <v>0</v>
      </c>
      <c r="E19">
        <v>0</v>
      </c>
      <c r="F19">
        <v>0</v>
      </c>
      <c r="G19">
        <f t="shared" si="0"/>
        <v>0</v>
      </c>
      <c r="H19">
        <f>COUNTIFS(Sheet3!$R$2:$R$3528,1,Sheet3!$B$2:$B$3528,A19)</f>
        <v>0</v>
      </c>
      <c r="I19">
        <f>COUNTIFS(Sheet3!$S$2:$S$3528,1,Sheet3!$B$2:$B$3528,A19)</f>
        <v>0</v>
      </c>
      <c r="J19">
        <f t="shared" si="1"/>
        <v>0</v>
      </c>
      <c r="K19">
        <f t="shared" si="2"/>
        <v>0</v>
      </c>
      <c r="L19" s="2">
        <f t="shared" si="3"/>
        <v>0</v>
      </c>
    </row>
    <row r="20" spans="1:12" x14ac:dyDescent="0.2">
      <c r="A20" t="s">
        <v>24</v>
      </c>
      <c r="B20">
        <v>146.3475875</v>
      </c>
      <c r="C20">
        <v>0</v>
      </c>
      <c r="D20">
        <v>3</v>
      </c>
      <c r="E20">
        <v>0</v>
      </c>
      <c r="F20">
        <v>1</v>
      </c>
      <c r="G20">
        <f t="shared" si="0"/>
        <v>1</v>
      </c>
      <c r="H20">
        <f>COUNTIFS(Sheet3!$R$2:$R$3528,1,Sheet3!$B$2:$B$3528,A20)</f>
        <v>1</v>
      </c>
      <c r="I20">
        <f>COUNTIFS(Sheet3!$S$2:$S$3528,1,Sheet3!$B$2:$B$3528,A20)</f>
        <v>7</v>
      </c>
      <c r="J20">
        <f t="shared" si="1"/>
        <v>1</v>
      </c>
      <c r="K20">
        <f t="shared" si="2"/>
        <v>1</v>
      </c>
      <c r="L20" s="2">
        <f t="shared" si="3"/>
        <v>1</v>
      </c>
    </row>
    <row r="21" spans="1:12" x14ac:dyDescent="0.2">
      <c r="A21" t="s">
        <v>25</v>
      </c>
      <c r="B21">
        <v>24.185020420000001</v>
      </c>
      <c r="C21">
        <v>12</v>
      </c>
      <c r="D21">
        <v>8</v>
      </c>
      <c r="E21">
        <v>1</v>
      </c>
      <c r="F21">
        <v>1</v>
      </c>
      <c r="G21">
        <f t="shared" si="0"/>
        <v>1</v>
      </c>
      <c r="H21">
        <f>COUNTIFS(Sheet3!$R$2:$R$3528,1,Sheet3!$B$2:$B$3528,A21)</f>
        <v>23</v>
      </c>
      <c r="I21">
        <f>COUNTIFS(Sheet3!$S$2:$S$3528,1,Sheet3!$B$2:$B$3528,A21)</f>
        <v>21</v>
      </c>
      <c r="J21">
        <f t="shared" si="1"/>
        <v>1</v>
      </c>
      <c r="K21">
        <f t="shared" si="2"/>
        <v>1</v>
      </c>
      <c r="L21" s="2">
        <f t="shared" si="3"/>
        <v>1</v>
      </c>
    </row>
    <row r="22" spans="1:12" x14ac:dyDescent="0.2">
      <c r="A22" t="s">
        <v>26</v>
      </c>
      <c r="B22">
        <v>12.98266392</v>
      </c>
      <c r="C22">
        <v>1</v>
      </c>
      <c r="D22">
        <v>2</v>
      </c>
      <c r="E22">
        <v>1</v>
      </c>
      <c r="F22">
        <v>1</v>
      </c>
      <c r="G22">
        <f t="shared" si="0"/>
        <v>1</v>
      </c>
      <c r="H22">
        <f>COUNTIFS(Sheet3!$R$2:$R$3528,1,Sheet3!$B$2:$B$3528,A22)</f>
        <v>6</v>
      </c>
      <c r="I22">
        <f>COUNTIFS(Sheet3!$S$2:$S$3528,1,Sheet3!$B$2:$B$3528,A22)</f>
        <v>9</v>
      </c>
      <c r="J22">
        <f t="shared" si="1"/>
        <v>1</v>
      </c>
      <c r="K22">
        <f t="shared" si="2"/>
        <v>1</v>
      </c>
      <c r="L22" s="2">
        <f t="shared" si="3"/>
        <v>1</v>
      </c>
    </row>
    <row r="23" spans="1:12" x14ac:dyDescent="0.2">
      <c r="A23" t="s">
        <v>27</v>
      </c>
      <c r="B23">
        <v>13.62458097</v>
      </c>
      <c r="C23">
        <v>0</v>
      </c>
      <c r="D23">
        <v>0</v>
      </c>
      <c r="E23">
        <v>0</v>
      </c>
      <c r="F23">
        <v>0</v>
      </c>
      <c r="G23">
        <f t="shared" si="0"/>
        <v>0</v>
      </c>
      <c r="H23">
        <f>COUNTIFS(Sheet3!$R$2:$R$3528,1,Sheet3!$B$2:$B$3528,A23)</f>
        <v>0</v>
      </c>
      <c r="I23">
        <f>COUNTIFS(Sheet3!$S$2:$S$3528,1,Sheet3!$B$2:$B$3528,A23)</f>
        <v>1</v>
      </c>
      <c r="J23">
        <f t="shared" si="1"/>
        <v>0</v>
      </c>
      <c r="K23">
        <f t="shared" si="2"/>
        <v>1</v>
      </c>
      <c r="L23" s="2">
        <f t="shared" si="3"/>
        <v>1</v>
      </c>
    </row>
    <row r="24" spans="1:12" x14ac:dyDescent="0.2">
      <c r="A24" t="s">
        <v>28</v>
      </c>
      <c r="B24">
        <v>348.91455020000001</v>
      </c>
      <c r="C24">
        <v>70</v>
      </c>
      <c r="D24">
        <v>16</v>
      </c>
      <c r="E24">
        <v>1</v>
      </c>
      <c r="F24">
        <v>1</v>
      </c>
      <c r="G24">
        <f t="shared" si="0"/>
        <v>1</v>
      </c>
      <c r="H24">
        <f>COUNTIFS(Sheet3!$R$2:$R$3528,1,Sheet3!$B$2:$B$3528,A24)</f>
        <v>81</v>
      </c>
      <c r="I24">
        <f>COUNTIFS(Sheet3!$S$2:$S$3528,1,Sheet3!$B$2:$B$3528,A24)</f>
        <v>21</v>
      </c>
      <c r="J24">
        <f t="shared" si="1"/>
        <v>1</v>
      </c>
      <c r="K24">
        <f t="shared" si="2"/>
        <v>1</v>
      </c>
      <c r="L24" s="2">
        <f t="shared" si="3"/>
        <v>1</v>
      </c>
    </row>
    <row r="25" spans="1:12" x14ac:dyDescent="0.2">
      <c r="A25" t="s">
        <v>29</v>
      </c>
      <c r="B25">
        <v>25.232029140000002</v>
      </c>
      <c r="C25">
        <v>0</v>
      </c>
      <c r="D25">
        <v>0</v>
      </c>
      <c r="E25">
        <v>0</v>
      </c>
      <c r="F25">
        <v>0</v>
      </c>
      <c r="G25">
        <f t="shared" si="0"/>
        <v>0</v>
      </c>
      <c r="H25">
        <f>COUNTIFS(Sheet3!$R$2:$R$3528,1,Sheet3!$B$2:$B$3528,A25)</f>
        <v>0</v>
      </c>
      <c r="I25">
        <f>COUNTIFS(Sheet3!$S$2:$S$3528,1,Sheet3!$B$2:$B$3528,A25)</f>
        <v>2</v>
      </c>
      <c r="J25">
        <f t="shared" si="1"/>
        <v>0</v>
      </c>
      <c r="K25">
        <f t="shared" si="2"/>
        <v>1</v>
      </c>
      <c r="L25" s="2">
        <f t="shared" si="3"/>
        <v>1</v>
      </c>
    </row>
    <row r="26" spans="1:12" x14ac:dyDescent="0.2">
      <c r="A26" t="s">
        <v>30</v>
      </c>
      <c r="B26">
        <v>215.2532736</v>
      </c>
      <c r="C26">
        <v>6</v>
      </c>
      <c r="D26">
        <v>1</v>
      </c>
      <c r="E26">
        <v>1</v>
      </c>
      <c r="F26">
        <v>1</v>
      </c>
      <c r="G26">
        <f t="shared" si="0"/>
        <v>1</v>
      </c>
      <c r="H26">
        <f>COUNTIFS(Sheet3!$R$2:$R$3528,1,Sheet3!$B$2:$B$3528,A26)</f>
        <v>26</v>
      </c>
      <c r="I26">
        <f>COUNTIFS(Sheet3!$S$2:$S$3528,1,Sheet3!$B$2:$B$3528,A26)</f>
        <v>3</v>
      </c>
      <c r="J26">
        <f t="shared" si="1"/>
        <v>1</v>
      </c>
      <c r="K26">
        <f t="shared" si="2"/>
        <v>1</v>
      </c>
      <c r="L26" s="2">
        <f t="shared" si="3"/>
        <v>1</v>
      </c>
    </row>
    <row r="27" spans="1:12" x14ac:dyDescent="0.2">
      <c r="A27" t="s">
        <v>31</v>
      </c>
      <c r="B27">
        <v>11.22870996</v>
      </c>
      <c r="C27">
        <v>0</v>
      </c>
      <c r="D27">
        <v>0</v>
      </c>
      <c r="E27">
        <v>0</v>
      </c>
      <c r="F27">
        <v>0</v>
      </c>
      <c r="G27">
        <f t="shared" si="0"/>
        <v>0</v>
      </c>
      <c r="H27">
        <f>COUNTIFS(Sheet3!$R$2:$R$3528,1,Sheet3!$B$2:$B$3528,A27)</f>
        <v>0</v>
      </c>
      <c r="I27">
        <f>COUNTIFS(Sheet3!$S$2:$S$3528,1,Sheet3!$B$2:$B$3528,A27)</f>
        <v>1</v>
      </c>
      <c r="J27">
        <f t="shared" si="1"/>
        <v>0</v>
      </c>
      <c r="K27">
        <f t="shared" si="2"/>
        <v>1</v>
      </c>
      <c r="L27" s="2">
        <f t="shared" si="3"/>
        <v>1</v>
      </c>
    </row>
    <row r="28" spans="1:12" x14ac:dyDescent="0.2">
      <c r="A28" t="s">
        <v>32</v>
      </c>
      <c r="B28">
        <v>12.2149565</v>
      </c>
      <c r="C28">
        <v>0</v>
      </c>
      <c r="D28">
        <v>1</v>
      </c>
      <c r="E28">
        <v>0</v>
      </c>
      <c r="F28">
        <v>1</v>
      </c>
      <c r="G28">
        <f t="shared" si="0"/>
        <v>1</v>
      </c>
      <c r="H28">
        <f>COUNTIFS(Sheet3!$R$2:$R$3528,1,Sheet3!$B$2:$B$3528,A28)</f>
        <v>1</v>
      </c>
      <c r="I28">
        <f>COUNTIFS(Sheet3!$S$2:$S$3528,1,Sheet3!$B$2:$B$3528,A28)</f>
        <v>5</v>
      </c>
      <c r="J28">
        <f t="shared" si="1"/>
        <v>1</v>
      </c>
      <c r="K28">
        <f t="shared" si="2"/>
        <v>1</v>
      </c>
      <c r="L28" s="2">
        <f t="shared" si="3"/>
        <v>1</v>
      </c>
    </row>
    <row r="29" spans="1:12" x14ac:dyDescent="0.2">
      <c r="A29" t="s">
        <v>33</v>
      </c>
      <c r="B29">
        <v>172.9377106</v>
      </c>
      <c r="C29">
        <v>0</v>
      </c>
      <c r="D29">
        <v>0</v>
      </c>
      <c r="E29">
        <v>0</v>
      </c>
      <c r="F29">
        <v>0</v>
      </c>
      <c r="G29">
        <f t="shared" si="0"/>
        <v>0</v>
      </c>
      <c r="H29">
        <f>COUNTIFS(Sheet3!$R$2:$R$3528,1,Sheet3!$B$2:$B$3528,A29)</f>
        <v>0</v>
      </c>
      <c r="I29">
        <f>COUNTIFS(Sheet3!$S$2:$S$3528,1,Sheet3!$B$2:$B$3528,A29)</f>
        <v>0</v>
      </c>
      <c r="J29">
        <f t="shared" si="1"/>
        <v>0</v>
      </c>
      <c r="K29">
        <f t="shared" si="2"/>
        <v>0</v>
      </c>
      <c r="L29" s="2">
        <f t="shared" si="3"/>
        <v>0</v>
      </c>
    </row>
    <row r="30" spans="1:12" x14ac:dyDescent="0.2">
      <c r="A30" t="s">
        <v>34</v>
      </c>
      <c r="B30">
        <v>25.946113820000001</v>
      </c>
      <c r="C30">
        <v>0</v>
      </c>
      <c r="D30">
        <v>1</v>
      </c>
      <c r="E30">
        <v>0</v>
      </c>
      <c r="F30">
        <v>1</v>
      </c>
      <c r="G30">
        <f t="shared" si="0"/>
        <v>1</v>
      </c>
      <c r="H30">
        <f>COUNTIFS(Sheet3!$R$2:$R$3528,1,Sheet3!$B$2:$B$3528,A30)</f>
        <v>0</v>
      </c>
      <c r="I30">
        <f>COUNTIFS(Sheet3!$S$2:$S$3528,1,Sheet3!$B$2:$B$3528,A30)</f>
        <v>1</v>
      </c>
      <c r="J30">
        <f t="shared" si="1"/>
        <v>0</v>
      </c>
      <c r="K30">
        <f t="shared" si="2"/>
        <v>1</v>
      </c>
      <c r="L30" s="2">
        <f t="shared" si="3"/>
        <v>1</v>
      </c>
    </row>
    <row r="31" spans="1:12" x14ac:dyDescent="0.2">
      <c r="A31" t="s">
        <v>35</v>
      </c>
      <c r="B31">
        <v>19.93039817</v>
      </c>
      <c r="C31">
        <v>0</v>
      </c>
      <c r="D31">
        <v>0</v>
      </c>
      <c r="E31">
        <v>0</v>
      </c>
      <c r="F31">
        <v>0</v>
      </c>
      <c r="G31">
        <f t="shared" si="0"/>
        <v>0</v>
      </c>
      <c r="H31">
        <f>COUNTIFS(Sheet3!$R$2:$R$3528,1,Sheet3!$B$2:$B$3528,A31)</f>
        <v>3</v>
      </c>
      <c r="I31">
        <f>COUNTIFS(Sheet3!$S$2:$S$3528,1,Sheet3!$B$2:$B$3528,A31)</f>
        <v>2</v>
      </c>
      <c r="J31">
        <f t="shared" si="1"/>
        <v>1</v>
      </c>
      <c r="K31">
        <f t="shared" si="2"/>
        <v>1</v>
      </c>
      <c r="L31" s="2">
        <f t="shared" si="3"/>
        <v>1</v>
      </c>
    </row>
    <row r="32" spans="1:12" x14ac:dyDescent="0.2">
      <c r="A32" t="s">
        <v>36</v>
      </c>
      <c r="B32">
        <v>25.83542374</v>
      </c>
      <c r="C32">
        <v>1</v>
      </c>
      <c r="D32">
        <v>0</v>
      </c>
      <c r="E32">
        <v>1</v>
      </c>
      <c r="F32">
        <v>0</v>
      </c>
      <c r="G32">
        <f t="shared" si="0"/>
        <v>1</v>
      </c>
      <c r="H32">
        <f>COUNTIFS(Sheet3!$R$2:$R$3528,1,Sheet3!$B$2:$B$3528,A32)</f>
        <v>1</v>
      </c>
      <c r="I32">
        <f>COUNTIFS(Sheet3!$S$2:$S$3528,1,Sheet3!$B$2:$B$3528,A32)</f>
        <v>0</v>
      </c>
      <c r="J32">
        <f t="shared" si="1"/>
        <v>1</v>
      </c>
      <c r="K32">
        <f t="shared" si="2"/>
        <v>0</v>
      </c>
      <c r="L32" s="2">
        <f t="shared" si="3"/>
        <v>1</v>
      </c>
    </row>
    <row r="33" spans="1:12" x14ac:dyDescent="0.2">
      <c r="A33" t="s">
        <v>37</v>
      </c>
      <c r="B33">
        <v>25.226674899999999</v>
      </c>
      <c r="C33">
        <v>0</v>
      </c>
      <c r="D33">
        <v>0</v>
      </c>
      <c r="E33">
        <v>0</v>
      </c>
      <c r="F33">
        <v>0</v>
      </c>
      <c r="G33">
        <f t="shared" si="0"/>
        <v>0</v>
      </c>
      <c r="H33">
        <f>COUNTIFS(Sheet3!$R$2:$R$3528,1,Sheet3!$B$2:$B$3528,A33)</f>
        <v>0</v>
      </c>
      <c r="I33">
        <f>COUNTIFS(Sheet3!$S$2:$S$3528,1,Sheet3!$B$2:$B$3528,A33)</f>
        <v>0</v>
      </c>
      <c r="J33">
        <f t="shared" si="1"/>
        <v>0</v>
      </c>
      <c r="K33">
        <f t="shared" si="2"/>
        <v>0</v>
      </c>
      <c r="L33" s="2">
        <f t="shared" si="3"/>
        <v>0</v>
      </c>
    </row>
    <row r="34" spans="1:12" x14ac:dyDescent="0.2">
      <c r="A34" t="s">
        <v>38</v>
      </c>
      <c r="B34">
        <v>71.887944790000006</v>
      </c>
      <c r="C34">
        <v>0</v>
      </c>
      <c r="D34">
        <v>0</v>
      </c>
      <c r="E34">
        <v>0</v>
      </c>
      <c r="F34">
        <v>0</v>
      </c>
      <c r="G34">
        <f t="shared" si="0"/>
        <v>0</v>
      </c>
      <c r="H34">
        <f>COUNTIFS(Sheet3!$R$2:$R$3528,1,Sheet3!$B$2:$B$3528,A34)</f>
        <v>0</v>
      </c>
      <c r="I34">
        <f>COUNTIFS(Sheet3!$S$2:$S$3528,1,Sheet3!$B$2:$B$3528,A34)</f>
        <v>0</v>
      </c>
      <c r="J34">
        <f t="shared" si="1"/>
        <v>0</v>
      </c>
      <c r="K34">
        <f t="shared" si="2"/>
        <v>0</v>
      </c>
      <c r="L34" s="2">
        <f t="shared" si="3"/>
        <v>0</v>
      </c>
    </row>
    <row r="35" spans="1:12" x14ac:dyDescent="0.2">
      <c r="A35" t="s">
        <v>39</v>
      </c>
      <c r="B35">
        <v>123.159243</v>
      </c>
      <c r="C35">
        <v>0</v>
      </c>
      <c r="D35">
        <v>0</v>
      </c>
      <c r="E35">
        <v>0</v>
      </c>
      <c r="F35">
        <v>0</v>
      </c>
      <c r="G35">
        <f t="shared" si="0"/>
        <v>0</v>
      </c>
      <c r="H35">
        <f>COUNTIFS(Sheet3!$R$2:$R$3528,1,Sheet3!$B$2:$B$3528,A35)</f>
        <v>0</v>
      </c>
      <c r="I35">
        <f>COUNTIFS(Sheet3!$S$2:$S$3528,1,Sheet3!$B$2:$B$3528,A35)</f>
        <v>0</v>
      </c>
      <c r="J35">
        <f t="shared" si="1"/>
        <v>0</v>
      </c>
      <c r="K35">
        <f t="shared" si="2"/>
        <v>0</v>
      </c>
      <c r="L35" s="2">
        <f t="shared" si="3"/>
        <v>0</v>
      </c>
    </row>
    <row r="36" spans="1:12" x14ac:dyDescent="0.2">
      <c r="A36" t="s">
        <v>40</v>
      </c>
      <c r="B36">
        <v>12.30838397</v>
      </c>
      <c r="C36">
        <v>1</v>
      </c>
      <c r="D36">
        <v>0</v>
      </c>
      <c r="E36">
        <v>1</v>
      </c>
      <c r="F36">
        <v>0</v>
      </c>
      <c r="G36">
        <f t="shared" si="0"/>
        <v>1</v>
      </c>
      <c r="H36">
        <f>COUNTIFS(Sheet3!$R$2:$R$3528,1,Sheet3!$B$2:$B$3528,A36)</f>
        <v>2</v>
      </c>
      <c r="I36">
        <f>COUNTIFS(Sheet3!$S$2:$S$3528,1,Sheet3!$B$2:$B$3528,A36)</f>
        <v>0</v>
      </c>
      <c r="J36">
        <f t="shared" si="1"/>
        <v>1</v>
      </c>
      <c r="K36">
        <f t="shared" si="2"/>
        <v>0</v>
      </c>
      <c r="L36" s="2">
        <f t="shared" si="3"/>
        <v>1</v>
      </c>
    </row>
    <row r="37" spans="1:12" x14ac:dyDescent="0.2">
      <c r="A37" t="s">
        <v>41</v>
      </c>
      <c r="B37">
        <v>29.702585079999999</v>
      </c>
      <c r="C37">
        <v>1</v>
      </c>
      <c r="D37">
        <v>0</v>
      </c>
      <c r="E37">
        <v>1</v>
      </c>
      <c r="F37">
        <v>0</v>
      </c>
      <c r="G37">
        <f t="shared" si="0"/>
        <v>1</v>
      </c>
      <c r="H37">
        <f>COUNTIFS(Sheet3!$R$2:$R$3528,1,Sheet3!$B$2:$B$3528,A37)</f>
        <v>1</v>
      </c>
      <c r="I37">
        <f>COUNTIFS(Sheet3!$S$2:$S$3528,1,Sheet3!$B$2:$B$3528,A37)</f>
        <v>2</v>
      </c>
      <c r="J37">
        <f t="shared" si="1"/>
        <v>1</v>
      </c>
      <c r="K37">
        <f t="shared" si="2"/>
        <v>1</v>
      </c>
      <c r="L37" s="2">
        <f t="shared" si="3"/>
        <v>1</v>
      </c>
    </row>
    <row r="38" spans="1:12" x14ac:dyDescent="0.2">
      <c r="A38" t="s">
        <v>42</v>
      </c>
      <c r="B38">
        <v>2.5920305099999998</v>
      </c>
      <c r="C38">
        <v>0</v>
      </c>
      <c r="D38">
        <v>3</v>
      </c>
      <c r="E38">
        <v>0</v>
      </c>
      <c r="F38">
        <v>1</v>
      </c>
      <c r="G38">
        <f t="shared" si="0"/>
        <v>1</v>
      </c>
      <c r="H38">
        <f>COUNTIFS(Sheet3!$R$2:$R$3528,1,Sheet3!$B$2:$B$3528,A38)</f>
        <v>0</v>
      </c>
      <c r="I38">
        <f>COUNTIFS(Sheet3!$S$2:$S$3528,1,Sheet3!$B$2:$B$3528,A38)</f>
        <v>3</v>
      </c>
      <c r="J38">
        <f t="shared" si="1"/>
        <v>0</v>
      </c>
      <c r="K38">
        <f t="shared" si="2"/>
        <v>1</v>
      </c>
      <c r="L38" s="2">
        <f t="shared" si="3"/>
        <v>1</v>
      </c>
    </row>
    <row r="39" spans="1:12" x14ac:dyDescent="0.2">
      <c r="A39" t="s">
        <v>43</v>
      </c>
      <c r="B39">
        <v>134.31486390000001</v>
      </c>
      <c r="C39">
        <v>0</v>
      </c>
      <c r="D39">
        <v>1</v>
      </c>
      <c r="E39">
        <v>0</v>
      </c>
      <c r="F39">
        <v>1</v>
      </c>
      <c r="G39">
        <f t="shared" si="0"/>
        <v>1</v>
      </c>
      <c r="H39">
        <f>COUNTIFS(Sheet3!$R$2:$R$3528,1,Sheet3!$B$2:$B$3528,A39)</f>
        <v>1</v>
      </c>
      <c r="I39">
        <f>COUNTIFS(Sheet3!$S$2:$S$3528,1,Sheet3!$B$2:$B$3528,A39)</f>
        <v>4</v>
      </c>
      <c r="J39">
        <f t="shared" si="1"/>
        <v>1</v>
      </c>
      <c r="K39">
        <f t="shared" si="2"/>
        <v>1</v>
      </c>
      <c r="L39" s="2">
        <f t="shared" si="3"/>
        <v>1</v>
      </c>
    </row>
    <row r="40" spans="1:12" x14ac:dyDescent="0.2">
      <c r="A40" t="s">
        <v>44</v>
      </c>
      <c r="B40">
        <v>45.061213709999997</v>
      </c>
      <c r="C40">
        <v>0</v>
      </c>
      <c r="D40">
        <v>0</v>
      </c>
      <c r="E40">
        <v>0</v>
      </c>
      <c r="F40">
        <v>0</v>
      </c>
      <c r="G40">
        <f t="shared" si="0"/>
        <v>0</v>
      </c>
      <c r="H40">
        <f>COUNTIFS(Sheet3!$R$2:$R$3528,1,Sheet3!$B$2:$B$3528,A40)</f>
        <v>0</v>
      </c>
      <c r="I40">
        <f>COUNTIFS(Sheet3!$S$2:$S$3528,1,Sheet3!$B$2:$B$3528,A40)</f>
        <v>0</v>
      </c>
      <c r="J40">
        <f t="shared" si="1"/>
        <v>0</v>
      </c>
      <c r="K40">
        <f t="shared" si="2"/>
        <v>0</v>
      </c>
      <c r="L40" s="2">
        <f t="shared" si="3"/>
        <v>0</v>
      </c>
    </row>
    <row r="41" spans="1:12" x14ac:dyDescent="0.2">
      <c r="A41" t="s">
        <v>45</v>
      </c>
      <c r="B41">
        <v>50.032637979999997</v>
      </c>
      <c r="C41">
        <v>0</v>
      </c>
      <c r="D41">
        <v>0</v>
      </c>
      <c r="E41">
        <v>0</v>
      </c>
      <c r="F41">
        <v>0</v>
      </c>
      <c r="G41">
        <f t="shared" si="0"/>
        <v>0</v>
      </c>
      <c r="H41">
        <f>COUNTIFS(Sheet3!$R$2:$R$3528,1,Sheet3!$B$2:$B$3528,A41)</f>
        <v>0</v>
      </c>
      <c r="I41">
        <f>COUNTIFS(Sheet3!$S$2:$S$3528,1,Sheet3!$B$2:$B$3528,A41)</f>
        <v>0</v>
      </c>
      <c r="J41">
        <f t="shared" si="1"/>
        <v>0</v>
      </c>
      <c r="K41">
        <f t="shared" si="2"/>
        <v>0</v>
      </c>
      <c r="L41" s="2">
        <f t="shared" si="3"/>
        <v>0</v>
      </c>
    </row>
    <row r="42" spans="1:12" x14ac:dyDescent="0.2">
      <c r="A42" t="s">
        <v>46</v>
      </c>
      <c r="B42">
        <v>100.43846910000001</v>
      </c>
      <c r="C42">
        <v>3</v>
      </c>
      <c r="D42">
        <v>1</v>
      </c>
      <c r="E42">
        <v>1</v>
      </c>
      <c r="F42">
        <v>1</v>
      </c>
      <c r="G42">
        <f t="shared" si="0"/>
        <v>1</v>
      </c>
      <c r="H42">
        <f>COUNTIFS(Sheet3!$R$2:$R$3528,1,Sheet3!$B$2:$B$3528,A42)</f>
        <v>7</v>
      </c>
      <c r="I42">
        <f>COUNTIFS(Sheet3!$S$2:$S$3528,1,Sheet3!$B$2:$B$3528,A42)</f>
        <v>8</v>
      </c>
      <c r="J42">
        <f t="shared" si="1"/>
        <v>1</v>
      </c>
      <c r="K42">
        <f t="shared" si="2"/>
        <v>1</v>
      </c>
      <c r="L42" s="2">
        <f t="shared" si="3"/>
        <v>1</v>
      </c>
    </row>
    <row r="43" spans="1:12" x14ac:dyDescent="0.2">
      <c r="A43" t="s">
        <v>47</v>
      </c>
      <c r="B43">
        <v>45.410769389999999</v>
      </c>
      <c r="C43">
        <v>0</v>
      </c>
      <c r="D43">
        <v>1</v>
      </c>
      <c r="E43">
        <v>0</v>
      </c>
      <c r="F43">
        <v>1</v>
      </c>
      <c r="G43">
        <f t="shared" si="0"/>
        <v>1</v>
      </c>
      <c r="H43">
        <f>COUNTIFS(Sheet3!$R$2:$R$3528,1,Sheet3!$B$2:$B$3528,A43)</f>
        <v>1</v>
      </c>
      <c r="I43">
        <f>COUNTIFS(Sheet3!$S$2:$S$3528,1,Sheet3!$B$2:$B$3528,A43)</f>
        <v>2</v>
      </c>
      <c r="J43">
        <f t="shared" si="1"/>
        <v>1</v>
      </c>
      <c r="K43">
        <f t="shared" si="2"/>
        <v>1</v>
      </c>
      <c r="L43" s="2">
        <f t="shared" si="3"/>
        <v>1</v>
      </c>
    </row>
    <row r="44" spans="1:12" x14ac:dyDescent="0.2">
      <c r="A44" t="s">
        <v>48</v>
      </c>
      <c r="B44">
        <v>7.1877201389999996</v>
      </c>
      <c r="C44">
        <v>0</v>
      </c>
      <c r="D44">
        <v>2</v>
      </c>
      <c r="E44">
        <v>0</v>
      </c>
      <c r="F44">
        <v>1</v>
      </c>
      <c r="G44">
        <f t="shared" si="0"/>
        <v>1</v>
      </c>
      <c r="H44">
        <f>COUNTIFS(Sheet3!$R$2:$R$3528,1,Sheet3!$B$2:$B$3528,A44)</f>
        <v>0</v>
      </c>
      <c r="I44">
        <f>COUNTIFS(Sheet3!$S$2:$S$3528,1,Sheet3!$B$2:$B$3528,A44)</f>
        <v>3</v>
      </c>
      <c r="J44">
        <f t="shared" si="1"/>
        <v>0</v>
      </c>
      <c r="K44">
        <f t="shared" si="2"/>
        <v>1</v>
      </c>
      <c r="L44" s="2">
        <f t="shared" si="3"/>
        <v>1</v>
      </c>
    </row>
    <row r="45" spans="1:12" x14ac:dyDescent="0.2">
      <c r="A45" t="s">
        <v>49</v>
      </c>
      <c r="B45">
        <v>12.720721579999999</v>
      </c>
      <c r="C45">
        <v>0</v>
      </c>
      <c r="D45">
        <v>0</v>
      </c>
      <c r="E45">
        <v>0</v>
      </c>
      <c r="F45">
        <v>0</v>
      </c>
      <c r="G45">
        <f t="shared" si="0"/>
        <v>0</v>
      </c>
      <c r="H45">
        <f>COUNTIFS(Sheet3!$R$2:$R$3528,1,Sheet3!$B$2:$B$3528,A45)</f>
        <v>0</v>
      </c>
      <c r="I45">
        <f>COUNTIFS(Sheet3!$S$2:$S$3528,1,Sheet3!$B$2:$B$3528,A45)</f>
        <v>0</v>
      </c>
      <c r="J45">
        <f t="shared" si="1"/>
        <v>0</v>
      </c>
      <c r="K45">
        <f t="shared" si="2"/>
        <v>0</v>
      </c>
      <c r="L45" s="2">
        <f t="shared" si="3"/>
        <v>0</v>
      </c>
    </row>
    <row r="46" spans="1:12" x14ac:dyDescent="0.2">
      <c r="A46" t="s">
        <v>50</v>
      </c>
      <c r="B46">
        <v>87.135113059999995</v>
      </c>
      <c r="C46">
        <v>20</v>
      </c>
      <c r="D46">
        <v>11</v>
      </c>
      <c r="E46">
        <v>1</v>
      </c>
      <c r="F46">
        <v>1</v>
      </c>
      <c r="G46">
        <f t="shared" si="0"/>
        <v>1</v>
      </c>
      <c r="H46">
        <f>COUNTIFS(Sheet3!$R$2:$R$3528,1,Sheet3!$B$2:$B$3528,A46)</f>
        <v>31</v>
      </c>
      <c r="I46">
        <f>COUNTIFS(Sheet3!$S$2:$S$3528,1,Sheet3!$B$2:$B$3528,A46)</f>
        <v>31</v>
      </c>
      <c r="J46">
        <f t="shared" si="1"/>
        <v>1</v>
      </c>
      <c r="K46">
        <f t="shared" si="2"/>
        <v>1</v>
      </c>
      <c r="L46" s="2">
        <f t="shared" si="3"/>
        <v>1</v>
      </c>
    </row>
    <row r="47" spans="1:12" x14ac:dyDescent="0.2">
      <c r="A47" t="s">
        <v>51</v>
      </c>
      <c r="B47">
        <v>36.805438330000001</v>
      </c>
      <c r="C47">
        <v>0</v>
      </c>
      <c r="D47">
        <v>0</v>
      </c>
      <c r="E47">
        <v>0</v>
      </c>
      <c r="F47">
        <v>0</v>
      </c>
      <c r="G47">
        <f t="shared" si="0"/>
        <v>0</v>
      </c>
      <c r="H47">
        <f>COUNTIFS(Sheet3!$R$2:$R$3528,1,Sheet3!$B$2:$B$3528,A47)</f>
        <v>0</v>
      </c>
      <c r="I47">
        <f>COUNTIFS(Sheet3!$S$2:$S$3528,1,Sheet3!$B$2:$B$3528,A47)</f>
        <v>0</v>
      </c>
      <c r="J47">
        <f t="shared" si="1"/>
        <v>0</v>
      </c>
      <c r="K47">
        <f t="shared" si="2"/>
        <v>0</v>
      </c>
      <c r="L47" s="2">
        <f t="shared" si="3"/>
        <v>0</v>
      </c>
    </row>
    <row r="48" spans="1:12" x14ac:dyDescent="0.2">
      <c r="A48" t="s">
        <v>52</v>
      </c>
      <c r="B48">
        <v>1307.598583</v>
      </c>
      <c r="C48">
        <v>27</v>
      </c>
      <c r="D48">
        <v>9</v>
      </c>
      <c r="E48">
        <v>1</v>
      </c>
      <c r="F48">
        <v>1</v>
      </c>
      <c r="G48">
        <f t="shared" si="0"/>
        <v>1</v>
      </c>
      <c r="H48">
        <f>COUNTIFS(Sheet3!$R$2:$R$3528,1,Sheet3!$B$2:$B$3528,A48)</f>
        <v>46</v>
      </c>
      <c r="I48">
        <f>COUNTIFS(Sheet3!$S$2:$S$3528,1,Sheet3!$B$2:$B$3528,A48)</f>
        <v>20</v>
      </c>
      <c r="J48">
        <f t="shared" si="1"/>
        <v>1</v>
      </c>
      <c r="K48">
        <f t="shared" si="2"/>
        <v>1</v>
      </c>
      <c r="L48" s="2">
        <f t="shared" si="3"/>
        <v>1</v>
      </c>
    </row>
    <row r="49" spans="1:12" x14ac:dyDescent="0.2">
      <c r="A49" t="s">
        <v>53</v>
      </c>
      <c r="B49">
        <v>46.141767209999998</v>
      </c>
      <c r="C49">
        <v>0</v>
      </c>
      <c r="D49">
        <v>0</v>
      </c>
      <c r="E49">
        <v>0</v>
      </c>
      <c r="F49">
        <v>0</v>
      </c>
      <c r="G49">
        <f t="shared" si="0"/>
        <v>0</v>
      </c>
      <c r="H49">
        <f>COUNTIFS(Sheet3!$R$2:$R$3528,1,Sheet3!$B$2:$B$3528,A49)</f>
        <v>0</v>
      </c>
      <c r="I49">
        <f>COUNTIFS(Sheet3!$S$2:$S$3528,1,Sheet3!$B$2:$B$3528,A49)</f>
        <v>0</v>
      </c>
      <c r="J49">
        <f t="shared" si="1"/>
        <v>0</v>
      </c>
      <c r="K49">
        <f t="shared" si="2"/>
        <v>0</v>
      </c>
      <c r="L49" s="2">
        <f t="shared" si="3"/>
        <v>0</v>
      </c>
    </row>
    <row r="50" spans="1:12" x14ac:dyDescent="0.2">
      <c r="A50" t="s">
        <v>54</v>
      </c>
      <c r="B50">
        <v>12.987771670000001</v>
      </c>
      <c r="C50">
        <v>0</v>
      </c>
      <c r="D50">
        <v>0</v>
      </c>
      <c r="E50">
        <v>0</v>
      </c>
      <c r="F50">
        <v>0</v>
      </c>
      <c r="G50">
        <f t="shared" si="0"/>
        <v>0</v>
      </c>
      <c r="H50">
        <f>COUNTIFS(Sheet3!$R$2:$R$3528,1,Sheet3!$B$2:$B$3528,A50)</f>
        <v>0</v>
      </c>
      <c r="I50">
        <f>COUNTIFS(Sheet3!$S$2:$S$3528,1,Sheet3!$B$2:$B$3528,A50)</f>
        <v>0</v>
      </c>
      <c r="J50">
        <f t="shared" si="1"/>
        <v>0</v>
      </c>
      <c r="K50">
        <f t="shared" si="2"/>
        <v>0</v>
      </c>
      <c r="L50" s="2">
        <f t="shared" si="3"/>
        <v>0</v>
      </c>
    </row>
    <row r="51" spans="1:12" x14ac:dyDescent="0.2">
      <c r="A51" t="s">
        <v>55</v>
      </c>
      <c r="B51">
        <v>64.132670540000007</v>
      </c>
      <c r="C51">
        <v>0</v>
      </c>
      <c r="D51">
        <v>0</v>
      </c>
      <c r="E51">
        <v>0</v>
      </c>
      <c r="F51">
        <v>0</v>
      </c>
      <c r="G51">
        <f t="shared" si="0"/>
        <v>0</v>
      </c>
      <c r="H51">
        <f>COUNTIFS(Sheet3!$R$2:$R$3528,1,Sheet3!$B$2:$B$3528,A51)</f>
        <v>0</v>
      </c>
      <c r="I51">
        <f>COUNTIFS(Sheet3!$S$2:$S$3528,1,Sheet3!$B$2:$B$3528,A51)</f>
        <v>0</v>
      </c>
      <c r="J51">
        <f t="shared" si="1"/>
        <v>0</v>
      </c>
      <c r="K51">
        <f t="shared" si="2"/>
        <v>0</v>
      </c>
      <c r="L51" s="2">
        <f t="shared" si="3"/>
        <v>0</v>
      </c>
    </row>
    <row r="52" spans="1:12" x14ac:dyDescent="0.2">
      <c r="A52" t="s">
        <v>56</v>
      </c>
      <c r="B52">
        <v>12.286384809999999</v>
      </c>
      <c r="C52">
        <v>0</v>
      </c>
      <c r="D52">
        <v>1</v>
      </c>
      <c r="E52">
        <v>0</v>
      </c>
      <c r="F52">
        <v>1</v>
      </c>
      <c r="G52">
        <f t="shared" si="0"/>
        <v>1</v>
      </c>
      <c r="H52">
        <f>COUNTIFS(Sheet3!$R$2:$R$3528,1,Sheet3!$B$2:$B$3528,A52)</f>
        <v>0</v>
      </c>
      <c r="I52">
        <f>COUNTIFS(Sheet3!$S$2:$S$3528,1,Sheet3!$B$2:$B$3528,A52)</f>
        <v>1</v>
      </c>
      <c r="J52">
        <f t="shared" si="1"/>
        <v>0</v>
      </c>
      <c r="K52">
        <f t="shared" si="2"/>
        <v>1</v>
      </c>
      <c r="L52" s="2">
        <f t="shared" si="3"/>
        <v>1</v>
      </c>
    </row>
    <row r="53" spans="1:12" x14ac:dyDescent="0.2">
      <c r="A53" t="s">
        <v>57</v>
      </c>
      <c r="B53">
        <v>224.8741019</v>
      </c>
      <c r="C53">
        <v>20</v>
      </c>
      <c r="D53">
        <v>6</v>
      </c>
      <c r="E53">
        <v>1</v>
      </c>
      <c r="F53">
        <v>1</v>
      </c>
      <c r="G53">
        <f t="shared" si="0"/>
        <v>1</v>
      </c>
      <c r="H53">
        <f>COUNTIFS(Sheet3!$R$2:$R$3528,1,Sheet3!$B$2:$B$3528,A53)</f>
        <v>42</v>
      </c>
      <c r="I53">
        <f>COUNTIFS(Sheet3!$S$2:$S$3528,1,Sheet3!$B$2:$B$3528,A53)</f>
        <v>13</v>
      </c>
      <c r="J53">
        <f t="shared" si="1"/>
        <v>1</v>
      </c>
      <c r="K53">
        <f t="shared" si="2"/>
        <v>1</v>
      </c>
      <c r="L53" s="2">
        <f t="shared" si="3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0D73-F6FD-7244-8BBA-5EFD018D0144}">
  <dimension ref="A1:V3528"/>
  <sheetViews>
    <sheetView topLeftCell="F1" workbookViewId="0">
      <selection activeCell="R2" sqref="R2"/>
    </sheetView>
  </sheetViews>
  <sheetFormatPr baseColWidth="10" defaultRowHeight="16" x14ac:dyDescent="0.2"/>
  <sheetData>
    <row r="1" spans="1:22" x14ac:dyDescent="0.2">
      <c r="A1" t="s">
        <v>59</v>
      </c>
      <c r="B1" t="s">
        <v>0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4</v>
      </c>
      <c r="Q1" t="s">
        <v>5</v>
      </c>
      <c r="R1" t="s">
        <v>73</v>
      </c>
      <c r="S1" t="s">
        <v>74</v>
      </c>
      <c r="T1" t="s">
        <v>1</v>
      </c>
      <c r="U1" t="s">
        <v>58</v>
      </c>
      <c r="V1" t="s">
        <v>5667</v>
      </c>
    </row>
    <row r="2" spans="1:22" x14ac:dyDescent="0.2">
      <c r="A2" t="s">
        <v>75</v>
      </c>
      <c r="B2" t="s">
        <v>6</v>
      </c>
      <c r="C2" t="s">
        <v>76</v>
      </c>
      <c r="D2" t="s">
        <v>77</v>
      </c>
      <c r="E2">
        <v>99</v>
      </c>
      <c r="F2" t="s">
        <v>78</v>
      </c>
      <c r="G2">
        <v>99</v>
      </c>
      <c r="H2">
        <v>276085188</v>
      </c>
      <c r="I2">
        <v>2876409</v>
      </c>
      <c r="J2">
        <v>17</v>
      </c>
      <c r="K2">
        <v>42</v>
      </c>
      <c r="L2">
        <v>-273208779</v>
      </c>
      <c r="M2" s="1" t="s">
        <v>79</v>
      </c>
      <c r="N2" s="1" t="s">
        <v>80</v>
      </c>
      <c r="O2" s="1" t="s">
        <v>81</v>
      </c>
      <c r="P2">
        <v>0</v>
      </c>
      <c r="Q2">
        <v>0</v>
      </c>
      <c r="R2">
        <v>0</v>
      </c>
      <c r="S2">
        <v>0</v>
      </c>
      <c r="T2">
        <v>37.967415780000003</v>
      </c>
      <c r="U2">
        <f>IF(OR(P2=1,Q2=1),1,0)</f>
        <v>0</v>
      </c>
      <c r="V2">
        <f>IF(OR(R2=1,S2=1),1,0)</f>
        <v>0</v>
      </c>
    </row>
    <row r="3" spans="1:22" x14ac:dyDescent="0.2">
      <c r="A3" t="s">
        <v>75</v>
      </c>
      <c r="B3" t="s">
        <v>6</v>
      </c>
      <c r="C3" t="s">
        <v>76</v>
      </c>
      <c r="D3" t="s">
        <v>77</v>
      </c>
      <c r="E3" s="1" t="s">
        <v>82</v>
      </c>
      <c r="F3" t="s">
        <v>83</v>
      </c>
      <c r="G3">
        <v>10</v>
      </c>
      <c r="H3">
        <v>145961276</v>
      </c>
      <c r="I3">
        <v>0</v>
      </c>
      <c r="J3">
        <v>44</v>
      </c>
      <c r="K3">
        <v>65</v>
      </c>
      <c r="L3">
        <v>-145961276</v>
      </c>
      <c r="M3">
        <v>1</v>
      </c>
      <c r="N3">
        <v>0</v>
      </c>
      <c r="O3" s="1" t="s">
        <v>84</v>
      </c>
      <c r="P3">
        <v>0</v>
      </c>
      <c r="Q3">
        <v>0</v>
      </c>
      <c r="R3">
        <v>0</v>
      </c>
      <c r="S3">
        <v>0</v>
      </c>
      <c r="T3">
        <v>37.967415780000003</v>
      </c>
      <c r="U3">
        <f t="shared" ref="U3:U66" si="0">IF(OR(P3=1,Q3=1),1,0)</f>
        <v>0</v>
      </c>
      <c r="V3">
        <f t="shared" ref="V3:V66" si="1">IF(OR(R3=1,S3=1),1,0)</f>
        <v>0</v>
      </c>
    </row>
    <row r="4" spans="1:22" x14ac:dyDescent="0.2">
      <c r="A4" t="s">
        <v>75</v>
      </c>
      <c r="B4" t="s">
        <v>6</v>
      </c>
      <c r="C4" t="s">
        <v>76</v>
      </c>
      <c r="D4" t="s">
        <v>77</v>
      </c>
      <c r="E4" s="1" t="s">
        <v>85</v>
      </c>
      <c r="F4" t="s">
        <v>86</v>
      </c>
      <c r="G4">
        <v>27</v>
      </c>
      <c r="H4">
        <v>71064515</v>
      </c>
      <c r="I4">
        <v>0</v>
      </c>
      <c r="J4">
        <v>87</v>
      </c>
      <c r="K4">
        <v>91</v>
      </c>
      <c r="L4">
        <v>-71064515</v>
      </c>
      <c r="M4">
        <v>1</v>
      </c>
      <c r="N4">
        <v>0</v>
      </c>
      <c r="O4" s="1" t="s">
        <v>87</v>
      </c>
      <c r="P4">
        <v>0</v>
      </c>
      <c r="Q4">
        <v>0</v>
      </c>
      <c r="R4">
        <v>0</v>
      </c>
      <c r="S4">
        <v>0</v>
      </c>
      <c r="T4">
        <v>37.967415780000003</v>
      </c>
      <c r="U4">
        <f t="shared" si="0"/>
        <v>0</v>
      </c>
      <c r="V4">
        <f t="shared" si="1"/>
        <v>0</v>
      </c>
    </row>
    <row r="5" spans="1:22" x14ac:dyDescent="0.2">
      <c r="A5" t="s">
        <v>75</v>
      </c>
      <c r="B5" t="s">
        <v>6</v>
      </c>
      <c r="C5" t="s">
        <v>76</v>
      </c>
      <c r="D5" t="s">
        <v>77</v>
      </c>
      <c r="E5">
        <v>15</v>
      </c>
      <c r="F5" t="s">
        <v>88</v>
      </c>
      <c r="G5">
        <v>76</v>
      </c>
      <c r="H5">
        <v>14067248</v>
      </c>
      <c r="I5">
        <v>0</v>
      </c>
      <c r="J5">
        <v>60</v>
      </c>
      <c r="K5">
        <v>92</v>
      </c>
      <c r="L5">
        <v>-14067248</v>
      </c>
      <c r="M5">
        <v>1</v>
      </c>
      <c r="N5">
        <v>0</v>
      </c>
      <c r="O5">
        <v>2.61298190520848E-2</v>
      </c>
      <c r="P5">
        <v>0</v>
      </c>
      <c r="Q5">
        <v>0</v>
      </c>
      <c r="R5">
        <v>0</v>
      </c>
      <c r="S5">
        <v>0</v>
      </c>
      <c r="T5">
        <v>37.967415780000003</v>
      </c>
      <c r="U5">
        <f t="shared" si="0"/>
        <v>0</v>
      </c>
      <c r="V5">
        <f t="shared" si="1"/>
        <v>0</v>
      </c>
    </row>
    <row r="6" spans="1:22" x14ac:dyDescent="0.2">
      <c r="A6" t="s">
        <v>75</v>
      </c>
      <c r="B6" t="s">
        <v>6</v>
      </c>
      <c r="C6" t="s">
        <v>76</v>
      </c>
      <c r="D6" t="s">
        <v>77</v>
      </c>
      <c r="E6" s="1" t="s">
        <v>89</v>
      </c>
      <c r="F6" t="s">
        <v>90</v>
      </c>
      <c r="G6">
        <v>31</v>
      </c>
      <c r="H6">
        <v>19715122</v>
      </c>
      <c r="I6">
        <v>0</v>
      </c>
      <c r="J6">
        <v>90</v>
      </c>
      <c r="K6">
        <v>51</v>
      </c>
      <c r="L6">
        <v>-19715122</v>
      </c>
      <c r="M6">
        <v>1</v>
      </c>
      <c r="N6">
        <v>0</v>
      </c>
      <c r="O6">
        <v>3.66207072236003E-2</v>
      </c>
      <c r="P6">
        <v>0</v>
      </c>
      <c r="Q6">
        <v>0</v>
      </c>
      <c r="R6">
        <v>0</v>
      </c>
      <c r="S6">
        <v>0</v>
      </c>
      <c r="T6">
        <v>37.967415780000003</v>
      </c>
      <c r="U6">
        <f t="shared" si="0"/>
        <v>0</v>
      </c>
      <c r="V6">
        <f t="shared" si="1"/>
        <v>0</v>
      </c>
    </row>
    <row r="7" spans="1:22" x14ac:dyDescent="0.2">
      <c r="A7" t="s">
        <v>75</v>
      </c>
      <c r="B7" t="s">
        <v>6</v>
      </c>
      <c r="C7" t="s">
        <v>76</v>
      </c>
      <c r="D7" t="s">
        <v>77</v>
      </c>
      <c r="E7">
        <v>13</v>
      </c>
      <c r="F7" t="s">
        <v>91</v>
      </c>
      <c r="G7">
        <v>70</v>
      </c>
      <c r="H7">
        <v>1524622</v>
      </c>
      <c r="I7">
        <v>0</v>
      </c>
      <c r="J7">
        <v>55</v>
      </c>
      <c r="K7">
        <v>88</v>
      </c>
      <c r="L7">
        <v>-1524622</v>
      </c>
      <c r="M7">
        <v>1</v>
      </c>
      <c r="N7">
        <v>0</v>
      </c>
      <c r="O7">
        <v>2.8319751654927602E-3</v>
      </c>
      <c r="P7">
        <v>0</v>
      </c>
      <c r="Q7">
        <v>0</v>
      </c>
      <c r="R7">
        <v>0</v>
      </c>
      <c r="S7">
        <v>0</v>
      </c>
      <c r="T7">
        <v>37.967415780000003</v>
      </c>
      <c r="U7">
        <f t="shared" si="0"/>
        <v>0</v>
      </c>
      <c r="V7">
        <f t="shared" si="1"/>
        <v>0</v>
      </c>
    </row>
    <row r="8" spans="1:22" x14ac:dyDescent="0.2">
      <c r="A8" t="s">
        <v>75</v>
      </c>
      <c r="B8" t="s">
        <v>6</v>
      </c>
      <c r="C8" t="s">
        <v>76</v>
      </c>
      <c r="D8" t="s">
        <v>77</v>
      </c>
      <c r="E8">
        <v>15</v>
      </c>
      <c r="F8" t="s">
        <v>88</v>
      </c>
      <c r="G8">
        <v>72</v>
      </c>
      <c r="H8">
        <v>267052</v>
      </c>
      <c r="I8">
        <v>0</v>
      </c>
      <c r="J8">
        <v>115</v>
      </c>
      <c r="K8">
        <v>74</v>
      </c>
      <c r="L8">
        <v>-267052</v>
      </c>
      <c r="M8">
        <v>1</v>
      </c>
      <c r="N8">
        <v>0</v>
      </c>
      <c r="O8" s="1" t="s">
        <v>92</v>
      </c>
      <c r="P8">
        <v>0</v>
      </c>
      <c r="Q8">
        <v>0</v>
      </c>
      <c r="R8">
        <v>0</v>
      </c>
      <c r="S8">
        <v>0</v>
      </c>
      <c r="T8">
        <v>37.967415780000003</v>
      </c>
      <c r="U8">
        <f t="shared" si="0"/>
        <v>0</v>
      </c>
      <c r="V8">
        <f t="shared" si="1"/>
        <v>0</v>
      </c>
    </row>
    <row r="9" spans="1:22" x14ac:dyDescent="0.2">
      <c r="A9" t="s">
        <v>75</v>
      </c>
      <c r="B9" t="s">
        <v>6</v>
      </c>
      <c r="C9" t="s">
        <v>76</v>
      </c>
      <c r="D9" t="s">
        <v>77</v>
      </c>
      <c r="E9" s="1" t="s">
        <v>93</v>
      </c>
      <c r="F9" t="s">
        <v>94</v>
      </c>
      <c r="G9">
        <v>44</v>
      </c>
      <c r="H9">
        <v>751395</v>
      </c>
      <c r="I9">
        <v>0</v>
      </c>
      <c r="J9">
        <v>97</v>
      </c>
      <c r="K9">
        <v>103</v>
      </c>
      <c r="L9">
        <v>-751395</v>
      </c>
      <c r="M9">
        <v>1</v>
      </c>
      <c r="N9">
        <v>0</v>
      </c>
      <c r="O9">
        <v>1.3957111857728799E-3</v>
      </c>
      <c r="P9">
        <v>0</v>
      </c>
      <c r="Q9">
        <v>0</v>
      </c>
      <c r="R9">
        <v>0</v>
      </c>
      <c r="S9">
        <v>0</v>
      </c>
      <c r="T9">
        <v>37.967415780000003</v>
      </c>
      <c r="U9">
        <f t="shared" si="0"/>
        <v>0</v>
      </c>
      <c r="V9">
        <f t="shared" si="1"/>
        <v>0</v>
      </c>
    </row>
    <row r="10" spans="1:22" x14ac:dyDescent="0.2">
      <c r="A10" t="s">
        <v>75</v>
      </c>
      <c r="B10" t="s">
        <v>6</v>
      </c>
      <c r="C10" t="s">
        <v>76</v>
      </c>
      <c r="D10" t="s">
        <v>77</v>
      </c>
      <c r="E10">
        <v>16</v>
      </c>
      <c r="F10" t="s">
        <v>95</v>
      </c>
      <c r="G10">
        <v>84</v>
      </c>
      <c r="H10">
        <v>203073</v>
      </c>
      <c r="I10">
        <v>0</v>
      </c>
      <c r="J10">
        <v>129</v>
      </c>
      <c r="K10">
        <v>117</v>
      </c>
      <c r="L10">
        <v>-203073</v>
      </c>
      <c r="M10">
        <v>1</v>
      </c>
      <c r="N10">
        <v>0</v>
      </c>
      <c r="O10" s="1" t="s">
        <v>96</v>
      </c>
      <c r="P10">
        <v>0</v>
      </c>
      <c r="Q10">
        <v>0</v>
      </c>
      <c r="R10">
        <v>0</v>
      </c>
      <c r="S10">
        <v>0</v>
      </c>
      <c r="T10">
        <v>37.967415780000003</v>
      </c>
      <c r="U10">
        <f t="shared" si="0"/>
        <v>0</v>
      </c>
      <c r="V10">
        <f t="shared" si="1"/>
        <v>0</v>
      </c>
    </row>
    <row r="11" spans="1:22" x14ac:dyDescent="0.2">
      <c r="A11" t="s">
        <v>75</v>
      </c>
      <c r="B11" t="s">
        <v>6</v>
      </c>
      <c r="C11" t="s">
        <v>76</v>
      </c>
      <c r="D11" t="s">
        <v>77</v>
      </c>
      <c r="E11">
        <v>17</v>
      </c>
      <c r="F11" t="s">
        <v>97</v>
      </c>
      <c r="G11">
        <v>87</v>
      </c>
      <c r="H11">
        <v>157731</v>
      </c>
      <c r="I11">
        <v>0</v>
      </c>
      <c r="J11">
        <v>116</v>
      </c>
      <c r="K11">
        <v>96</v>
      </c>
      <c r="L11">
        <v>-157731</v>
      </c>
      <c r="M11">
        <v>1</v>
      </c>
      <c r="N11">
        <v>0</v>
      </c>
      <c r="O11" s="1" t="s">
        <v>98</v>
      </c>
      <c r="P11">
        <v>0</v>
      </c>
      <c r="Q11">
        <v>0</v>
      </c>
      <c r="R11">
        <v>0</v>
      </c>
      <c r="S11">
        <v>0</v>
      </c>
      <c r="T11">
        <v>37.967415780000003</v>
      </c>
      <c r="U11">
        <f t="shared" si="0"/>
        <v>0</v>
      </c>
      <c r="V11">
        <f t="shared" si="1"/>
        <v>0</v>
      </c>
    </row>
    <row r="12" spans="1:22" x14ac:dyDescent="0.2">
      <c r="A12" t="s">
        <v>75</v>
      </c>
      <c r="B12" t="s">
        <v>6</v>
      </c>
      <c r="C12" t="s">
        <v>76</v>
      </c>
      <c r="D12" t="s">
        <v>77</v>
      </c>
      <c r="E12" s="1" t="s">
        <v>99</v>
      </c>
      <c r="F12" t="s">
        <v>100</v>
      </c>
      <c r="G12">
        <v>40</v>
      </c>
      <c r="H12">
        <v>353856</v>
      </c>
      <c r="I12">
        <v>0</v>
      </c>
      <c r="J12">
        <v>96</v>
      </c>
      <c r="K12">
        <v>97</v>
      </c>
      <c r="L12">
        <v>-353856</v>
      </c>
      <c r="M12">
        <v>1</v>
      </c>
      <c r="N12">
        <v>0</v>
      </c>
      <c r="O12" s="1" t="s">
        <v>101</v>
      </c>
      <c r="P12">
        <v>0</v>
      </c>
      <c r="Q12">
        <v>0</v>
      </c>
      <c r="R12">
        <v>0</v>
      </c>
      <c r="S12">
        <v>0</v>
      </c>
      <c r="T12">
        <v>37.967415780000003</v>
      </c>
      <c r="U12">
        <f t="shared" si="0"/>
        <v>0</v>
      </c>
      <c r="V12">
        <f t="shared" si="1"/>
        <v>0</v>
      </c>
    </row>
    <row r="13" spans="1:22" x14ac:dyDescent="0.2">
      <c r="A13" t="s">
        <v>75</v>
      </c>
      <c r="B13" t="s">
        <v>6</v>
      </c>
      <c r="C13" t="s">
        <v>76</v>
      </c>
      <c r="D13" t="s">
        <v>77</v>
      </c>
      <c r="E13" s="1" t="s">
        <v>99</v>
      </c>
      <c r="F13" t="s">
        <v>100</v>
      </c>
      <c r="G13">
        <v>39</v>
      </c>
      <c r="H13">
        <v>83631</v>
      </c>
      <c r="I13">
        <v>0</v>
      </c>
      <c r="J13">
        <v>113</v>
      </c>
      <c r="K13">
        <v>109</v>
      </c>
      <c r="L13">
        <v>-83631</v>
      </c>
      <c r="M13">
        <v>1</v>
      </c>
      <c r="N13">
        <v>0</v>
      </c>
      <c r="O13" s="1" t="s">
        <v>102</v>
      </c>
      <c r="P13">
        <v>0</v>
      </c>
      <c r="Q13">
        <v>0</v>
      </c>
      <c r="R13">
        <v>0</v>
      </c>
      <c r="S13">
        <v>0</v>
      </c>
      <c r="T13">
        <v>37.967415780000003</v>
      </c>
      <c r="U13">
        <f t="shared" si="0"/>
        <v>0</v>
      </c>
      <c r="V13">
        <f t="shared" si="1"/>
        <v>0</v>
      </c>
    </row>
    <row r="14" spans="1:22" x14ac:dyDescent="0.2">
      <c r="A14" t="s">
        <v>75</v>
      </c>
      <c r="B14" t="s">
        <v>6</v>
      </c>
      <c r="C14" t="s">
        <v>76</v>
      </c>
      <c r="D14" t="s">
        <v>77</v>
      </c>
      <c r="E14" s="1" t="s">
        <v>82</v>
      </c>
      <c r="F14" t="s">
        <v>83</v>
      </c>
      <c r="G14">
        <v>12</v>
      </c>
      <c r="H14">
        <v>8430</v>
      </c>
      <c r="I14">
        <v>0</v>
      </c>
      <c r="J14">
        <v>83</v>
      </c>
      <c r="K14">
        <v>98</v>
      </c>
      <c r="L14">
        <v>-8430</v>
      </c>
      <c r="M14">
        <v>1</v>
      </c>
      <c r="N14">
        <v>0</v>
      </c>
      <c r="O14" s="1" t="s">
        <v>103</v>
      </c>
      <c r="P14">
        <v>0</v>
      </c>
      <c r="Q14">
        <v>0</v>
      </c>
      <c r="R14">
        <v>0</v>
      </c>
      <c r="S14">
        <v>0</v>
      </c>
      <c r="T14">
        <v>37.967415780000003</v>
      </c>
      <c r="U14">
        <f t="shared" si="0"/>
        <v>0</v>
      </c>
      <c r="V14">
        <f t="shared" si="1"/>
        <v>0</v>
      </c>
    </row>
    <row r="15" spans="1:22" x14ac:dyDescent="0.2">
      <c r="A15" t="s">
        <v>75</v>
      </c>
      <c r="B15" t="s">
        <v>6</v>
      </c>
      <c r="C15" t="s">
        <v>76</v>
      </c>
      <c r="D15" t="s">
        <v>77</v>
      </c>
      <c r="E15">
        <v>20</v>
      </c>
      <c r="F15" t="s">
        <v>104</v>
      </c>
      <c r="G15">
        <v>95</v>
      </c>
      <c r="H15">
        <v>0</v>
      </c>
      <c r="I15">
        <v>116041</v>
      </c>
      <c r="J15">
        <v>130</v>
      </c>
      <c r="K15">
        <v>64</v>
      </c>
      <c r="L15">
        <v>116041</v>
      </c>
      <c r="M15">
        <v>0</v>
      </c>
      <c r="N15">
        <v>1</v>
      </c>
      <c r="O15" s="1" t="s">
        <v>105</v>
      </c>
      <c r="P15">
        <v>0</v>
      </c>
      <c r="Q15">
        <v>0</v>
      </c>
      <c r="R15">
        <v>0</v>
      </c>
      <c r="S15">
        <v>0</v>
      </c>
      <c r="T15">
        <v>37.967415780000003</v>
      </c>
      <c r="U15">
        <f t="shared" si="0"/>
        <v>0</v>
      </c>
      <c r="V15">
        <f t="shared" si="1"/>
        <v>0</v>
      </c>
    </row>
    <row r="16" spans="1:22" x14ac:dyDescent="0.2">
      <c r="A16" t="s">
        <v>106</v>
      </c>
      <c r="B16" t="s">
        <v>7</v>
      </c>
      <c r="C16" t="s">
        <v>76</v>
      </c>
      <c r="D16" t="s">
        <v>77</v>
      </c>
      <c r="E16" s="1" t="s">
        <v>85</v>
      </c>
      <c r="F16" t="s">
        <v>86</v>
      </c>
      <c r="G16">
        <v>27</v>
      </c>
      <c r="H16">
        <v>272218459</v>
      </c>
      <c r="I16">
        <v>34225</v>
      </c>
      <c r="J16">
        <v>73</v>
      </c>
      <c r="K16">
        <v>79</v>
      </c>
      <c r="L16">
        <v>-272184234</v>
      </c>
      <c r="M16" s="1" t="s">
        <v>107</v>
      </c>
      <c r="N16" s="1" t="s">
        <v>108</v>
      </c>
      <c r="O16" s="1" t="s">
        <v>109</v>
      </c>
      <c r="P16">
        <v>0</v>
      </c>
      <c r="Q16">
        <v>0</v>
      </c>
      <c r="R16">
        <v>0</v>
      </c>
      <c r="S16">
        <v>0</v>
      </c>
      <c r="T16">
        <v>57.431486270000001</v>
      </c>
      <c r="U16">
        <f t="shared" si="0"/>
        <v>0</v>
      </c>
      <c r="V16">
        <f t="shared" si="1"/>
        <v>0</v>
      </c>
    </row>
    <row r="17" spans="1:22" x14ac:dyDescent="0.2">
      <c r="A17" t="s">
        <v>106</v>
      </c>
      <c r="B17" t="s">
        <v>7</v>
      </c>
      <c r="C17" t="s">
        <v>76</v>
      </c>
      <c r="D17" t="s">
        <v>77</v>
      </c>
      <c r="E17" s="1" t="s">
        <v>110</v>
      </c>
      <c r="F17" t="s">
        <v>111</v>
      </c>
      <c r="G17">
        <v>15</v>
      </c>
      <c r="H17">
        <v>373311108</v>
      </c>
      <c r="I17">
        <v>2728</v>
      </c>
      <c r="J17">
        <v>9</v>
      </c>
      <c r="K17">
        <v>78</v>
      </c>
      <c r="L17">
        <v>-373308380</v>
      </c>
      <c r="M17" s="1" t="s">
        <v>112</v>
      </c>
      <c r="N17" s="1" t="s">
        <v>113</v>
      </c>
      <c r="O17" s="1" t="s">
        <v>114</v>
      </c>
      <c r="P17">
        <v>0</v>
      </c>
      <c r="Q17">
        <v>0</v>
      </c>
      <c r="R17">
        <v>1</v>
      </c>
      <c r="S17">
        <v>0</v>
      </c>
      <c r="T17">
        <v>57.431486270000001</v>
      </c>
      <c r="U17">
        <f t="shared" si="0"/>
        <v>0</v>
      </c>
      <c r="V17">
        <f t="shared" si="1"/>
        <v>1</v>
      </c>
    </row>
    <row r="18" spans="1:22" x14ac:dyDescent="0.2">
      <c r="A18" t="s">
        <v>106</v>
      </c>
      <c r="B18" t="s">
        <v>7</v>
      </c>
      <c r="C18" t="s">
        <v>76</v>
      </c>
      <c r="D18" t="s">
        <v>77</v>
      </c>
      <c r="E18">
        <v>17</v>
      </c>
      <c r="F18" t="s">
        <v>97</v>
      </c>
      <c r="G18">
        <v>88</v>
      </c>
      <c r="H18">
        <v>116976625</v>
      </c>
      <c r="I18">
        <v>1370831</v>
      </c>
      <c r="J18">
        <v>12</v>
      </c>
      <c r="K18">
        <v>44</v>
      </c>
      <c r="L18">
        <v>-115605794</v>
      </c>
      <c r="M18" s="1" t="s">
        <v>115</v>
      </c>
      <c r="N18" s="1" t="s">
        <v>116</v>
      </c>
      <c r="O18">
        <v>5.9121601016478099E-2</v>
      </c>
      <c r="P18">
        <v>0</v>
      </c>
      <c r="Q18">
        <v>0</v>
      </c>
      <c r="R18">
        <v>0</v>
      </c>
      <c r="S18">
        <v>0</v>
      </c>
      <c r="T18">
        <v>57.431486270000001</v>
      </c>
      <c r="U18">
        <f t="shared" si="0"/>
        <v>0</v>
      </c>
      <c r="V18">
        <f t="shared" si="1"/>
        <v>0</v>
      </c>
    </row>
    <row r="19" spans="1:22" x14ac:dyDescent="0.2">
      <c r="A19" t="s">
        <v>106</v>
      </c>
      <c r="B19" t="s">
        <v>7</v>
      </c>
      <c r="C19" t="s">
        <v>76</v>
      </c>
      <c r="D19" t="s">
        <v>77</v>
      </c>
      <c r="E19">
        <v>15</v>
      </c>
      <c r="F19" t="s">
        <v>88</v>
      </c>
      <c r="G19">
        <v>72</v>
      </c>
      <c r="H19">
        <v>593766506</v>
      </c>
      <c r="I19">
        <v>0</v>
      </c>
      <c r="J19">
        <v>29</v>
      </c>
      <c r="K19">
        <v>74</v>
      </c>
      <c r="L19">
        <v>-593766506</v>
      </c>
      <c r="M19">
        <v>1</v>
      </c>
      <c r="N19">
        <v>0</v>
      </c>
      <c r="O19" s="1" t="s">
        <v>117</v>
      </c>
      <c r="P19">
        <v>0</v>
      </c>
      <c r="Q19">
        <v>0</v>
      </c>
      <c r="R19">
        <v>0</v>
      </c>
      <c r="S19">
        <v>0</v>
      </c>
      <c r="T19">
        <v>57.431486270000001</v>
      </c>
      <c r="U19">
        <f t="shared" si="0"/>
        <v>0</v>
      </c>
      <c r="V19">
        <f t="shared" si="1"/>
        <v>0</v>
      </c>
    </row>
    <row r="20" spans="1:22" x14ac:dyDescent="0.2">
      <c r="A20" t="s">
        <v>106</v>
      </c>
      <c r="B20" t="s">
        <v>7</v>
      </c>
      <c r="C20" t="s">
        <v>76</v>
      </c>
      <c r="D20" t="s">
        <v>77</v>
      </c>
      <c r="E20" s="1" t="s">
        <v>82</v>
      </c>
      <c r="F20" t="s">
        <v>83</v>
      </c>
      <c r="G20">
        <v>10</v>
      </c>
      <c r="H20">
        <v>64943498</v>
      </c>
      <c r="I20">
        <v>0</v>
      </c>
      <c r="J20">
        <v>63</v>
      </c>
      <c r="K20">
        <v>65</v>
      </c>
      <c r="L20">
        <v>-64943498</v>
      </c>
      <c r="M20">
        <v>1</v>
      </c>
      <c r="N20">
        <v>0</v>
      </c>
      <c r="O20">
        <v>3.2443144171772E-2</v>
      </c>
      <c r="P20">
        <v>0</v>
      </c>
      <c r="Q20">
        <v>0</v>
      </c>
      <c r="R20">
        <v>0</v>
      </c>
      <c r="S20">
        <v>0</v>
      </c>
      <c r="T20">
        <v>57.431486270000001</v>
      </c>
      <c r="U20">
        <f t="shared" si="0"/>
        <v>0</v>
      </c>
      <c r="V20">
        <f t="shared" si="1"/>
        <v>0</v>
      </c>
    </row>
    <row r="21" spans="1:22" x14ac:dyDescent="0.2">
      <c r="A21" t="s">
        <v>106</v>
      </c>
      <c r="B21" t="s">
        <v>7</v>
      </c>
      <c r="C21" t="s">
        <v>76</v>
      </c>
      <c r="D21" t="s">
        <v>77</v>
      </c>
      <c r="E21" s="1" t="s">
        <v>82</v>
      </c>
      <c r="F21" t="s">
        <v>83</v>
      </c>
      <c r="G21" s="1" t="s">
        <v>99</v>
      </c>
      <c r="H21">
        <v>13684757</v>
      </c>
      <c r="I21">
        <v>449</v>
      </c>
      <c r="J21">
        <v>25</v>
      </c>
      <c r="K21">
        <v>82</v>
      </c>
      <c r="L21">
        <v>-13684308</v>
      </c>
      <c r="M21">
        <v>0.99996719084827801</v>
      </c>
      <c r="N21" s="1" t="s">
        <v>118</v>
      </c>
      <c r="O21">
        <v>6.8365752531284896E-3</v>
      </c>
      <c r="P21">
        <v>0</v>
      </c>
      <c r="Q21">
        <v>0</v>
      </c>
      <c r="R21">
        <v>0</v>
      </c>
      <c r="S21">
        <v>0</v>
      </c>
      <c r="T21">
        <v>57.431486270000001</v>
      </c>
      <c r="U21">
        <f t="shared" si="0"/>
        <v>0</v>
      </c>
      <c r="V21">
        <f t="shared" si="1"/>
        <v>0</v>
      </c>
    </row>
    <row r="22" spans="1:22" x14ac:dyDescent="0.2">
      <c r="A22" t="s">
        <v>106</v>
      </c>
      <c r="B22" t="s">
        <v>7</v>
      </c>
      <c r="C22" t="s">
        <v>76</v>
      </c>
      <c r="D22" t="s">
        <v>77</v>
      </c>
      <c r="E22">
        <v>15</v>
      </c>
      <c r="F22" t="s">
        <v>88</v>
      </c>
      <c r="G22">
        <v>82</v>
      </c>
      <c r="H22">
        <v>11253145</v>
      </c>
      <c r="I22">
        <v>0</v>
      </c>
      <c r="J22">
        <v>17</v>
      </c>
      <c r="K22">
        <v>96</v>
      </c>
      <c r="L22">
        <v>-11253145</v>
      </c>
      <c r="M22">
        <v>1</v>
      </c>
      <c r="N22">
        <v>0</v>
      </c>
      <c r="O22">
        <v>5.62161597179221E-3</v>
      </c>
      <c r="P22">
        <v>0</v>
      </c>
      <c r="Q22">
        <v>0</v>
      </c>
      <c r="R22">
        <v>0</v>
      </c>
      <c r="S22">
        <v>0</v>
      </c>
      <c r="T22">
        <v>57.431486270000001</v>
      </c>
      <c r="U22">
        <f t="shared" si="0"/>
        <v>0</v>
      </c>
      <c r="V22">
        <f t="shared" si="1"/>
        <v>0</v>
      </c>
    </row>
    <row r="23" spans="1:22" x14ac:dyDescent="0.2">
      <c r="A23" t="s">
        <v>106</v>
      </c>
      <c r="B23" t="s">
        <v>7</v>
      </c>
      <c r="C23" t="s">
        <v>76</v>
      </c>
      <c r="D23" t="s">
        <v>77</v>
      </c>
      <c r="E23">
        <v>15</v>
      </c>
      <c r="F23" t="s">
        <v>88</v>
      </c>
      <c r="G23">
        <v>73</v>
      </c>
      <c r="H23">
        <v>17174226</v>
      </c>
      <c r="I23">
        <v>0</v>
      </c>
      <c r="J23">
        <v>42</v>
      </c>
      <c r="K23">
        <v>103</v>
      </c>
      <c r="L23">
        <v>-17174226</v>
      </c>
      <c r="M23">
        <v>1</v>
      </c>
      <c r="N23">
        <v>0</v>
      </c>
      <c r="O23">
        <v>8.5795484893129003E-3</v>
      </c>
      <c r="P23">
        <v>0</v>
      </c>
      <c r="Q23">
        <v>0</v>
      </c>
      <c r="R23">
        <v>0</v>
      </c>
      <c r="S23">
        <v>0</v>
      </c>
      <c r="T23">
        <v>57.431486270000001</v>
      </c>
      <c r="U23">
        <f t="shared" si="0"/>
        <v>0</v>
      </c>
      <c r="V23">
        <f t="shared" si="1"/>
        <v>0</v>
      </c>
    </row>
    <row r="24" spans="1:22" x14ac:dyDescent="0.2">
      <c r="A24" t="s">
        <v>106</v>
      </c>
      <c r="B24" t="s">
        <v>7</v>
      </c>
      <c r="C24" t="s">
        <v>76</v>
      </c>
      <c r="D24" t="s">
        <v>77</v>
      </c>
      <c r="E24">
        <v>10</v>
      </c>
      <c r="F24" t="s">
        <v>119</v>
      </c>
      <c r="G24">
        <v>48</v>
      </c>
      <c r="H24">
        <v>8716893</v>
      </c>
      <c r="I24">
        <v>1141</v>
      </c>
      <c r="J24">
        <v>77</v>
      </c>
      <c r="K24">
        <v>83</v>
      </c>
      <c r="L24">
        <v>-8715752</v>
      </c>
      <c r="M24" s="1" t="s">
        <v>120</v>
      </c>
      <c r="N24" s="1" t="s">
        <v>121</v>
      </c>
      <c r="O24">
        <v>4.3551770795655399E-3</v>
      </c>
      <c r="P24">
        <v>0</v>
      </c>
      <c r="Q24">
        <v>0</v>
      </c>
      <c r="R24">
        <v>0</v>
      </c>
      <c r="S24">
        <v>0</v>
      </c>
      <c r="T24">
        <v>57.431486270000001</v>
      </c>
      <c r="U24">
        <f t="shared" si="0"/>
        <v>0</v>
      </c>
      <c r="V24">
        <f t="shared" si="1"/>
        <v>0</v>
      </c>
    </row>
    <row r="25" spans="1:22" x14ac:dyDescent="0.2">
      <c r="A25" t="s">
        <v>106</v>
      </c>
      <c r="B25" t="s">
        <v>7</v>
      </c>
      <c r="C25" t="s">
        <v>76</v>
      </c>
      <c r="D25" t="s">
        <v>77</v>
      </c>
      <c r="E25" s="1" t="s">
        <v>99</v>
      </c>
      <c r="F25" t="s">
        <v>100</v>
      </c>
      <c r="G25">
        <v>40</v>
      </c>
      <c r="H25">
        <v>3350479</v>
      </c>
      <c r="I25">
        <v>0</v>
      </c>
      <c r="J25">
        <v>68</v>
      </c>
      <c r="K25">
        <v>97</v>
      </c>
      <c r="L25">
        <v>-3350479</v>
      </c>
      <c r="M25">
        <v>1</v>
      </c>
      <c r="N25">
        <v>0</v>
      </c>
      <c r="O25">
        <v>1.6737637575588301E-3</v>
      </c>
      <c r="P25">
        <v>0</v>
      </c>
      <c r="Q25">
        <v>0</v>
      </c>
      <c r="R25">
        <v>0</v>
      </c>
      <c r="S25">
        <v>0</v>
      </c>
      <c r="T25">
        <v>57.431486270000001</v>
      </c>
      <c r="U25">
        <f t="shared" si="0"/>
        <v>0</v>
      </c>
      <c r="V25">
        <f t="shared" si="1"/>
        <v>0</v>
      </c>
    </row>
    <row r="26" spans="1:22" x14ac:dyDescent="0.2">
      <c r="A26" t="s">
        <v>106</v>
      </c>
      <c r="B26" t="s">
        <v>7</v>
      </c>
      <c r="C26" t="s">
        <v>76</v>
      </c>
      <c r="D26" t="s">
        <v>77</v>
      </c>
      <c r="E26" s="1" t="s">
        <v>89</v>
      </c>
      <c r="F26" t="s">
        <v>90</v>
      </c>
      <c r="G26">
        <v>31</v>
      </c>
      <c r="H26">
        <v>7835639</v>
      </c>
      <c r="I26">
        <v>0</v>
      </c>
      <c r="J26">
        <v>103</v>
      </c>
      <c r="K26">
        <v>51</v>
      </c>
      <c r="L26">
        <v>-7835639</v>
      </c>
      <c r="M26">
        <v>1</v>
      </c>
      <c r="N26">
        <v>0</v>
      </c>
      <c r="O26">
        <v>3.9143682367549599E-3</v>
      </c>
      <c r="P26">
        <v>0</v>
      </c>
      <c r="Q26">
        <v>0</v>
      </c>
      <c r="R26">
        <v>0</v>
      </c>
      <c r="S26">
        <v>0</v>
      </c>
      <c r="T26">
        <v>57.431486270000001</v>
      </c>
      <c r="U26">
        <f t="shared" si="0"/>
        <v>0</v>
      </c>
      <c r="V26">
        <f t="shared" si="1"/>
        <v>0</v>
      </c>
    </row>
    <row r="27" spans="1:22" x14ac:dyDescent="0.2">
      <c r="A27" t="s">
        <v>106</v>
      </c>
      <c r="B27" t="s">
        <v>7</v>
      </c>
      <c r="C27" t="s">
        <v>76</v>
      </c>
      <c r="D27" t="s">
        <v>77</v>
      </c>
      <c r="E27" s="1" t="s">
        <v>89</v>
      </c>
      <c r="F27" t="s">
        <v>90</v>
      </c>
      <c r="G27">
        <v>28</v>
      </c>
      <c r="H27">
        <v>9835649</v>
      </c>
      <c r="I27">
        <v>0</v>
      </c>
      <c r="J27">
        <v>76</v>
      </c>
      <c r="K27">
        <v>85</v>
      </c>
      <c r="L27">
        <v>-9835649</v>
      </c>
      <c r="M27">
        <v>1</v>
      </c>
      <c r="N27">
        <v>0</v>
      </c>
      <c r="O27">
        <v>4.91349231804461E-3</v>
      </c>
      <c r="P27">
        <v>0</v>
      </c>
      <c r="Q27">
        <v>0</v>
      </c>
      <c r="R27">
        <v>0</v>
      </c>
      <c r="S27">
        <v>0</v>
      </c>
      <c r="T27">
        <v>57.431486270000001</v>
      </c>
      <c r="U27">
        <f t="shared" si="0"/>
        <v>0</v>
      </c>
      <c r="V27">
        <f t="shared" si="1"/>
        <v>0</v>
      </c>
    </row>
    <row r="28" spans="1:22" x14ac:dyDescent="0.2">
      <c r="A28" t="s">
        <v>106</v>
      </c>
      <c r="B28" t="s">
        <v>7</v>
      </c>
      <c r="C28" t="s">
        <v>76</v>
      </c>
      <c r="D28" t="s">
        <v>77</v>
      </c>
      <c r="E28" s="1" t="s">
        <v>99</v>
      </c>
      <c r="F28" t="s">
        <v>100</v>
      </c>
      <c r="G28">
        <v>39</v>
      </c>
      <c r="H28">
        <v>3235808</v>
      </c>
      <c r="I28">
        <v>0</v>
      </c>
      <c r="J28">
        <v>69</v>
      </c>
      <c r="K28">
        <v>109</v>
      </c>
      <c r="L28">
        <v>-3235808</v>
      </c>
      <c r="M28">
        <v>1</v>
      </c>
      <c r="N28">
        <v>0</v>
      </c>
      <c r="O28">
        <v>1.61647876522101E-3</v>
      </c>
      <c r="P28">
        <v>0</v>
      </c>
      <c r="Q28">
        <v>0</v>
      </c>
      <c r="R28">
        <v>0</v>
      </c>
      <c r="S28">
        <v>0</v>
      </c>
      <c r="T28">
        <v>57.431486270000001</v>
      </c>
      <c r="U28">
        <f t="shared" si="0"/>
        <v>0</v>
      </c>
      <c r="V28">
        <f t="shared" si="1"/>
        <v>0</v>
      </c>
    </row>
    <row r="29" spans="1:22" x14ac:dyDescent="0.2">
      <c r="A29" t="s">
        <v>106</v>
      </c>
      <c r="B29" t="s">
        <v>7</v>
      </c>
      <c r="C29" t="s">
        <v>76</v>
      </c>
      <c r="D29" t="s">
        <v>77</v>
      </c>
      <c r="E29">
        <v>16</v>
      </c>
      <c r="F29" t="s">
        <v>95</v>
      </c>
      <c r="G29">
        <v>84</v>
      </c>
      <c r="H29">
        <v>20495514</v>
      </c>
      <c r="I29">
        <v>10626</v>
      </c>
      <c r="J29">
        <v>56</v>
      </c>
      <c r="K29">
        <v>102</v>
      </c>
      <c r="L29">
        <v>-20484888</v>
      </c>
      <c r="M29" s="1" t="s">
        <v>122</v>
      </c>
      <c r="N29" s="1" t="s">
        <v>123</v>
      </c>
      <c r="O29" s="1" t="s">
        <v>124</v>
      </c>
      <c r="P29">
        <v>0</v>
      </c>
      <c r="Q29">
        <v>0</v>
      </c>
      <c r="R29">
        <v>0</v>
      </c>
      <c r="S29">
        <v>0</v>
      </c>
      <c r="T29">
        <v>57.431486270000001</v>
      </c>
      <c r="U29">
        <f t="shared" si="0"/>
        <v>0</v>
      </c>
      <c r="V29">
        <f t="shared" si="1"/>
        <v>0</v>
      </c>
    </row>
    <row r="30" spans="1:22" x14ac:dyDescent="0.2">
      <c r="A30" t="s">
        <v>106</v>
      </c>
      <c r="B30" t="s">
        <v>7</v>
      </c>
      <c r="C30" t="s">
        <v>76</v>
      </c>
      <c r="D30" t="s">
        <v>77</v>
      </c>
      <c r="E30" s="1" t="s">
        <v>89</v>
      </c>
      <c r="F30" t="s">
        <v>90</v>
      </c>
      <c r="G30">
        <v>38</v>
      </c>
      <c r="H30">
        <v>5566416</v>
      </c>
      <c r="I30">
        <v>0</v>
      </c>
      <c r="J30">
        <v>50</v>
      </c>
      <c r="K30">
        <v>87</v>
      </c>
      <c r="L30">
        <v>-5566416</v>
      </c>
      <c r="M30">
        <v>1</v>
      </c>
      <c r="N30">
        <v>0</v>
      </c>
      <c r="O30">
        <v>2.7807562322568198E-3</v>
      </c>
      <c r="P30">
        <v>0</v>
      </c>
      <c r="Q30">
        <v>0</v>
      </c>
      <c r="R30">
        <v>0</v>
      </c>
      <c r="S30">
        <v>0</v>
      </c>
      <c r="T30">
        <v>57.431486270000001</v>
      </c>
      <c r="U30">
        <f t="shared" si="0"/>
        <v>0</v>
      </c>
      <c r="V30">
        <f t="shared" si="1"/>
        <v>0</v>
      </c>
    </row>
    <row r="31" spans="1:22" x14ac:dyDescent="0.2">
      <c r="A31" t="s">
        <v>106</v>
      </c>
      <c r="B31" t="s">
        <v>7</v>
      </c>
      <c r="C31" t="s">
        <v>76</v>
      </c>
      <c r="D31" t="s">
        <v>77</v>
      </c>
      <c r="E31">
        <v>16</v>
      </c>
      <c r="F31" t="s">
        <v>95</v>
      </c>
      <c r="G31">
        <v>85</v>
      </c>
      <c r="H31">
        <v>177185588</v>
      </c>
      <c r="I31">
        <v>1160595</v>
      </c>
      <c r="J31">
        <v>19</v>
      </c>
      <c r="K31">
        <v>69</v>
      </c>
      <c r="L31">
        <v>-176024993</v>
      </c>
      <c r="M31" s="1" t="s">
        <v>125</v>
      </c>
      <c r="N31">
        <v>6.5075404501367898E-3</v>
      </c>
      <c r="O31">
        <v>8.9094537648006594E-2</v>
      </c>
      <c r="P31">
        <v>0</v>
      </c>
      <c r="Q31">
        <v>0</v>
      </c>
      <c r="R31">
        <v>0</v>
      </c>
      <c r="S31">
        <v>0</v>
      </c>
      <c r="T31">
        <v>57.431486270000001</v>
      </c>
      <c r="U31">
        <f t="shared" si="0"/>
        <v>0</v>
      </c>
      <c r="V31">
        <f t="shared" si="1"/>
        <v>0</v>
      </c>
    </row>
    <row r="32" spans="1:22" x14ac:dyDescent="0.2">
      <c r="A32" t="s">
        <v>106</v>
      </c>
      <c r="B32" t="s">
        <v>7</v>
      </c>
      <c r="C32" t="s">
        <v>76</v>
      </c>
      <c r="D32" t="s">
        <v>77</v>
      </c>
      <c r="E32">
        <v>15</v>
      </c>
      <c r="F32" t="s">
        <v>88</v>
      </c>
      <c r="G32">
        <v>74</v>
      </c>
      <c r="H32">
        <v>975164</v>
      </c>
      <c r="I32">
        <v>0</v>
      </c>
      <c r="J32">
        <v>65</v>
      </c>
      <c r="K32">
        <v>84</v>
      </c>
      <c r="L32">
        <v>-975164</v>
      </c>
      <c r="M32">
        <v>1</v>
      </c>
      <c r="N32">
        <v>0</v>
      </c>
      <c r="O32" s="1" t="s">
        <v>126</v>
      </c>
      <c r="P32">
        <v>0</v>
      </c>
      <c r="Q32">
        <v>0</v>
      </c>
      <c r="R32">
        <v>0</v>
      </c>
      <c r="S32">
        <v>0</v>
      </c>
      <c r="T32">
        <v>57.431486270000001</v>
      </c>
      <c r="U32">
        <f t="shared" si="0"/>
        <v>0</v>
      </c>
      <c r="V32">
        <f t="shared" si="1"/>
        <v>0</v>
      </c>
    </row>
    <row r="33" spans="1:22" x14ac:dyDescent="0.2">
      <c r="A33" t="s">
        <v>106</v>
      </c>
      <c r="B33" t="s">
        <v>7</v>
      </c>
      <c r="C33" t="s">
        <v>76</v>
      </c>
      <c r="D33" t="s">
        <v>77</v>
      </c>
      <c r="E33">
        <v>11</v>
      </c>
      <c r="F33" t="s">
        <v>127</v>
      </c>
      <c r="G33">
        <v>56</v>
      </c>
      <c r="H33">
        <v>2184567</v>
      </c>
      <c r="I33">
        <v>0</v>
      </c>
      <c r="J33">
        <v>33</v>
      </c>
      <c r="K33">
        <v>77</v>
      </c>
      <c r="L33">
        <v>-2184567</v>
      </c>
      <c r="M33">
        <v>1</v>
      </c>
      <c r="N33">
        <v>0</v>
      </c>
      <c r="O33">
        <v>1.09132129183887E-3</v>
      </c>
      <c r="P33">
        <v>0</v>
      </c>
      <c r="Q33">
        <v>0</v>
      </c>
      <c r="R33">
        <v>0</v>
      </c>
      <c r="S33">
        <v>0</v>
      </c>
      <c r="T33">
        <v>57.431486270000001</v>
      </c>
      <c r="U33">
        <f t="shared" si="0"/>
        <v>0</v>
      </c>
      <c r="V33">
        <f t="shared" si="1"/>
        <v>0</v>
      </c>
    </row>
    <row r="34" spans="1:22" x14ac:dyDescent="0.2">
      <c r="A34" t="s">
        <v>106</v>
      </c>
      <c r="B34" t="s">
        <v>7</v>
      </c>
      <c r="C34" t="s">
        <v>76</v>
      </c>
      <c r="D34" t="s">
        <v>77</v>
      </c>
      <c r="E34" s="1" t="s">
        <v>85</v>
      </c>
      <c r="F34" t="s">
        <v>86</v>
      </c>
      <c r="G34">
        <v>25</v>
      </c>
      <c r="H34">
        <v>1386758</v>
      </c>
      <c r="I34">
        <v>78</v>
      </c>
      <c r="J34">
        <v>69</v>
      </c>
      <c r="K34">
        <v>89</v>
      </c>
      <c r="L34">
        <v>-1386680</v>
      </c>
      <c r="M34" s="1" t="s">
        <v>128</v>
      </c>
      <c r="N34" s="1" t="s">
        <v>129</v>
      </c>
      <c r="O34" s="1" t="s">
        <v>130</v>
      </c>
      <c r="P34">
        <v>0</v>
      </c>
      <c r="Q34">
        <v>0</v>
      </c>
      <c r="R34">
        <v>0</v>
      </c>
      <c r="S34">
        <v>0</v>
      </c>
      <c r="T34">
        <v>57.431486270000001</v>
      </c>
      <c r="U34">
        <f t="shared" si="0"/>
        <v>0</v>
      </c>
      <c r="V34">
        <f t="shared" si="1"/>
        <v>0</v>
      </c>
    </row>
    <row r="35" spans="1:22" x14ac:dyDescent="0.2">
      <c r="A35" t="s">
        <v>106</v>
      </c>
      <c r="B35" t="s">
        <v>7</v>
      </c>
      <c r="C35" t="s">
        <v>76</v>
      </c>
      <c r="D35" t="s">
        <v>77</v>
      </c>
      <c r="E35">
        <v>17</v>
      </c>
      <c r="F35" t="s">
        <v>97</v>
      </c>
      <c r="G35">
        <v>87</v>
      </c>
      <c r="H35">
        <v>92181856</v>
      </c>
      <c r="I35">
        <v>0</v>
      </c>
      <c r="J35">
        <v>16</v>
      </c>
      <c r="K35">
        <v>96</v>
      </c>
      <c r="L35">
        <v>-92181856</v>
      </c>
      <c r="M35">
        <v>1</v>
      </c>
      <c r="N35">
        <v>0</v>
      </c>
      <c r="O35">
        <v>4.6050325842157902E-2</v>
      </c>
      <c r="P35">
        <v>0</v>
      </c>
      <c r="Q35">
        <v>0</v>
      </c>
      <c r="R35">
        <v>0</v>
      </c>
      <c r="S35">
        <v>0</v>
      </c>
      <c r="T35">
        <v>57.431486270000001</v>
      </c>
      <c r="U35">
        <f t="shared" si="0"/>
        <v>0</v>
      </c>
      <c r="V35">
        <f t="shared" si="1"/>
        <v>0</v>
      </c>
    </row>
    <row r="36" spans="1:22" x14ac:dyDescent="0.2">
      <c r="A36" t="s">
        <v>106</v>
      </c>
      <c r="B36" t="s">
        <v>7</v>
      </c>
      <c r="C36" t="s">
        <v>76</v>
      </c>
      <c r="D36" t="s">
        <v>77</v>
      </c>
      <c r="E36" s="1" t="s">
        <v>89</v>
      </c>
      <c r="F36" t="s">
        <v>90</v>
      </c>
      <c r="G36">
        <v>29</v>
      </c>
      <c r="H36">
        <v>1237632</v>
      </c>
      <c r="I36">
        <v>0</v>
      </c>
      <c r="J36">
        <v>89</v>
      </c>
      <c r="K36">
        <v>81</v>
      </c>
      <c r="L36">
        <v>-1237632</v>
      </c>
      <c r="M36">
        <v>1</v>
      </c>
      <c r="N36">
        <v>0</v>
      </c>
      <c r="O36" s="1" t="s">
        <v>131</v>
      </c>
      <c r="P36">
        <v>0</v>
      </c>
      <c r="Q36">
        <v>0</v>
      </c>
      <c r="R36">
        <v>0</v>
      </c>
      <c r="S36">
        <v>0</v>
      </c>
      <c r="T36">
        <v>57.431486270000001</v>
      </c>
      <c r="U36">
        <f t="shared" si="0"/>
        <v>0</v>
      </c>
      <c r="V36">
        <f t="shared" si="1"/>
        <v>0</v>
      </c>
    </row>
    <row r="37" spans="1:22" x14ac:dyDescent="0.2">
      <c r="A37" t="s">
        <v>106</v>
      </c>
      <c r="B37" t="s">
        <v>7</v>
      </c>
      <c r="C37" t="s">
        <v>76</v>
      </c>
      <c r="D37" t="s">
        <v>77</v>
      </c>
      <c r="E37" s="1" t="s">
        <v>89</v>
      </c>
      <c r="F37" t="s">
        <v>90</v>
      </c>
      <c r="G37">
        <v>33</v>
      </c>
      <c r="H37">
        <v>2167750</v>
      </c>
      <c r="I37">
        <v>0</v>
      </c>
      <c r="J37">
        <v>53</v>
      </c>
      <c r="K37">
        <v>95</v>
      </c>
      <c r="L37">
        <v>-2167750</v>
      </c>
      <c r="M37">
        <v>1</v>
      </c>
      <c r="N37">
        <v>0</v>
      </c>
      <c r="O37">
        <v>1.08292019900681E-3</v>
      </c>
      <c r="P37">
        <v>0</v>
      </c>
      <c r="Q37">
        <v>0</v>
      </c>
      <c r="R37">
        <v>0</v>
      </c>
      <c r="S37">
        <v>0</v>
      </c>
      <c r="T37">
        <v>57.431486270000001</v>
      </c>
      <c r="U37">
        <f t="shared" si="0"/>
        <v>0</v>
      </c>
      <c r="V37">
        <f t="shared" si="1"/>
        <v>0</v>
      </c>
    </row>
    <row r="38" spans="1:22" x14ac:dyDescent="0.2">
      <c r="A38" t="s">
        <v>106</v>
      </c>
      <c r="B38" t="s">
        <v>7</v>
      </c>
      <c r="C38" t="s">
        <v>76</v>
      </c>
      <c r="D38" t="s">
        <v>77</v>
      </c>
      <c r="E38">
        <v>15</v>
      </c>
      <c r="F38" t="s">
        <v>88</v>
      </c>
      <c r="G38">
        <v>78</v>
      </c>
      <c r="H38">
        <v>188348</v>
      </c>
      <c r="I38">
        <v>0</v>
      </c>
      <c r="J38">
        <v>48</v>
      </c>
      <c r="K38">
        <v>44</v>
      </c>
      <c r="L38">
        <v>-188348</v>
      </c>
      <c r="M38">
        <v>1</v>
      </c>
      <c r="N38">
        <v>0</v>
      </c>
      <c r="O38" s="1" t="s">
        <v>132</v>
      </c>
      <c r="P38">
        <v>0</v>
      </c>
      <c r="Q38">
        <v>0</v>
      </c>
      <c r="R38">
        <v>0</v>
      </c>
      <c r="S38">
        <v>0</v>
      </c>
      <c r="T38">
        <v>57.431486270000001</v>
      </c>
      <c r="U38">
        <f t="shared" si="0"/>
        <v>0</v>
      </c>
      <c r="V38">
        <f t="shared" si="1"/>
        <v>0</v>
      </c>
    </row>
    <row r="39" spans="1:22" x14ac:dyDescent="0.2">
      <c r="A39" t="s">
        <v>106</v>
      </c>
      <c r="B39" t="s">
        <v>7</v>
      </c>
      <c r="C39" t="s">
        <v>76</v>
      </c>
      <c r="D39" t="s">
        <v>77</v>
      </c>
      <c r="E39" s="1" t="s">
        <v>93</v>
      </c>
      <c r="F39" t="s">
        <v>94</v>
      </c>
      <c r="G39">
        <v>44</v>
      </c>
      <c r="H39">
        <v>418087</v>
      </c>
      <c r="I39">
        <v>0</v>
      </c>
      <c r="J39">
        <v>104</v>
      </c>
      <c r="K39">
        <v>103</v>
      </c>
      <c r="L39">
        <v>-418087</v>
      </c>
      <c r="M39">
        <v>1</v>
      </c>
      <c r="N39">
        <v>0</v>
      </c>
      <c r="O39" s="1" t="s">
        <v>133</v>
      </c>
      <c r="P39">
        <v>0</v>
      </c>
      <c r="Q39">
        <v>0</v>
      </c>
      <c r="R39">
        <v>0</v>
      </c>
      <c r="S39">
        <v>0</v>
      </c>
      <c r="T39">
        <v>57.431486270000001</v>
      </c>
      <c r="U39">
        <f t="shared" si="0"/>
        <v>0</v>
      </c>
      <c r="V39">
        <f t="shared" si="1"/>
        <v>0</v>
      </c>
    </row>
    <row r="40" spans="1:22" x14ac:dyDescent="0.2">
      <c r="A40" t="s">
        <v>106</v>
      </c>
      <c r="B40" t="s">
        <v>7</v>
      </c>
      <c r="C40" t="s">
        <v>76</v>
      </c>
      <c r="D40" t="s">
        <v>77</v>
      </c>
      <c r="E40" s="1" t="s">
        <v>82</v>
      </c>
      <c r="F40" t="s">
        <v>83</v>
      </c>
      <c r="G40">
        <v>11</v>
      </c>
      <c r="H40">
        <v>444444</v>
      </c>
      <c r="I40">
        <v>0</v>
      </c>
      <c r="J40">
        <v>56</v>
      </c>
      <c r="K40">
        <v>71</v>
      </c>
      <c r="L40">
        <v>-444444</v>
      </c>
      <c r="M40">
        <v>1</v>
      </c>
      <c r="N40">
        <v>0</v>
      </c>
      <c r="O40" s="1" t="s">
        <v>134</v>
      </c>
      <c r="P40">
        <v>0</v>
      </c>
      <c r="Q40">
        <v>0</v>
      </c>
      <c r="R40">
        <v>0</v>
      </c>
      <c r="S40">
        <v>0</v>
      </c>
      <c r="T40">
        <v>57.431486270000001</v>
      </c>
      <c r="U40">
        <f t="shared" si="0"/>
        <v>0</v>
      </c>
      <c r="V40">
        <f t="shared" si="1"/>
        <v>0</v>
      </c>
    </row>
    <row r="41" spans="1:22" x14ac:dyDescent="0.2">
      <c r="A41" t="s">
        <v>106</v>
      </c>
      <c r="B41" t="s">
        <v>7</v>
      </c>
      <c r="C41" t="s">
        <v>76</v>
      </c>
      <c r="D41" t="s">
        <v>77</v>
      </c>
      <c r="E41" s="1" t="s">
        <v>89</v>
      </c>
      <c r="F41" t="s">
        <v>90</v>
      </c>
      <c r="G41">
        <v>32</v>
      </c>
      <c r="H41">
        <v>2550816</v>
      </c>
      <c r="I41">
        <v>0</v>
      </c>
      <c r="J41">
        <v>33</v>
      </c>
      <c r="K41">
        <v>80</v>
      </c>
      <c r="L41">
        <v>-2550816</v>
      </c>
      <c r="M41">
        <v>1</v>
      </c>
      <c r="N41">
        <v>0</v>
      </c>
      <c r="O41">
        <v>1.2742844748470799E-3</v>
      </c>
      <c r="P41">
        <v>0</v>
      </c>
      <c r="Q41">
        <v>0</v>
      </c>
      <c r="R41">
        <v>0</v>
      </c>
      <c r="S41">
        <v>0</v>
      </c>
      <c r="T41">
        <v>57.431486270000001</v>
      </c>
      <c r="U41">
        <f t="shared" si="0"/>
        <v>0</v>
      </c>
      <c r="V41">
        <f t="shared" si="1"/>
        <v>0</v>
      </c>
    </row>
    <row r="42" spans="1:22" x14ac:dyDescent="0.2">
      <c r="A42" t="s">
        <v>106</v>
      </c>
      <c r="B42" t="s">
        <v>7</v>
      </c>
      <c r="C42" t="s">
        <v>76</v>
      </c>
      <c r="D42" t="s">
        <v>77</v>
      </c>
      <c r="E42">
        <v>10</v>
      </c>
      <c r="F42" t="s">
        <v>119</v>
      </c>
      <c r="G42">
        <v>49</v>
      </c>
      <c r="H42">
        <v>671883</v>
      </c>
      <c r="I42">
        <v>0</v>
      </c>
      <c r="J42">
        <v>47</v>
      </c>
      <c r="K42">
        <v>109</v>
      </c>
      <c r="L42">
        <v>-671883</v>
      </c>
      <c r="M42">
        <v>1</v>
      </c>
      <c r="N42">
        <v>0</v>
      </c>
      <c r="O42" s="1" t="s">
        <v>135</v>
      </c>
      <c r="P42">
        <v>0</v>
      </c>
      <c r="Q42">
        <v>0</v>
      </c>
      <c r="R42">
        <v>0</v>
      </c>
      <c r="S42">
        <v>0</v>
      </c>
      <c r="T42">
        <v>57.431486270000001</v>
      </c>
      <c r="U42">
        <f t="shared" si="0"/>
        <v>0</v>
      </c>
      <c r="V42">
        <f t="shared" si="1"/>
        <v>0</v>
      </c>
    </row>
    <row r="43" spans="1:22" x14ac:dyDescent="0.2">
      <c r="A43" t="s">
        <v>106</v>
      </c>
      <c r="B43" t="s">
        <v>7</v>
      </c>
      <c r="C43" t="s">
        <v>76</v>
      </c>
      <c r="D43" t="s">
        <v>77</v>
      </c>
      <c r="E43" s="1" t="s">
        <v>82</v>
      </c>
      <c r="F43" t="s">
        <v>83</v>
      </c>
      <c r="G43" s="1" t="s">
        <v>93</v>
      </c>
      <c r="H43">
        <v>141807</v>
      </c>
      <c r="I43">
        <v>0</v>
      </c>
      <c r="J43">
        <v>53</v>
      </c>
      <c r="K43">
        <v>110</v>
      </c>
      <c r="L43">
        <v>-141807</v>
      </c>
      <c r="M43">
        <v>1</v>
      </c>
      <c r="N43">
        <v>0</v>
      </c>
      <c r="O43" s="1" t="s">
        <v>136</v>
      </c>
      <c r="P43">
        <v>0</v>
      </c>
      <c r="Q43">
        <v>0</v>
      </c>
      <c r="R43">
        <v>0</v>
      </c>
      <c r="S43">
        <v>0</v>
      </c>
      <c r="T43">
        <v>57.431486270000001</v>
      </c>
      <c r="U43">
        <f t="shared" si="0"/>
        <v>0</v>
      </c>
      <c r="V43">
        <f t="shared" si="1"/>
        <v>0</v>
      </c>
    </row>
    <row r="44" spans="1:22" x14ac:dyDescent="0.2">
      <c r="A44" t="s">
        <v>106</v>
      </c>
      <c r="B44" t="s">
        <v>7</v>
      </c>
      <c r="C44" t="s">
        <v>76</v>
      </c>
      <c r="D44" t="s">
        <v>77</v>
      </c>
      <c r="E44" s="1" t="s">
        <v>89</v>
      </c>
      <c r="F44" t="s">
        <v>90</v>
      </c>
      <c r="G44">
        <v>34</v>
      </c>
      <c r="H44">
        <v>163431</v>
      </c>
      <c r="I44">
        <v>0</v>
      </c>
      <c r="J44">
        <v>79</v>
      </c>
      <c r="K44">
        <v>87</v>
      </c>
      <c r="L44">
        <v>-163431</v>
      </c>
      <c r="M44">
        <v>1</v>
      </c>
      <c r="N44">
        <v>0</v>
      </c>
      <c r="O44" s="1" t="s">
        <v>137</v>
      </c>
      <c r="P44">
        <v>0</v>
      </c>
      <c r="Q44">
        <v>0</v>
      </c>
      <c r="R44">
        <v>0</v>
      </c>
      <c r="S44">
        <v>0</v>
      </c>
      <c r="T44">
        <v>57.431486270000001</v>
      </c>
      <c r="U44">
        <f t="shared" si="0"/>
        <v>0</v>
      </c>
      <c r="V44">
        <f t="shared" si="1"/>
        <v>0</v>
      </c>
    </row>
    <row r="45" spans="1:22" x14ac:dyDescent="0.2">
      <c r="A45" t="s">
        <v>106</v>
      </c>
      <c r="B45" t="s">
        <v>7</v>
      </c>
      <c r="C45" t="s">
        <v>76</v>
      </c>
      <c r="D45" t="s">
        <v>77</v>
      </c>
      <c r="E45" s="1" t="s">
        <v>138</v>
      </c>
      <c r="F45" t="s">
        <v>139</v>
      </c>
      <c r="G45">
        <v>17</v>
      </c>
      <c r="H45">
        <v>73915</v>
      </c>
      <c r="I45">
        <v>645</v>
      </c>
      <c r="J45">
        <v>82</v>
      </c>
      <c r="K45">
        <v>80</v>
      </c>
      <c r="L45">
        <v>-73270</v>
      </c>
      <c r="M45" s="1" t="s">
        <v>140</v>
      </c>
      <c r="N45">
        <v>8.6507510729613695E-3</v>
      </c>
      <c r="O45" s="1" t="s">
        <v>141</v>
      </c>
      <c r="P45">
        <v>0</v>
      </c>
      <c r="Q45">
        <v>0</v>
      </c>
      <c r="R45">
        <v>0</v>
      </c>
      <c r="S45">
        <v>0</v>
      </c>
      <c r="T45">
        <v>57.431486270000001</v>
      </c>
      <c r="U45">
        <f t="shared" si="0"/>
        <v>0</v>
      </c>
      <c r="V45">
        <f t="shared" si="1"/>
        <v>0</v>
      </c>
    </row>
    <row r="46" spans="1:22" x14ac:dyDescent="0.2">
      <c r="A46" t="s">
        <v>106</v>
      </c>
      <c r="B46" t="s">
        <v>7</v>
      </c>
      <c r="C46" t="s">
        <v>76</v>
      </c>
      <c r="D46" t="s">
        <v>77</v>
      </c>
      <c r="E46">
        <v>13</v>
      </c>
      <c r="F46" t="s">
        <v>91</v>
      </c>
      <c r="G46">
        <v>70</v>
      </c>
      <c r="H46">
        <v>132881</v>
      </c>
      <c r="I46">
        <v>0</v>
      </c>
      <c r="J46">
        <v>87</v>
      </c>
      <c r="K46">
        <v>88</v>
      </c>
      <c r="L46">
        <v>-132881</v>
      </c>
      <c r="M46">
        <v>1</v>
      </c>
      <c r="N46">
        <v>0</v>
      </c>
      <c r="O46" s="1" t="s">
        <v>142</v>
      </c>
      <c r="P46">
        <v>0</v>
      </c>
      <c r="Q46">
        <v>0</v>
      </c>
      <c r="R46">
        <v>0</v>
      </c>
      <c r="S46">
        <v>0</v>
      </c>
      <c r="T46">
        <v>57.431486270000001</v>
      </c>
      <c r="U46">
        <f t="shared" si="0"/>
        <v>0</v>
      </c>
      <c r="V46">
        <f t="shared" si="1"/>
        <v>0</v>
      </c>
    </row>
    <row r="47" spans="1:22" x14ac:dyDescent="0.2">
      <c r="A47" t="s">
        <v>106</v>
      </c>
      <c r="B47" t="s">
        <v>7</v>
      </c>
      <c r="C47" t="s">
        <v>76</v>
      </c>
      <c r="D47" t="s">
        <v>77</v>
      </c>
      <c r="E47" s="1" t="s">
        <v>89</v>
      </c>
      <c r="F47" t="s">
        <v>90</v>
      </c>
      <c r="G47">
        <v>30</v>
      </c>
      <c r="H47">
        <v>39618</v>
      </c>
      <c r="I47">
        <v>0</v>
      </c>
      <c r="J47">
        <v>109</v>
      </c>
      <c r="K47">
        <v>91</v>
      </c>
      <c r="L47">
        <v>-39618</v>
      </c>
      <c r="M47">
        <v>1</v>
      </c>
      <c r="N47">
        <v>0</v>
      </c>
      <c r="O47" s="1" t="s">
        <v>143</v>
      </c>
      <c r="P47">
        <v>0</v>
      </c>
      <c r="Q47">
        <v>0</v>
      </c>
      <c r="R47">
        <v>0</v>
      </c>
      <c r="S47">
        <v>0</v>
      </c>
      <c r="T47">
        <v>57.431486270000001</v>
      </c>
      <c r="U47">
        <f t="shared" si="0"/>
        <v>0</v>
      </c>
      <c r="V47">
        <f t="shared" si="1"/>
        <v>0</v>
      </c>
    </row>
    <row r="48" spans="1:22" x14ac:dyDescent="0.2">
      <c r="A48" t="s">
        <v>106</v>
      </c>
      <c r="B48" t="s">
        <v>7</v>
      </c>
      <c r="C48" t="s">
        <v>76</v>
      </c>
      <c r="D48" t="s">
        <v>77</v>
      </c>
      <c r="E48" s="1" t="s">
        <v>82</v>
      </c>
      <c r="F48" t="s">
        <v>83</v>
      </c>
      <c r="G48">
        <v>12</v>
      </c>
      <c r="H48">
        <v>87246</v>
      </c>
      <c r="I48">
        <v>717493</v>
      </c>
      <c r="J48">
        <v>72</v>
      </c>
      <c r="K48">
        <v>50</v>
      </c>
      <c r="L48">
        <v>630247</v>
      </c>
      <c r="M48" s="1" t="s">
        <v>144</v>
      </c>
      <c r="N48" s="1" t="s">
        <v>145</v>
      </c>
      <c r="O48" s="1" t="s">
        <v>146</v>
      </c>
      <c r="P48">
        <v>0</v>
      </c>
      <c r="Q48">
        <v>0</v>
      </c>
      <c r="R48">
        <v>0</v>
      </c>
      <c r="S48">
        <v>0</v>
      </c>
      <c r="T48">
        <v>57.431486270000001</v>
      </c>
      <c r="U48">
        <f t="shared" si="0"/>
        <v>0</v>
      </c>
      <c r="V48">
        <f t="shared" si="1"/>
        <v>0</v>
      </c>
    </row>
    <row r="49" spans="1:22" x14ac:dyDescent="0.2">
      <c r="A49" t="s">
        <v>106</v>
      </c>
      <c r="B49" t="s">
        <v>7</v>
      </c>
      <c r="C49" t="s">
        <v>76</v>
      </c>
      <c r="D49" t="s">
        <v>77</v>
      </c>
      <c r="E49">
        <v>18</v>
      </c>
      <c r="F49" t="s">
        <v>147</v>
      </c>
      <c r="G49">
        <v>90</v>
      </c>
      <c r="H49">
        <v>1307059</v>
      </c>
      <c r="I49">
        <v>1001</v>
      </c>
      <c r="J49">
        <v>76</v>
      </c>
      <c r="K49">
        <v>98</v>
      </c>
      <c r="L49">
        <v>-1306058</v>
      </c>
      <c r="M49" s="1" t="s">
        <v>148</v>
      </c>
      <c r="N49" s="1" t="s">
        <v>149</v>
      </c>
      <c r="O49" s="1" t="s">
        <v>150</v>
      </c>
      <c r="P49">
        <v>0</v>
      </c>
      <c r="Q49">
        <v>0</v>
      </c>
      <c r="R49">
        <v>0</v>
      </c>
      <c r="S49">
        <v>0</v>
      </c>
      <c r="T49">
        <v>57.431486270000001</v>
      </c>
      <c r="U49">
        <f t="shared" si="0"/>
        <v>0</v>
      </c>
      <c r="V49">
        <f t="shared" si="1"/>
        <v>0</v>
      </c>
    </row>
    <row r="50" spans="1:22" x14ac:dyDescent="0.2">
      <c r="A50" t="s">
        <v>106</v>
      </c>
      <c r="B50" t="s">
        <v>7</v>
      </c>
      <c r="C50" t="s">
        <v>76</v>
      </c>
      <c r="D50" t="s">
        <v>77</v>
      </c>
      <c r="E50">
        <v>13</v>
      </c>
      <c r="F50" t="s">
        <v>91</v>
      </c>
      <c r="G50">
        <v>68</v>
      </c>
      <c r="H50">
        <v>29013</v>
      </c>
      <c r="I50">
        <v>0</v>
      </c>
      <c r="J50">
        <v>95</v>
      </c>
      <c r="K50">
        <v>85</v>
      </c>
      <c r="L50">
        <v>-29013</v>
      </c>
      <c r="M50">
        <v>1</v>
      </c>
      <c r="N50">
        <v>0</v>
      </c>
      <c r="O50" s="1" t="s">
        <v>151</v>
      </c>
      <c r="P50">
        <v>0</v>
      </c>
      <c r="Q50">
        <v>0</v>
      </c>
      <c r="R50">
        <v>0</v>
      </c>
      <c r="S50">
        <v>0</v>
      </c>
      <c r="T50">
        <v>57.431486270000001</v>
      </c>
      <c r="U50">
        <f t="shared" si="0"/>
        <v>0</v>
      </c>
      <c r="V50">
        <f t="shared" si="1"/>
        <v>0</v>
      </c>
    </row>
    <row r="51" spans="1:22" x14ac:dyDescent="0.2">
      <c r="A51" t="s">
        <v>106</v>
      </c>
      <c r="B51" t="s">
        <v>7</v>
      </c>
      <c r="C51" t="s">
        <v>76</v>
      </c>
      <c r="D51" t="s">
        <v>77</v>
      </c>
      <c r="E51">
        <v>11</v>
      </c>
      <c r="F51" t="s">
        <v>127</v>
      </c>
      <c r="G51">
        <v>62</v>
      </c>
      <c r="H51">
        <v>5102</v>
      </c>
      <c r="I51">
        <v>0</v>
      </c>
      <c r="J51">
        <v>98</v>
      </c>
      <c r="K51">
        <v>105</v>
      </c>
      <c r="L51">
        <v>-5102</v>
      </c>
      <c r="M51">
        <v>1</v>
      </c>
      <c r="N51">
        <v>0</v>
      </c>
      <c r="O51" s="1" t="s">
        <v>152</v>
      </c>
      <c r="P51">
        <v>0</v>
      </c>
      <c r="Q51">
        <v>0</v>
      </c>
      <c r="R51">
        <v>0</v>
      </c>
      <c r="S51">
        <v>0</v>
      </c>
      <c r="T51">
        <v>57.431486270000001</v>
      </c>
      <c r="U51">
        <f t="shared" si="0"/>
        <v>0</v>
      </c>
      <c r="V51">
        <f t="shared" si="1"/>
        <v>0</v>
      </c>
    </row>
    <row r="52" spans="1:22" x14ac:dyDescent="0.2">
      <c r="A52" t="s">
        <v>106</v>
      </c>
      <c r="B52" t="s">
        <v>7</v>
      </c>
      <c r="C52" t="s">
        <v>76</v>
      </c>
      <c r="D52" t="s">
        <v>77</v>
      </c>
      <c r="E52">
        <v>15</v>
      </c>
      <c r="F52" t="s">
        <v>88</v>
      </c>
      <c r="G52">
        <v>83</v>
      </c>
      <c r="H52">
        <v>106275</v>
      </c>
      <c r="I52">
        <v>0</v>
      </c>
      <c r="J52">
        <v>61</v>
      </c>
      <c r="K52">
        <v>85</v>
      </c>
      <c r="L52">
        <v>-106275</v>
      </c>
      <c r="M52">
        <v>1</v>
      </c>
      <c r="N52">
        <v>0</v>
      </c>
      <c r="O52" s="1" t="s">
        <v>153</v>
      </c>
      <c r="P52">
        <v>0</v>
      </c>
      <c r="Q52">
        <v>0</v>
      </c>
      <c r="R52">
        <v>0</v>
      </c>
      <c r="S52">
        <v>0</v>
      </c>
      <c r="T52">
        <v>57.431486270000001</v>
      </c>
      <c r="U52">
        <f t="shared" si="0"/>
        <v>0</v>
      </c>
      <c r="V52">
        <f t="shared" si="1"/>
        <v>0</v>
      </c>
    </row>
    <row r="53" spans="1:22" x14ac:dyDescent="0.2">
      <c r="A53" t="s">
        <v>106</v>
      </c>
      <c r="B53" t="s">
        <v>7</v>
      </c>
      <c r="C53" t="s">
        <v>76</v>
      </c>
      <c r="D53" t="s">
        <v>77</v>
      </c>
      <c r="E53">
        <v>11</v>
      </c>
      <c r="F53" t="s">
        <v>127</v>
      </c>
      <c r="G53">
        <v>63</v>
      </c>
      <c r="H53">
        <v>6051</v>
      </c>
      <c r="I53">
        <v>0</v>
      </c>
      <c r="J53">
        <v>103</v>
      </c>
      <c r="K53">
        <v>108</v>
      </c>
      <c r="L53">
        <v>-6051</v>
      </c>
      <c r="M53">
        <v>1</v>
      </c>
      <c r="N53">
        <v>0</v>
      </c>
      <c r="O53" s="1" t="s">
        <v>154</v>
      </c>
      <c r="P53">
        <v>0</v>
      </c>
      <c r="Q53">
        <v>0</v>
      </c>
      <c r="R53">
        <v>0</v>
      </c>
      <c r="S53">
        <v>0</v>
      </c>
      <c r="T53">
        <v>57.431486270000001</v>
      </c>
      <c r="U53">
        <f t="shared" si="0"/>
        <v>0</v>
      </c>
      <c r="V53">
        <f t="shared" si="1"/>
        <v>0</v>
      </c>
    </row>
    <row r="54" spans="1:22" x14ac:dyDescent="0.2">
      <c r="A54" t="s">
        <v>106</v>
      </c>
      <c r="B54" t="s">
        <v>7</v>
      </c>
      <c r="C54" t="s">
        <v>76</v>
      </c>
      <c r="D54" t="s">
        <v>77</v>
      </c>
      <c r="E54" s="1" t="s">
        <v>155</v>
      </c>
      <c r="F54" t="s">
        <v>156</v>
      </c>
      <c r="G54" s="1" t="s">
        <v>110</v>
      </c>
      <c r="H54">
        <v>2715</v>
      </c>
      <c r="I54">
        <v>0</v>
      </c>
      <c r="J54">
        <v>97</v>
      </c>
      <c r="K54">
        <v>77</v>
      </c>
      <c r="L54">
        <v>-2715</v>
      </c>
      <c r="M54">
        <v>1</v>
      </c>
      <c r="N54">
        <v>0</v>
      </c>
      <c r="O54" s="1" t="s">
        <v>157</v>
      </c>
      <c r="P54">
        <v>0</v>
      </c>
      <c r="Q54">
        <v>0</v>
      </c>
      <c r="R54">
        <v>0</v>
      </c>
      <c r="S54">
        <v>0</v>
      </c>
      <c r="T54">
        <v>57.431486270000001</v>
      </c>
      <c r="U54">
        <f t="shared" si="0"/>
        <v>0</v>
      </c>
      <c r="V54">
        <f t="shared" si="1"/>
        <v>0</v>
      </c>
    </row>
    <row r="55" spans="1:22" x14ac:dyDescent="0.2">
      <c r="A55" t="s">
        <v>106</v>
      </c>
      <c r="B55" t="s">
        <v>7</v>
      </c>
      <c r="C55" t="s">
        <v>76</v>
      </c>
      <c r="D55" t="s">
        <v>77</v>
      </c>
      <c r="E55">
        <v>15</v>
      </c>
      <c r="F55" t="s">
        <v>88</v>
      </c>
      <c r="G55">
        <v>76</v>
      </c>
      <c r="H55">
        <v>101659</v>
      </c>
      <c r="I55">
        <v>0</v>
      </c>
      <c r="J55">
        <v>100</v>
      </c>
      <c r="K55">
        <v>92</v>
      </c>
      <c r="L55">
        <v>-101659</v>
      </c>
      <c r="M55">
        <v>1</v>
      </c>
      <c r="N55">
        <v>0</v>
      </c>
      <c r="O55" s="1" t="s">
        <v>158</v>
      </c>
      <c r="P55">
        <v>0</v>
      </c>
      <c r="Q55">
        <v>0</v>
      </c>
      <c r="R55">
        <v>0</v>
      </c>
      <c r="S55">
        <v>0</v>
      </c>
      <c r="T55">
        <v>57.431486270000001</v>
      </c>
      <c r="U55">
        <f t="shared" si="0"/>
        <v>0</v>
      </c>
      <c r="V55">
        <f t="shared" si="1"/>
        <v>0</v>
      </c>
    </row>
    <row r="56" spans="1:22" x14ac:dyDescent="0.2">
      <c r="A56" t="s">
        <v>106</v>
      </c>
      <c r="B56" t="s">
        <v>7</v>
      </c>
      <c r="C56" t="s">
        <v>76</v>
      </c>
      <c r="D56" t="s">
        <v>77</v>
      </c>
      <c r="E56">
        <v>20</v>
      </c>
      <c r="F56" t="s">
        <v>104</v>
      </c>
      <c r="G56">
        <v>96</v>
      </c>
      <c r="H56">
        <v>134</v>
      </c>
      <c r="I56">
        <v>0</v>
      </c>
      <c r="J56">
        <v>119</v>
      </c>
      <c r="K56">
        <v>90</v>
      </c>
      <c r="L56">
        <v>-134</v>
      </c>
      <c r="M56">
        <v>1</v>
      </c>
      <c r="N56">
        <v>0</v>
      </c>
      <c r="O56" s="1" t="s">
        <v>159</v>
      </c>
      <c r="P56">
        <v>0</v>
      </c>
      <c r="Q56">
        <v>0</v>
      </c>
      <c r="R56">
        <v>0</v>
      </c>
      <c r="S56">
        <v>0</v>
      </c>
      <c r="T56">
        <v>57.431486270000001</v>
      </c>
      <c r="U56">
        <f t="shared" si="0"/>
        <v>0</v>
      </c>
      <c r="V56">
        <f t="shared" si="1"/>
        <v>0</v>
      </c>
    </row>
    <row r="57" spans="1:22" x14ac:dyDescent="0.2">
      <c r="A57" t="s">
        <v>106</v>
      </c>
      <c r="B57" t="s">
        <v>7</v>
      </c>
      <c r="C57" t="s">
        <v>76</v>
      </c>
      <c r="D57" t="s">
        <v>77</v>
      </c>
      <c r="E57">
        <v>15</v>
      </c>
      <c r="F57" t="s">
        <v>88</v>
      </c>
      <c r="G57">
        <v>81</v>
      </c>
      <c r="H57">
        <v>2312</v>
      </c>
      <c r="I57">
        <v>0</v>
      </c>
      <c r="J57">
        <v>76</v>
      </c>
      <c r="K57">
        <v>59</v>
      </c>
      <c r="L57">
        <v>-2312</v>
      </c>
      <c r="M57">
        <v>1</v>
      </c>
      <c r="N57">
        <v>0</v>
      </c>
      <c r="O57" s="1" t="s">
        <v>160</v>
      </c>
      <c r="P57">
        <v>0</v>
      </c>
      <c r="Q57">
        <v>0</v>
      </c>
      <c r="R57">
        <v>0</v>
      </c>
      <c r="S57">
        <v>0</v>
      </c>
      <c r="T57">
        <v>57.431486270000001</v>
      </c>
      <c r="U57">
        <f t="shared" si="0"/>
        <v>0</v>
      </c>
      <c r="V57">
        <f t="shared" si="1"/>
        <v>0</v>
      </c>
    </row>
    <row r="58" spans="1:22" x14ac:dyDescent="0.2">
      <c r="A58" t="s">
        <v>106</v>
      </c>
      <c r="B58" t="s">
        <v>7</v>
      </c>
      <c r="C58" t="s">
        <v>76</v>
      </c>
      <c r="D58" t="s">
        <v>77</v>
      </c>
      <c r="E58">
        <v>20</v>
      </c>
      <c r="F58" t="s">
        <v>104</v>
      </c>
      <c r="G58">
        <v>94</v>
      </c>
      <c r="H58">
        <v>22942</v>
      </c>
      <c r="I58">
        <v>0</v>
      </c>
      <c r="J58">
        <v>103</v>
      </c>
      <c r="K58">
        <v>103</v>
      </c>
      <c r="L58">
        <v>-22942</v>
      </c>
      <c r="M58">
        <v>1</v>
      </c>
      <c r="N58">
        <v>0</v>
      </c>
      <c r="O58" s="1" t="s">
        <v>161</v>
      </c>
      <c r="P58">
        <v>0</v>
      </c>
      <c r="Q58">
        <v>0</v>
      </c>
      <c r="R58">
        <v>0</v>
      </c>
      <c r="S58">
        <v>0</v>
      </c>
      <c r="T58">
        <v>57.431486270000001</v>
      </c>
      <c r="U58">
        <f t="shared" si="0"/>
        <v>0</v>
      </c>
      <c r="V58">
        <f t="shared" si="1"/>
        <v>0</v>
      </c>
    </row>
    <row r="59" spans="1:22" x14ac:dyDescent="0.2">
      <c r="A59" t="s">
        <v>106</v>
      </c>
      <c r="B59" t="s">
        <v>7</v>
      </c>
      <c r="C59" t="s">
        <v>76</v>
      </c>
      <c r="D59" t="s">
        <v>77</v>
      </c>
      <c r="E59" s="1" t="s">
        <v>85</v>
      </c>
      <c r="F59" t="s">
        <v>86</v>
      </c>
      <c r="G59">
        <v>26</v>
      </c>
      <c r="H59">
        <v>0</v>
      </c>
      <c r="I59">
        <v>43</v>
      </c>
      <c r="J59">
        <v>65</v>
      </c>
      <c r="K59">
        <v>62</v>
      </c>
      <c r="L59">
        <v>43</v>
      </c>
      <c r="M59">
        <v>0</v>
      </c>
      <c r="N59">
        <v>1</v>
      </c>
      <c r="O59" s="1" t="s">
        <v>162</v>
      </c>
      <c r="P59">
        <v>0</v>
      </c>
      <c r="Q59">
        <v>0</v>
      </c>
      <c r="R59">
        <v>0</v>
      </c>
      <c r="S59">
        <v>0</v>
      </c>
      <c r="T59">
        <v>57.431486270000001</v>
      </c>
      <c r="U59">
        <f t="shared" si="0"/>
        <v>0</v>
      </c>
      <c r="V59">
        <f t="shared" si="1"/>
        <v>0</v>
      </c>
    </row>
    <row r="60" spans="1:22" x14ac:dyDescent="0.2">
      <c r="A60" t="s">
        <v>106</v>
      </c>
      <c r="B60" t="s">
        <v>7</v>
      </c>
      <c r="C60" t="s">
        <v>76</v>
      </c>
      <c r="D60" t="s">
        <v>77</v>
      </c>
      <c r="E60" s="1" t="s">
        <v>82</v>
      </c>
      <c r="F60" t="s">
        <v>83</v>
      </c>
      <c r="G60" s="1" t="s">
        <v>163</v>
      </c>
      <c r="H60">
        <v>0</v>
      </c>
      <c r="I60">
        <v>11022033</v>
      </c>
      <c r="J60">
        <v>74</v>
      </c>
      <c r="K60">
        <v>43</v>
      </c>
      <c r="L60">
        <v>11022033</v>
      </c>
      <c r="M60">
        <v>0</v>
      </c>
      <c r="N60">
        <v>1</v>
      </c>
      <c r="O60">
        <v>5.5061617667257296E-3</v>
      </c>
      <c r="P60">
        <v>0</v>
      </c>
      <c r="Q60">
        <v>0</v>
      </c>
      <c r="R60">
        <v>0</v>
      </c>
      <c r="S60">
        <v>0</v>
      </c>
      <c r="T60">
        <v>57.431486270000001</v>
      </c>
      <c r="U60">
        <f t="shared" si="0"/>
        <v>0</v>
      </c>
      <c r="V60">
        <f t="shared" si="1"/>
        <v>0</v>
      </c>
    </row>
    <row r="61" spans="1:22" x14ac:dyDescent="0.2">
      <c r="A61" t="s">
        <v>164</v>
      </c>
      <c r="B61" t="s">
        <v>8</v>
      </c>
      <c r="C61" t="s">
        <v>76</v>
      </c>
      <c r="D61" t="s">
        <v>77</v>
      </c>
      <c r="E61">
        <v>99</v>
      </c>
      <c r="F61" t="s">
        <v>78</v>
      </c>
      <c r="G61">
        <v>99</v>
      </c>
      <c r="H61">
        <v>397198325</v>
      </c>
      <c r="I61">
        <v>368</v>
      </c>
      <c r="J61">
        <v>15</v>
      </c>
      <c r="K61">
        <v>95</v>
      </c>
      <c r="L61">
        <v>-397197957</v>
      </c>
      <c r="M61" s="1" t="s">
        <v>165</v>
      </c>
      <c r="N61" s="1" t="s">
        <v>166</v>
      </c>
      <c r="O61" s="1" t="s">
        <v>167</v>
      </c>
      <c r="P61">
        <v>0</v>
      </c>
      <c r="Q61">
        <v>0</v>
      </c>
      <c r="R61">
        <v>0</v>
      </c>
      <c r="S61">
        <v>0</v>
      </c>
      <c r="T61">
        <v>39.663424999999997</v>
      </c>
      <c r="U61">
        <f t="shared" si="0"/>
        <v>0</v>
      </c>
      <c r="V61">
        <f t="shared" si="1"/>
        <v>0</v>
      </c>
    </row>
    <row r="62" spans="1:22" x14ac:dyDescent="0.2">
      <c r="A62" t="s">
        <v>164</v>
      </c>
      <c r="B62" t="s">
        <v>8</v>
      </c>
      <c r="C62" t="s">
        <v>76</v>
      </c>
      <c r="D62" t="s">
        <v>77</v>
      </c>
      <c r="E62" s="1" t="s">
        <v>85</v>
      </c>
      <c r="F62" t="s">
        <v>86</v>
      </c>
      <c r="G62">
        <v>27</v>
      </c>
      <c r="H62">
        <v>198507721</v>
      </c>
      <c r="I62">
        <v>0</v>
      </c>
      <c r="J62">
        <v>80</v>
      </c>
      <c r="K62">
        <v>91</v>
      </c>
      <c r="L62">
        <v>-198507721</v>
      </c>
      <c r="M62">
        <v>1</v>
      </c>
      <c r="N62">
        <v>0</v>
      </c>
      <c r="O62" s="1" t="s">
        <v>168</v>
      </c>
      <c r="P62">
        <v>0</v>
      </c>
      <c r="Q62">
        <v>0</v>
      </c>
      <c r="R62">
        <v>0</v>
      </c>
      <c r="S62">
        <v>0</v>
      </c>
      <c r="T62">
        <v>39.663424999999997</v>
      </c>
      <c r="U62">
        <f t="shared" si="0"/>
        <v>0</v>
      </c>
      <c r="V62">
        <f t="shared" si="1"/>
        <v>0</v>
      </c>
    </row>
    <row r="63" spans="1:22" x14ac:dyDescent="0.2">
      <c r="A63" t="s">
        <v>164</v>
      </c>
      <c r="B63" t="s">
        <v>8</v>
      </c>
      <c r="C63" t="s">
        <v>76</v>
      </c>
      <c r="D63" t="s">
        <v>77</v>
      </c>
      <c r="E63">
        <v>16</v>
      </c>
      <c r="F63" t="s">
        <v>95</v>
      </c>
      <c r="G63">
        <v>84</v>
      </c>
      <c r="H63">
        <v>32228639</v>
      </c>
      <c r="I63">
        <v>3557615</v>
      </c>
      <c r="J63">
        <v>50</v>
      </c>
      <c r="K63">
        <v>70</v>
      </c>
      <c r="L63">
        <v>-28671024</v>
      </c>
      <c r="M63" s="1" t="s">
        <v>169</v>
      </c>
      <c r="N63">
        <v>9.9412891888600502E-2</v>
      </c>
      <c r="O63">
        <v>4.4779874655180699E-2</v>
      </c>
      <c r="P63">
        <v>0</v>
      </c>
      <c r="Q63">
        <v>0</v>
      </c>
      <c r="R63">
        <v>0</v>
      </c>
      <c r="S63">
        <v>0</v>
      </c>
      <c r="T63">
        <v>39.663424999999997</v>
      </c>
      <c r="U63">
        <f t="shared" si="0"/>
        <v>0</v>
      </c>
      <c r="V63">
        <f t="shared" si="1"/>
        <v>0</v>
      </c>
    </row>
    <row r="64" spans="1:22" x14ac:dyDescent="0.2">
      <c r="A64" t="s">
        <v>164</v>
      </c>
      <c r="B64" t="s">
        <v>8</v>
      </c>
      <c r="C64" t="s">
        <v>76</v>
      </c>
      <c r="D64" t="s">
        <v>77</v>
      </c>
      <c r="E64" s="1" t="s">
        <v>89</v>
      </c>
      <c r="F64" t="s">
        <v>90</v>
      </c>
      <c r="G64">
        <v>31</v>
      </c>
      <c r="H64">
        <v>26123480</v>
      </c>
      <c r="I64">
        <v>0</v>
      </c>
      <c r="J64">
        <v>81</v>
      </c>
      <c r="K64">
        <v>51</v>
      </c>
      <c r="L64">
        <v>-26123480</v>
      </c>
      <c r="M64">
        <v>1</v>
      </c>
      <c r="N64">
        <v>0</v>
      </c>
      <c r="O64">
        <v>3.2688701084978601E-2</v>
      </c>
      <c r="P64">
        <v>0</v>
      </c>
      <c r="Q64">
        <v>0</v>
      </c>
      <c r="R64">
        <v>0</v>
      </c>
      <c r="S64">
        <v>0</v>
      </c>
      <c r="T64">
        <v>39.663424999999997</v>
      </c>
      <c r="U64">
        <f t="shared" si="0"/>
        <v>0</v>
      </c>
      <c r="V64">
        <f t="shared" si="1"/>
        <v>0</v>
      </c>
    </row>
    <row r="65" spans="1:22" x14ac:dyDescent="0.2">
      <c r="A65" t="s">
        <v>164</v>
      </c>
      <c r="B65" t="s">
        <v>8</v>
      </c>
      <c r="C65" t="s">
        <v>76</v>
      </c>
      <c r="D65" t="s">
        <v>77</v>
      </c>
      <c r="E65">
        <v>16</v>
      </c>
      <c r="F65" t="s">
        <v>95</v>
      </c>
      <c r="G65">
        <v>85</v>
      </c>
      <c r="H65">
        <v>4825111</v>
      </c>
      <c r="I65">
        <v>50560</v>
      </c>
      <c r="J65">
        <v>76</v>
      </c>
      <c r="K65">
        <v>91</v>
      </c>
      <c r="L65">
        <v>-4774551</v>
      </c>
      <c r="M65" s="1" t="s">
        <v>170</v>
      </c>
      <c r="N65" s="1" t="s">
        <v>171</v>
      </c>
      <c r="O65">
        <v>6.1010000163722001E-3</v>
      </c>
      <c r="P65">
        <v>0</v>
      </c>
      <c r="Q65">
        <v>0</v>
      </c>
      <c r="R65">
        <v>0</v>
      </c>
      <c r="S65">
        <v>0</v>
      </c>
      <c r="T65">
        <v>39.663424999999997</v>
      </c>
      <c r="U65">
        <f t="shared" si="0"/>
        <v>0</v>
      </c>
      <c r="V65">
        <f t="shared" si="1"/>
        <v>0</v>
      </c>
    </row>
    <row r="66" spans="1:22" x14ac:dyDescent="0.2">
      <c r="A66" t="s">
        <v>164</v>
      </c>
      <c r="B66" t="s">
        <v>8</v>
      </c>
      <c r="C66" t="s">
        <v>76</v>
      </c>
      <c r="D66" t="s">
        <v>77</v>
      </c>
      <c r="E66">
        <v>17</v>
      </c>
      <c r="F66" t="s">
        <v>97</v>
      </c>
      <c r="G66">
        <v>87</v>
      </c>
      <c r="H66">
        <v>3998412</v>
      </c>
      <c r="I66">
        <v>112213</v>
      </c>
      <c r="J66">
        <v>66</v>
      </c>
      <c r="K66">
        <v>76</v>
      </c>
      <c r="L66">
        <v>-3886199</v>
      </c>
      <c r="M66" s="1" t="s">
        <v>172</v>
      </c>
      <c r="N66" s="1" t="s">
        <v>173</v>
      </c>
      <c r="O66">
        <v>5.1436865186966002E-3</v>
      </c>
      <c r="P66">
        <v>0</v>
      </c>
      <c r="Q66">
        <v>0</v>
      </c>
      <c r="R66">
        <v>0</v>
      </c>
      <c r="S66">
        <v>0</v>
      </c>
      <c r="T66">
        <v>39.663424999999997</v>
      </c>
      <c r="U66">
        <f t="shared" si="0"/>
        <v>0</v>
      </c>
      <c r="V66">
        <f t="shared" si="1"/>
        <v>0</v>
      </c>
    </row>
    <row r="67" spans="1:22" x14ac:dyDescent="0.2">
      <c r="A67" t="s">
        <v>164</v>
      </c>
      <c r="B67" t="s">
        <v>8</v>
      </c>
      <c r="C67" t="s">
        <v>76</v>
      </c>
      <c r="D67" t="s">
        <v>77</v>
      </c>
      <c r="E67">
        <v>15</v>
      </c>
      <c r="F67" t="s">
        <v>88</v>
      </c>
      <c r="G67">
        <v>73</v>
      </c>
      <c r="H67">
        <v>3453681</v>
      </c>
      <c r="I67">
        <v>197433</v>
      </c>
      <c r="J67">
        <v>62</v>
      </c>
      <c r="K67">
        <v>73</v>
      </c>
      <c r="L67">
        <v>-3256248</v>
      </c>
      <c r="M67" s="1" t="s">
        <v>174</v>
      </c>
      <c r="N67">
        <v>5.4074728973129801E-2</v>
      </c>
      <c r="O67">
        <v>4.56869353444413E-3</v>
      </c>
      <c r="P67">
        <v>0</v>
      </c>
      <c r="Q67">
        <v>0</v>
      </c>
      <c r="R67">
        <v>0</v>
      </c>
      <c r="S67">
        <v>0</v>
      </c>
      <c r="T67">
        <v>39.663424999999997</v>
      </c>
      <c r="U67">
        <f t="shared" ref="U67:U130" si="2">IF(OR(P67=1,Q67=1),1,0)</f>
        <v>0</v>
      </c>
      <c r="V67">
        <f t="shared" ref="V67:V130" si="3">IF(OR(R67=1,S67=1),1,0)</f>
        <v>0</v>
      </c>
    </row>
    <row r="68" spans="1:22" x14ac:dyDescent="0.2">
      <c r="A68" t="s">
        <v>164</v>
      </c>
      <c r="B68" t="s">
        <v>8</v>
      </c>
      <c r="C68" t="s">
        <v>76</v>
      </c>
      <c r="D68" t="s">
        <v>77</v>
      </c>
      <c r="E68" s="1" t="s">
        <v>99</v>
      </c>
      <c r="F68" t="s">
        <v>100</v>
      </c>
      <c r="G68">
        <v>40</v>
      </c>
      <c r="H68">
        <v>1510663</v>
      </c>
      <c r="I68">
        <v>7411</v>
      </c>
      <c r="J68">
        <v>82</v>
      </c>
      <c r="K68">
        <v>84</v>
      </c>
      <c r="L68">
        <v>-1503252</v>
      </c>
      <c r="M68" s="1" t="s">
        <v>175</v>
      </c>
      <c r="N68">
        <v>4.8818437045888398E-3</v>
      </c>
      <c r="O68">
        <v>1.89958869227522E-3</v>
      </c>
      <c r="P68">
        <v>0</v>
      </c>
      <c r="Q68">
        <v>0</v>
      </c>
      <c r="R68">
        <v>0</v>
      </c>
      <c r="S68">
        <v>0</v>
      </c>
      <c r="T68">
        <v>39.663424999999997</v>
      </c>
      <c r="U68">
        <f t="shared" si="2"/>
        <v>0</v>
      </c>
      <c r="V68">
        <f t="shared" si="3"/>
        <v>0</v>
      </c>
    </row>
    <row r="69" spans="1:22" x14ac:dyDescent="0.2">
      <c r="A69" t="s">
        <v>164</v>
      </c>
      <c r="B69" t="s">
        <v>8</v>
      </c>
      <c r="C69" t="s">
        <v>76</v>
      </c>
      <c r="D69" t="s">
        <v>77</v>
      </c>
      <c r="E69" s="1" t="s">
        <v>89</v>
      </c>
      <c r="F69" t="s">
        <v>90</v>
      </c>
      <c r="G69">
        <v>38</v>
      </c>
      <c r="H69">
        <v>3618088</v>
      </c>
      <c r="I69">
        <v>0</v>
      </c>
      <c r="J69">
        <v>58</v>
      </c>
      <c r="K69">
        <v>87</v>
      </c>
      <c r="L69">
        <v>-3618088</v>
      </c>
      <c r="M69">
        <v>1</v>
      </c>
      <c r="N69">
        <v>0</v>
      </c>
      <c r="O69">
        <v>4.5273676068865298E-3</v>
      </c>
      <c r="P69">
        <v>0</v>
      </c>
      <c r="Q69">
        <v>0</v>
      </c>
      <c r="R69">
        <v>0</v>
      </c>
      <c r="S69">
        <v>0</v>
      </c>
      <c r="T69">
        <v>39.663424999999997</v>
      </c>
      <c r="U69">
        <f t="shared" si="2"/>
        <v>0</v>
      </c>
      <c r="V69">
        <f t="shared" si="3"/>
        <v>0</v>
      </c>
    </row>
    <row r="70" spans="1:22" x14ac:dyDescent="0.2">
      <c r="A70" t="s">
        <v>164</v>
      </c>
      <c r="B70" t="s">
        <v>8</v>
      </c>
      <c r="C70" t="s">
        <v>76</v>
      </c>
      <c r="D70" t="s">
        <v>77</v>
      </c>
      <c r="E70">
        <v>10</v>
      </c>
      <c r="F70" t="s">
        <v>119</v>
      </c>
      <c r="G70">
        <v>48</v>
      </c>
      <c r="H70">
        <v>943394</v>
      </c>
      <c r="I70">
        <v>507</v>
      </c>
      <c r="J70">
        <v>112</v>
      </c>
      <c r="K70">
        <v>87</v>
      </c>
      <c r="L70">
        <v>-942887</v>
      </c>
      <c r="M70" s="1" t="s">
        <v>176</v>
      </c>
      <c r="N70" s="1" t="s">
        <v>177</v>
      </c>
      <c r="O70">
        <v>1.1811174331602199E-3</v>
      </c>
      <c r="P70">
        <v>0</v>
      </c>
      <c r="Q70">
        <v>0</v>
      </c>
      <c r="R70">
        <v>0</v>
      </c>
      <c r="S70">
        <v>0</v>
      </c>
      <c r="T70">
        <v>39.663424999999997</v>
      </c>
      <c r="U70">
        <f t="shared" si="2"/>
        <v>0</v>
      </c>
      <c r="V70">
        <f t="shared" si="3"/>
        <v>0</v>
      </c>
    </row>
    <row r="71" spans="1:22" x14ac:dyDescent="0.2">
      <c r="A71" t="s">
        <v>164</v>
      </c>
      <c r="B71" t="s">
        <v>8</v>
      </c>
      <c r="C71" t="s">
        <v>76</v>
      </c>
      <c r="D71" t="s">
        <v>77</v>
      </c>
      <c r="E71" s="1" t="s">
        <v>89</v>
      </c>
      <c r="F71" t="s">
        <v>90</v>
      </c>
      <c r="G71">
        <v>28</v>
      </c>
      <c r="H71">
        <v>5097522</v>
      </c>
      <c r="I71">
        <v>117872</v>
      </c>
      <c r="J71">
        <v>89</v>
      </c>
      <c r="K71">
        <v>69</v>
      </c>
      <c r="L71">
        <v>-4979650</v>
      </c>
      <c r="M71" s="1" t="s">
        <v>178</v>
      </c>
      <c r="N71" s="1" t="s">
        <v>179</v>
      </c>
      <c r="O71">
        <v>6.5261004853255002E-3</v>
      </c>
      <c r="P71">
        <v>0</v>
      </c>
      <c r="Q71">
        <v>0</v>
      </c>
      <c r="R71">
        <v>0</v>
      </c>
      <c r="S71">
        <v>0</v>
      </c>
      <c r="T71">
        <v>39.663424999999997</v>
      </c>
      <c r="U71">
        <f t="shared" si="2"/>
        <v>0</v>
      </c>
      <c r="V71">
        <f t="shared" si="3"/>
        <v>0</v>
      </c>
    </row>
    <row r="72" spans="1:22" x14ac:dyDescent="0.2">
      <c r="A72" t="s">
        <v>164</v>
      </c>
      <c r="B72" t="s">
        <v>8</v>
      </c>
      <c r="C72" t="s">
        <v>76</v>
      </c>
      <c r="D72" t="s">
        <v>77</v>
      </c>
      <c r="E72" s="1" t="s">
        <v>155</v>
      </c>
      <c r="F72" t="s">
        <v>156</v>
      </c>
      <c r="G72" s="1" t="s">
        <v>82</v>
      </c>
      <c r="H72">
        <v>3838354</v>
      </c>
      <c r="I72">
        <v>0</v>
      </c>
      <c r="J72">
        <v>17</v>
      </c>
      <c r="K72">
        <v>59</v>
      </c>
      <c r="L72">
        <v>-3838354</v>
      </c>
      <c r="M72">
        <v>1</v>
      </c>
      <c r="N72">
        <v>0</v>
      </c>
      <c r="O72">
        <v>4.8029897457893102E-3</v>
      </c>
      <c r="P72">
        <v>0</v>
      </c>
      <c r="Q72">
        <v>0</v>
      </c>
      <c r="R72">
        <v>0</v>
      </c>
      <c r="S72">
        <v>0</v>
      </c>
      <c r="T72">
        <v>39.663424999999997</v>
      </c>
      <c r="U72">
        <f t="shared" si="2"/>
        <v>0</v>
      </c>
      <c r="V72">
        <f t="shared" si="3"/>
        <v>0</v>
      </c>
    </row>
    <row r="73" spans="1:22" x14ac:dyDescent="0.2">
      <c r="A73" t="s">
        <v>164</v>
      </c>
      <c r="B73" t="s">
        <v>8</v>
      </c>
      <c r="C73" t="s">
        <v>76</v>
      </c>
      <c r="D73" t="s">
        <v>77</v>
      </c>
      <c r="E73">
        <v>18</v>
      </c>
      <c r="F73" t="s">
        <v>147</v>
      </c>
      <c r="G73">
        <v>90</v>
      </c>
      <c r="H73">
        <v>1171579</v>
      </c>
      <c r="I73">
        <v>1474655</v>
      </c>
      <c r="J73">
        <v>78</v>
      </c>
      <c r="K73">
        <v>64</v>
      </c>
      <c r="L73">
        <v>303076</v>
      </c>
      <c r="M73" s="1" t="s">
        <v>180</v>
      </c>
      <c r="N73" s="1" t="s">
        <v>181</v>
      </c>
      <c r="O73">
        <v>3.3112721669129601E-3</v>
      </c>
      <c r="P73">
        <v>0</v>
      </c>
      <c r="Q73">
        <v>0</v>
      </c>
      <c r="R73">
        <v>0</v>
      </c>
      <c r="S73">
        <v>0</v>
      </c>
      <c r="T73">
        <v>39.663424999999997</v>
      </c>
      <c r="U73">
        <f t="shared" si="2"/>
        <v>0</v>
      </c>
      <c r="V73">
        <f t="shared" si="3"/>
        <v>0</v>
      </c>
    </row>
    <row r="74" spans="1:22" x14ac:dyDescent="0.2">
      <c r="A74" t="s">
        <v>164</v>
      </c>
      <c r="B74" t="s">
        <v>8</v>
      </c>
      <c r="C74" t="s">
        <v>76</v>
      </c>
      <c r="D74" t="s">
        <v>77</v>
      </c>
      <c r="E74">
        <v>15</v>
      </c>
      <c r="F74" t="s">
        <v>88</v>
      </c>
      <c r="G74">
        <v>82</v>
      </c>
      <c r="H74">
        <v>1155472</v>
      </c>
      <c r="I74">
        <v>42627</v>
      </c>
      <c r="J74">
        <v>59</v>
      </c>
      <c r="K74">
        <v>69</v>
      </c>
      <c r="L74">
        <v>-1112845</v>
      </c>
      <c r="M74" s="1" t="s">
        <v>182</v>
      </c>
      <c r="N74">
        <v>3.5578862848562598E-2</v>
      </c>
      <c r="O74">
        <v>1.4991991909658201E-3</v>
      </c>
      <c r="P74">
        <v>0</v>
      </c>
      <c r="Q74">
        <v>0</v>
      </c>
      <c r="R74">
        <v>0</v>
      </c>
      <c r="S74">
        <v>0</v>
      </c>
      <c r="T74">
        <v>39.663424999999997</v>
      </c>
      <c r="U74">
        <f t="shared" si="2"/>
        <v>0</v>
      </c>
      <c r="V74">
        <f t="shared" si="3"/>
        <v>0</v>
      </c>
    </row>
    <row r="75" spans="1:22" x14ac:dyDescent="0.2">
      <c r="A75" t="s">
        <v>164</v>
      </c>
      <c r="B75" t="s">
        <v>8</v>
      </c>
      <c r="C75" t="s">
        <v>76</v>
      </c>
      <c r="D75" t="s">
        <v>77</v>
      </c>
      <c r="E75" s="1" t="s">
        <v>99</v>
      </c>
      <c r="F75" t="s">
        <v>100</v>
      </c>
      <c r="G75">
        <v>39</v>
      </c>
      <c r="H75">
        <v>808797</v>
      </c>
      <c r="I75">
        <v>8968</v>
      </c>
      <c r="J75">
        <v>91</v>
      </c>
      <c r="K75">
        <v>91</v>
      </c>
      <c r="L75">
        <v>-799829</v>
      </c>
      <c r="M75" s="1" t="s">
        <v>183</v>
      </c>
      <c r="N75" s="1" t="s">
        <v>184</v>
      </c>
      <c r="O75">
        <v>1.02328157055482E-3</v>
      </c>
      <c r="P75">
        <v>0</v>
      </c>
      <c r="Q75">
        <v>0</v>
      </c>
      <c r="R75">
        <v>0</v>
      </c>
      <c r="S75">
        <v>0</v>
      </c>
      <c r="T75">
        <v>39.663424999999997</v>
      </c>
      <c r="U75">
        <f t="shared" si="2"/>
        <v>0</v>
      </c>
      <c r="V75">
        <f t="shared" si="3"/>
        <v>0</v>
      </c>
    </row>
    <row r="76" spans="1:22" x14ac:dyDescent="0.2">
      <c r="A76" t="s">
        <v>164</v>
      </c>
      <c r="B76" t="s">
        <v>8</v>
      </c>
      <c r="C76" t="s">
        <v>76</v>
      </c>
      <c r="D76" t="s">
        <v>77</v>
      </c>
      <c r="E76">
        <v>13</v>
      </c>
      <c r="F76" t="s">
        <v>91</v>
      </c>
      <c r="G76">
        <v>70</v>
      </c>
      <c r="H76">
        <v>234036</v>
      </c>
      <c r="I76">
        <v>890</v>
      </c>
      <c r="J76">
        <v>80</v>
      </c>
      <c r="K76">
        <v>74</v>
      </c>
      <c r="L76">
        <v>-233146</v>
      </c>
      <c r="M76" s="1" t="s">
        <v>185</v>
      </c>
      <c r="N76">
        <v>3.7884269940321601E-3</v>
      </c>
      <c r="O76" s="1" t="s">
        <v>186</v>
      </c>
      <c r="P76">
        <v>0</v>
      </c>
      <c r="Q76">
        <v>0</v>
      </c>
      <c r="R76">
        <v>0</v>
      </c>
      <c r="S76">
        <v>0</v>
      </c>
      <c r="T76">
        <v>39.663424999999997</v>
      </c>
      <c r="U76">
        <f t="shared" si="2"/>
        <v>0</v>
      </c>
      <c r="V76">
        <f t="shared" si="3"/>
        <v>0</v>
      </c>
    </row>
    <row r="77" spans="1:22" x14ac:dyDescent="0.2">
      <c r="A77" t="s">
        <v>164</v>
      </c>
      <c r="B77" t="s">
        <v>8</v>
      </c>
      <c r="C77" t="s">
        <v>76</v>
      </c>
      <c r="D77" t="s">
        <v>77</v>
      </c>
      <c r="E77" s="1" t="s">
        <v>89</v>
      </c>
      <c r="F77" t="s">
        <v>90</v>
      </c>
      <c r="G77">
        <v>32</v>
      </c>
      <c r="H77">
        <v>51123</v>
      </c>
      <c r="I77">
        <v>0</v>
      </c>
      <c r="J77">
        <v>92</v>
      </c>
      <c r="K77">
        <v>80</v>
      </c>
      <c r="L77">
        <v>-51123</v>
      </c>
      <c r="M77">
        <v>1</v>
      </c>
      <c r="N77">
        <v>0</v>
      </c>
      <c r="O77" s="1" t="s">
        <v>187</v>
      </c>
      <c r="P77">
        <v>0</v>
      </c>
      <c r="Q77">
        <v>0</v>
      </c>
      <c r="R77">
        <v>0</v>
      </c>
      <c r="S77">
        <v>0</v>
      </c>
      <c r="T77">
        <v>39.663424999999997</v>
      </c>
      <c r="U77">
        <f t="shared" si="2"/>
        <v>0</v>
      </c>
      <c r="V77">
        <f t="shared" si="3"/>
        <v>0</v>
      </c>
    </row>
    <row r="78" spans="1:22" x14ac:dyDescent="0.2">
      <c r="A78" t="s">
        <v>164</v>
      </c>
      <c r="B78" t="s">
        <v>8</v>
      </c>
      <c r="C78" t="s">
        <v>76</v>
      </c>
      <c r="D78" t="s">
        <v>77</v>
      </c>
      <c r="E78">
        <v>11</v>
      </c>
      <c r="F78" t="s">
        <v>127</v>
      </c>
      <c r="G78">
        <v>62</v>
      </c>
      <c r="H78">
        <v>112278</v>
      </c>
      <c r="I78">
        <v>3262</v>
      </c>
      <c r="J78">
        <v>62</v>
      </c>
      <c r="K78">
        <v>87</v>
      </c>
      <c r="L78">
        <v>-109016</v>
      </c>
      <c r="M78" s="1" t="s">
        <v>188</v>
      </c>
      <c r="N78" s="1" t="s">
        <v>189</v>
      </c>
      <c r="O78" s="1" t="s">
        <v>190</v>
      </c>
      <c r="P78">
        <v>0</v>
      </c>
      <c r="Q78">
        <v>0</v>
      </c>
      <c r="R78">
        <v>0</v>
      </c>
      <c r="S78">
        <v>0</v>
      </c>
      <c r="T78">
        <v>39.663424999999997</v>
      </c>
      <c r="U78">
        <f t="shared" si="2"/>
        <v>0</v>
      </c>
      <c r="V78">
        <f t="shared" si="3"/>
        <v>0</v>
      </c>
    </row>
    <row r="79" spans="1:22" x14ac:dyDescent="0.2">
      <c r="A79" t="s">
        <v>164</v>
      </c>
      <c r="B79" t="s">
        <v>8</v>
      </c>
      <c r="C79" t="s">
        <v>76</v>
      </c>
      <c r="D79" t="s">
        <v>77</v>
      </c>
      <c r="E79">
        <v>20</v>
      </c>
      <c r="F79" t="s">
        <v>104</v>
      </c>
      <c r="G79">
        <v>94</v>
      </c>
      <c r="H79">
        <v>657378</v>
      </c>
      <c r="I79">
        <v>88838</v>
      </c>
      <c r="J79">
        <v>63</v>
      </c>
      <c r="K79">
        <v>72</v>
      </c>
      <c r="L79">
        <v>-568540</v>
      </c>
      <c r="M79" s="1" t="s">
        <v>191</v>
      </c>
      <c r="N79" s="1" t="s">
        <v>192</v>
      </c>
      <c r="O79" s="1" t="s">
        <v>193</v>
      </c>
      <c r="P79">
        <v>0</v>
      </c>
      <c r="Q79">
        <v>0</v>
      </c>
      <c r="R79">
        <v>0</v>
      </c>
      <c r="S79">
        <v>0</v>
      </c>
      <c r="T79">
        <v>39.663424999999997</v>
      </c>
      <c r="U79">
        <f t="shared" si="2"/>
        <v>0</v>
      </c>
      <c r="V79">
        <f t="shared" si="3"/>
        <v>0</v>
      </c>
    </row>
    <row r="80" spans="1:22" x14ac:dyDescent="0.2">
      <c r="A80" t="s">
        <v>164</v>
      </c>
      <c r="B80" t="s">
        <v>8</v>
      </c>
      <c r="C80" t="s">
        <v>76</v>
      </c>
      <c r="D80" t="s">
        <v>77</v>
      </c>
      <c r="E80">
        <v>12</v>
      </c>
      <c r="F80" t="s">
        <v>194</v>
      </c>
      <c r="G80">
        <v>64</v>
      </c>
      <c r="H80">
        <v>53565</v>
      </c>
      <c r="I80">
        <v>893</v>
      </c>
      <c r="J80">
        <v>58</v>
      </c>
      <c r="K80">
        <v>80</v>
      </c>
      <c r="L80">
        <v>-52672</v>
      </c>
      <c r="M80" s="1" t="s">
        <v>195</v>
      </c>
      <c r="N80">
        <v>1.6397958059421899E-2</v>
      </c>
      <c r="O80" s="1" t="s">
        <v>196</v>
      </c>
      <c r="P80">
        <v>0</v>
      </c>
      <c r="Q80">
        <v>0</v>
      </c>
      <c r="R80">
        <v>0</v>
      </c>
      <c r="S80">
        <v>0</v>
      </c>
      <c r="T80">
        <v>39.663424999999997</v>
      </c>
      <c r="U80">
        <f t="shared" si="2"/>
        <v>0</v>
      </c>
      <c r="V80">
        <f t="shared" si="3"/>
        <v>0</v>
      </c>
    </row>
    <row r="81" spans="1:22" x14ac:dyDescent="0.2">
      <c r="A81" t="s">
        <v>164</v>
      </c>
      <c r="B81" t="s">
        <v>8</v>
      </c>
      <c r="C81" t="s">
        <v>76</v>
      </c>
      <c r="D81" t="s">
        <v>77</v>
      </c>
      <c r="E81">
        <v>15</v>
      </c>
      <c r="F81" t="s">
        <v>88</v>
      </c>
      <c r="G81">
        <v>83</v>
      </c>
      <c r="H81">
        <v>39584</v>
      </c>
      <c r="I81">
        <v>9</v>
      </c>
      <c r="J81">
        <v>76</v>
      </c>
      <c r="K81">
        <v>83</v>
      </c>
      <c r="L81">
        <v>-39575</v>
      </c>
      <c r="M81" s="1" t="s">
        <v>197</v>
      </c>
      <c r="N81" s="1" t="s">
        <v>198</v>
      </c>
      <c r="O81" s="1" t="s">
        <v>199</v>
      </c>
      <c r="P81">
        <v>0</v>
      </c>
      <c r="Q81">
        <v>0</v>
      </c>
      <c r="R81">
        <v>0</v>
      </c>
      <c r="S81">
        <v>0</v>
      </c>
      <c r="T81">
        <v>39.663424999999997</v>
      </c>
      <c r="U81">
        <f t="shared" si="2"/>
        <v>0</v>
      </c>
      <c r="V81">
        <f t="shared" si="3"/>
        <v>0</v>
      </c>
    </row>
    <row r="82" spans="1:22" x14ac:dyDescent="0.2">
      <c r="A82" t="s">
        <v>164</v>
      </c>
      <c r="B82" t="s">
        <v>8</v>
      </c>
      <c r="C82" t="s">
        <v>76</v>
      </c>
      <c r="D82" t="s">
        <v>77</v>
      </c>
      <c r="E82">
        <v>12</v>
      </c>
      <c r="F82" t="s">
        <v>194</v>
      </c>
      <c r="G82">
        <v>65</v>
      </c>
      <c r="H82">
        <v>14435</v>
      </c>
      <c r="I82">
        <v>64</v>
      </c>
      <c r="J82">
        <v>47</v>
      </c>
      <c r="K82">
        <v>78</v>
      </c>
      <c r="L82">
        <v>-14371</v>
      </c>
      <c r="M82" s="1" t="s">
        <v>200</v>
      </c>
      <c r="N82">
        <v>4.4140975239671696E-3</v>
      </c>
      <c r="O82" s="1" t="s">
        <v>201</v>
      </c>
      <c r="P82">
        <v>0</v>
      </c>
      <c r="Q82">
        <v>0</v>
      </c>
      <c r="R82">
        <v>0</v>
      </c>
      <c r="S82">
        <v>0</v>
      </c>
      <c r="T82">
        <v>39.663424999999997</v>
      </c>
      <c r="U82">
        <f t="shared" si="2"/>
        <v>0</v>
      </c>
      <c r="V82">
        <f t="shared" si="3"/>
        <v>0</v>
      </c>
    </row>
    <row r="83" spans="1:22" x14ac:dyDescent="0.2">
      <c r="A83" t="s">
        <v>164</v>
      </c>
      <c r="B83" t="s">
        <v>8</v>
      </c>
      <c r="C83" t="s">
        <v>76</v>
      </c>
      <c r="D83" t="s">
        <v>77</v>
      </c>
      <c r="E83">
        <v>13</v>
      </c>
      <c r="F83" t="s">
        <v>91</v>
      </c>
      <c r="G83">
        <v>68</v>
      </c>
      <c r="H83">
        <v>860029</v>
      </c>
      <c r="I83">
        <v>0</v>
      </c>
      <c r="J83">
        <v>61</v>
      </c>
      <c r="K83">
        <v>85</v>
      </c>
      <c r="L83">
        <v>-860029</v>
      </c>
      <c r="M83">
        <v>1</v>
      </c>
      <c r="N83">
        <v>0</v>
      </c>
      <c r="O83">
        <v>1.0761671456258101E-3</v>
      </c>
      <c r="P83">
        <v>0</v>
      </c>
      <c r="Q83">
        <v>0</v>
      </c>
      <c r="R83">
        <v>0</v>
      </c>
      <c r="S83">
        <v>0</v>
      </c>
      <c r="T83">
        <v>39.663424999999997</v>
      </c>
      <c r="U83">
        <f t="shared" si="2"/>
        <v>0</v>
      </c>
      <c r="V83">
        <f t="shared" si="3"/>
        <v>0</v>
      </c>
    </row>
    <row r="84" spans="1:22" x14ac:dyDescent="0.2">
      <c r="A84" t="s">
        <v>164</v>
      </c>
      <c r="B84" t="s">
        <v>8</v>
      </c>
      <c r="C84" t="s">
        <v>76</v>
      </c>
      <c r="D84" t="s">
        <v>77</v>
      </c>
      <c r="E84">
        <v>11</v>
      </c>
      <c r="F84" t="s">
        <v>127</v>
      </c>
      <c r="G84">
        <v>59</v>
      </c>
      <c r="H84">
        <v>27570</v>
      </c>
      <c r="I84">
        <v>0</v>
      </c>
      <c r="J84">
        <v>52</v>
      </c>
      <c r="K84">
        <v>68</v>
      </c>
      <c r="L84">
        <v>-27570</v>
      </c>
      <c r="M84">
        <v>1</v>
      </c>
      <c r="N84">
        <v>0</v>
      </c>
      <c r="O84" s="1" t="s">
        <v>202</v>
      </c>
      <c r="P84">
        <v>0</v>
      </c>
      <c r="Q84">
        <v>0</v>
      </c>
      <c r="R84">
        <v>0</v>
      </c>
      <c r="S84">
        <v>0</v>
      </c>
      <c r="T84">
        <v>39.663424999999997</v>
      </c>
      <c r="U84">
        <f t="shared" si="2"/>
        <v>0</v>
      </c>
      <c r="V84">
        <f t="shared" si="3"/>
        <v>0</v>
      </c>
    </row>
    <row r="85" spans="1:22" x14ac:dyDescent="0.2">
      <c r="A85" t="s">
        <v>164</v>
      </c>
      <c r="B85" t="s">
        <v>8</v>
      </c>
      <c r="C85" t="s">
        <v>76</v>
      </c>
      <c r="D85" t="s">
        <v>77</v>
      </c>
      <c r="E85">
        <v>13</v>
      </c>
      <c r="F85" t="s">
        <v>91</v>
      </c>
      <c r="G85">
        <v>69</v>
      </c>
      <c r="H85">
        <v>207788</v>
      </c>
      <c r="I85">
        <v>8673</v>
      </c>
      <c r="J85">
        <v>52</v>
      </c>
      <c r="K85">
        <v>69</v>
      </c>
      <c r="L85">
        <v>-199115</v>
      </c>
      <c r="M85">
        <v>0.95993273615108499</v>
      </c>
      <c r="N85">
        <v>4.0067263848915E-2</v>
      </c>
      <c r="O85" s="1" t="s">
        <v>203</v>
      </c>
      <c r="P85">
        <v>0</v>
      </c>
      <c r="Q85">
        <v>0</v>
      </c>
      <c r="R85">
        <v>0</v>
      </c>
      <c r="S85">
        <v>0</v>
      </c>
      <c r="T85">
        <v>39.663424999999997</v>
      </c>
      <c r="U85">
        <f t="shared" si="2"/>
        <v>0</v>
      </c>
      <c r="V85">
        <f t="shared" si="3"/>
        <v>0</v>
      </c>
    </row>
    <row r="86" spans="1:22" x14ac:dyDescent="0.2">
      <c r="A86" t="s">
        <v>164</v>
      </c>
      <c r="B86" t="s">
        <v>8</v>
      </c>
      <c r="C86" t="s">
        <v>76</v>
      </c>
      <c r="D86" t="s">
        <v>77</v>
      </c>
      <c r="E86">
        <v>10</v>
      </c>
      <c r="F86" t="s">
        <v>119</v>
      </c>
      <c r="G86">
        <v>49</v>
      </c>
      <c r="H86">
        <v>16597641</v>
      </c>
      <c r="I86">
        <v>3415</v>
      </c>
      <c r="J86">
        <v>12</v>
      </c>
      <c r="K86">
        <v>75</v>
      </c>
      <c r="L86">
        <v>-16594226</v>
      </c>
      <c r="M86" s="1" t="s">
        <v>204</v>
      </c>
      <c r="N86" s="1" t="s">
        <v>205</v>
      </c>
      <c r="O86" s="1" t="s">
        <v>206</v>
      </c>
      <c r="P86">
        <v>0</v>
      </c>
      <c r="Q86">
        <v>0</v>
      </c>
      <c r="R86">
        <v>0</v>
      </c>
      <c r="S86">
        <v>0</v>
      </c>
      <c r="T86">
        <v>39.663424999999997</v>
      </c>
      <c r="U86">
        <f t="shared" si="2"/>
        <v>0</v>
      </c>
      <c r="V86">
        <f t="shared" si="3"/>
        <v>0</v>
      </c>
    </row>
    <row r="87" spans="1:22" x14ac:dyDescent="0.2">
      <c r="A87" t="s">
        <v>164</v>
      </c>
      <c r="B87" t="s">
        <v>8</v>
      </c>
      <c r="C87" t="s">
        <v>76</v>
      </c>
      <c r="D87" t="s">
        <v>77</v>
      </c>
      <c r="E87">
        <v>15</v>
      </c>
      <c r="F87" t="s">
        <v>88</v>
      </c>
      <c r="G87">
        <v>72</v>
      </c>
      <c r="H87">
        <v>1650962</v>
      </c>
      <c r="I87">
        <v>180</v>
      </c>
      <c r="J87">
        <v>106</v>
      </c>
      <c r="K87">
        <v>72</v>
      </c>
      <c r="L87">
        <v>-1650782</v>
      </c>
      <c r="M87" s="1" t="s">
        <v>207</v>
      </c>
      <c r="N87" s="1" t="s">
        <v>208</v>
      </c>
      <c r="O87">
        <v>2.0660986701179799E-3</v>
      </c>
      <c r="P87">
        <v>0</v>
      </c>
      <c r="Q87">
        <v>0</v>
      </c>
      <c r="R87">
        <v>0</v>
      </c>
      <c r="S87">
        <v>0</v>
      </c>
      <c r="T87">
        <v>39.663424999999997</v>
      </c>
      <c r="U87">
        <f t="shared" si="2"/>
        <v>0</v>
      </c>
      <c r="V87">
        <f t="shared" si="3"/>
        <v>0</v>
      </c>
    </row>
    <row r="88" spans="1:22" x14ac:dyDescent="0.2">
      <c r="A88" t="s">
        <v>164</v>
      </c>
      <c r="B88" t="s">
        <v>8</v>
      </c>
      <c r="C88" t="s">
        <v>76</v>
      </c>
      <c r="D88" t="s">
        <v>77</v>
      </c>
      <c r="E88">
        <v>11</v>
      </c>
      <c r="F88" t="s">
        <v>127</v>
      </c>
      <c r="G88">
        <v>63</v>
      </c>
      <c r="H88">
        <v>63434</v>
      </c>
      <c r="I88">
        <v>18451</v>
      </c>
      <c r="J88">
        <v>75</v>
      </c>
      <c r="K88">
        <v>80</v>
      </c>
      <c r="L88">
        <v>-44983</v>
      </c>
      <c r="M88" s="1" t="s">
        <v>209</v>
      </c>
      <c r="N88" s="1" t="s">
        <v>210</v>
      </c>
      <c r="O88" s="1" t="s">
        <v>211</v>
      </c>
      <c r="P88">
        <v>0</v>
      </c>
      <c r="Q88">
        <v>0</v>
      </c>
      <c r="R88">
        <v>0</v>
      </c>
      <c r="S88">
        <v>0</v>
      </c>
      <c r="T88">
        <v>39.663424999999997</v>
      </c>
      <c r="U88">
        <f t="shared" si="2"/>
        <v>0</v>
      </c>
      <c r="V88">
        <f t="shared" si="3"/>
        <v>0</v>
      </c>
    </row>
    <row r="89" spans="1:22" x14ac:dyDescent="0.2">
      <c r="A89" t="s">
        <v>164</v>
      </c>
      <c r="B89" t="s">
        <v>8</v>
      </c>
      <c r="C89" t="s">
        <v>76</v>
      </c>
      <c r="D89" t="s">
        <v>77</v>
      </c>
      <c r="E89">
        <v>21</v>
      </c>
      <c r="F89" t="s">
        <v>212</v>
      </c>
      <c r="G89">
        <v>97</v>
      </c>
      <c r="H89">
        <v>3682</v>
      </c>
      <c r="I89">
        <v>216</v>
      </c>
      <c r="J89">
        <v>73</v>
      </c>
      <c r="K89">
        <v>84</v>
      </c>
      <c r="L89">
        <v>-3466</v>
      </c>
      <c r="M89" s="1" t="s">
        <v>213</v>
      </c>
      <c r="N89" s="1" t="s">
        <v>214</v>
      </c>
      <c r="O89" s="1" t="s">
        <v>215</v>
      </c>
      <c r="P89">
        <v>0</v>
      </c>
      <c r="Q89">
        <v>0</v>
      </c>
      <c r="R89">
        <v>0</v>
      </c>
      <c r="S89">
        <v>0</v>
      </c>
      <c r="T89">
        <v>39.663424999999997</v>
      </c>
      <c r="U89">
        <f t="shared" si="2"/>
        <v>0</v>
      </c>
      <c r="V89">
        <f t="shared" si="3"/>
        <v>0</v>
      </c>
    </row>
    <row r="90" spans="1:22" x14ac:dyDescent="0.2">
      <c r="A90" t="s">
        <v>164</v>
      </c>
      <c r="B90" t="s">
        <v>8</v>
      </c>
      <c r="C90" t="s">
        <v>76</v>
      </c>
      <c r="D90" t="s">
        <v>77</v>
      </c>
      <c r="E90">
        <v>15</v>
      </c>
      <c r="F90" t="s">
        <v>88</v>
      </c>
      <c r="G90">
        <v>76</v>
      </c>
      <c r="H90">
        <v>32895</v>
      </c>
      <c r="I90">
        <v>4</v>
      </c>
      <c r="J90">
        <v>106</v>
      </c>
      <c r="K90">
        <v>91</v>
      </c>
      <c r="L90">
        <v>-32891</v>
      </c>
      <c r="M90" s="1" t="s">
        <v>216</v>
      </c>
      <c r="N90" s="1" t="s">
        <v>217</v>
      </c>
      <c r="O90" s="1" t="s">
        <v>218</v>
      </c>
      <c r="P90">
        <v>0</v>
      </c>
      <c r="Q90">
        <v>0</v>
      </c>
      <c r="R90">
        <v>0</v>
      </c>
      <c r="S90">
        <v>0</v>
      </c>
      <c r="T90">
        <v>39.663424999999997</v>
      </c>
      <c r="U90">
        <f t="shared" si="2"/>
        <v>0</v>
      </c>
      <c r="V90">
        <f t="shared" si="3"/>
        <v>0</v>
      </c>
    </row>
    <row r="91" spans="1:22" x14ac:dyDescent="0.2">
      <c r="A91" t="s">
        <v>164</v>
      </c>
      <c r="B91" t="s">
        <v>8</v>
      </c>
      <c r="C91" t="s">
        <v>76</v>
      </c>
      <c r="D91" t="s">
        <v>77</v>
      </c>
      <c r="E91">
        <v>20</v>
      </c>
      <c r="F91" t="s">
        <v>104</v>
      </c>
      <c r="G91">
        <v>95</v>
      </c>
      <c r="H91">
        <v>7128</v>
      </c>
      <c r="I91">
        <v>2810</v>
      </c>
      <c r="J91">
        <v>100</v>
      </c>
      <c r="K91">
        <v>75</v>
      </c>
      <c r="L91">
        <v>-4318</v>
      </c>
      <c r="M91" s="1" t="s">
        <v>219</v>
      </c>
      <c r="N91" s="1" t="s">
        <v>220</v>
      </c>
      <c r="O91" s="1" t="s">
        <v>221</v>
      </c>
      <c r="P91">
        <v>0</v>
      </c>
      <c r="Q91">
        <v>0</v>
      </c>
      <c r="R91">
        <v>0</v>
      </c>
      <c r="S91">
        <v>0</v>
      </c>
      <c r="T91">
        <v>39.663424999999997</v>
      </c>
      <c r="U91">
        <f t="shared" si="2"/>
        <v>0</v>
      </c>
      <c r="V91">
        <f t="shared" si="3"/>
        <v>0</v>
      </c>
    </row>
    <row r="92" spans="1:22" x14ac:dyDescent="0.2">
      <c r="A92" t="s">
        <v>164</v>
      </c>
      <c r="B92" t="s">
        <v>8</v>
      </c>
      <c r="C92" t="s">
        <v>76</v>
      </c>
      <c r="D92" t="s">
        <v>77</v>
      </c>
      <c r="E92">
        <v>15</v>
      </c>
      <c r="F92" t="s">
        <v>88</v>
      </c>
      <c r="G92">
        <v>75</v>
      </c>
      <c r="H92">
        <v>1330</v>
      </c>
      <c r="I92">
        <v>88</v>
      </c>
      <c r="J92">
        <v>73</v>
      </c>
      <c r="K92">
        <v>48</v>
      </c>
      <c r="L92">
        <v>-1242</v>
      </c>
      <c r="M92" s="1" t="s">
        <v>222</v>
      </c>
      <c r="N92">
        <v>6.2059238363892801E-2</v>
      </c>
      <c r="O92" s="1" t="s">
        <v>223</v>
      </c>
      <c r="P92">
        <v>0</v>
      </c>
      <c r="Q92">
        <v>0</v>
      </c>
      <c r="R92">
        <v>0</v>
      </c>
      <c r="S92">
        <v>0</v>
      </c>
      <c r="T92">
        <v>39.663424999999997</v>
      </c>
      <c r="U92">
        <f t="shared" si="2"/>
        <v>0</v>
      </c>
      <c r="V92">
        <f t="shared" si="3"/>
        <v>0</v>
      </c>
    </row>
    <row r="93" spans="1:22" x14ac:dyDescent="0.2">
      <c r="A93" t="s">
        <v>164</v>
      </c>
      <c r="B93" t="s">
        <v>8</v>
      </c>
      <c r="C93" t="s">
        <v>76</v>
      </c>
      <c r="D93" t="s">
        <v>77</v>
      </c>
      <c r="E93" s="1" t="s">
        <v>163</v>
      </c>
      <c r="F93" t="s">
        <v>224</v>
      </c>
      <c r="G93">
        <v>42</v>
      </c>
      <c r="H93">
        <v>13026</v>
      </c>
      <c r="I93">
        <v>7036</v>
      </c>
      <c r="J93">
        <v>68</v>
      </c>
      <c r="K93">
        <v>70</v>
      </c>
      <c r="L93">
        <v>-5990</v>
      </c>
      <c r="M93" s="1" t="s">
        <v>225</v>
      </c>
      <c r="N93" s="1" t="s">
        <v>226</v>
      </c>
      <c r="O93" s="1" t="s">
        <v>227</v>
      </c>
      <c r="P93">
        <v>0</v>
      </c>
      <c r="Q93">
        <v>0</v>
      </c>
      <c r="R93">
        <v>0</v>
      </c>
      <c r="S93">
        <v>0</v>
      </c>
      <c r="T93">
        <v>39.663424999999997</v>
      </c>
      <c r="U93">
        <f t="shared" si="2"/>
        <v>0</v>
      </c>
      <c r="V93">
        <f t="shared" si="3"/>
        <v>0</v>
      </c>
    </row>
    <row r="94" spans="1:22" x14ac:dyDescent="0.2">
      <c r="A94" t="s">
        <v>164</v>
      </c>
      <c r="B94" t="s">
        <v>8</v>
      </c>
      <c r="C94" t="s">
        <v>76</v>
      </c>
      <c r="D94" t="s">
        <v>77</v>
      </c>
      <c r="E94">
        <v>15</v>
      </c>
      <c r="F94" t="s">
        <v>88</v>
      </c>
      <c r="G94">
        <v>74</v>
      </c>
      <c r="H94">
        <v>2625</v>
      </c>
      <c r="I94">
        <v>2738</v>
      </c>
      <c r="J94">
        <v>90</v>
      </c>
      <c r="K94">
        <v>76</v>
      </c>
      <c r="L94">
        <v>113</v>
      </c>
      <c r="M94" s="1" t="s">
        <v>228</v>
      </c>
      <c r="N94" s="1" t="s">
        <v>229</v>
      </c>
      <c r="O94" s="1" t="s">
        <v>230</v>
      </c>
      <c r="P94">
        <v>0</v>
      </c>
      <c r="Q94">
        <v>0</v>
      </c>
      <c r="R94">
        <v>0</v>
      </c>
      <c r="S94">
        <v>0</v>
      </c>
      <c r="T94">
        <v>39.663424999999997</v>
      </c>
      <c r="U94">
        <f t="shared" si="2"/>
        <v>0</v>
      </c>
      <c r="V94">
        <f t="shared" si="3"/>
        <v>0</v>
      </c>
    </row>
    <row r="95" spans="1:22" x14ac:dyDescent="0.2">
      <c r="A95" t="s">
        <v>164</v>
      </c>
      <c r="B95" t="s">
        <v>8</v>
      </c>
      <c r="C95" t="s">
        <v>76</v>
      </c>
      <c r="D95" t="s">
        <v>77</v>
      </c>
      <c r="E95">
        <v>11</v>
      </c>
      <c r="F95" t="s">
        <v>127</v>
      </c>
      <c r="G95">
        <v>57</v>
      </c>
      <c r="H95">
        <v>5163</v>
      </c>
      <c r="I95">
        <v>497</v>
      </c>
      <c r="J95">
        <v>60</v>
      </c>
      <c r="K95">
        <v>68</v>
      </c>
      <c r="L95">
        <v>-4666</v>
      </c>
      <c r="M95">
        <v>0.91219081272084801</v>
      </c>
      <c r="N95">
        <v>8.7809187279151907E-2</v>
      </c>
      <c r="O95" s="1" t="s">
        <v>231</v>
      </c>
      <c r="P95">
        <v>0</v>
      </c>
      <c r="Q95">
        <v>0</v>
      </c>
      <c r="R95">
        <v>0</v>
      </c>
      <c r="S95">
        <v>0</v>
      </c>
      <c r="T95">
        <v>39.663424999999997</v>
      </c>
      <c r="U95">
        <f t="shared" si="2"/>
        <v>0</v>
      </c>
      <c r="V95">
        <f t="shared" si="3"/>
        <v>0</v>
      </c>
    </row>
    <row r="96" spans="1:22" x14ac:dyDescent="0.2">
      <c r="A96" t="s">
        <v>164</v>
      </c>
      <c r="B96" t="s">
        <v>8</v>
      </c>
      <c r="C96" t="s">
        <v>76</v>
      </c>
      <c r="D96" t="s">
        <v>77</v>
      </c>
      <c r="E96" s="1" t="s">
        <v>89</v>
      </c>
      <c r="F96" t="s">
        <v>90</v>
      </c>
      <c r="G96">
        <v>33</v>
      </c>
      <c r="H96">
        <v>3713</v>
      </c>
      <c r="I96">
        <v>87</v>
      </c>
      <c r="J96">
        <v>115</v>
      </c>
      <c r="K96">
        <v>92</v>
      </c>
      <c r="L96">
        <v>-3626</v>
      </c>
      <c r="M96" s="1" t="s">
        <v>232</v>
      </c>
      <c r="N96" s="1" t="s">
        <v>233</v>
      </c>
      <c r="O96" s="1" t="s">
        <v>234</v>
      </c>
      <c r="P96">
        <v>0</v>
      </c>
      <c r="Q96">
        <v>0</v>
      </c>
      <c r="R96">
        <v>0</v>
      </c>
      <c r="S96">
        <v>0</v>
      </c>
      <c r="T96">
        <v>39.663424999999997</v>
      </c>
      <c r="U96">
        <f t="shared" si="2"/>
        <v>0</v>
      </c>
      <c r="V96">
        <f t="shared" si="3"/>
        <v>0</v>
      </c>
    </row>
    <row r="97" spans="1:22" x14ac:dyDescent="0.2">
      <c r="A97" t="s">
        <v>164</v>
      </c>
      <c r="B97" t="s">
        <v>8</v>
      </c>
      <c r="C97" t="s">
        <v>76</v>
      </c>
      <c r="D97" t="s">
        <v>77</v>
      </c>
      <c r="E97">
        <v>11</v>
      </c>
      <c r="F97" t="s">
        <v>127</v>
      </c>
      <c r="G97">
        <v>52</v>
      </c>
      <c r="H97">
        <v>1955</v>
      </c>
      <c r="I97">
        <v>150</v>
      </c>
      <c r="J97">
        <v>63</v>
      </c>
      <c r="K97">
        <v>64</v>
      </c>
      <c r="L97">
        <v>-1805</v>
      </c>
      <c r="M97" s="1" t="s">
        <v>235</v>
      </c>
      <c r="N97">
        <v>7.1258907363420401E-2</v>
      </c>
      <c r="O97" s="1" t="s">
        <v>236</v>
      </c>
      <c r="P97">
        <v>0</v>
      </c>
      <c r="Q97">
        <v>0</v>
      </c>
      <c r="R97">
        <v>0</v>
      </c>
      <c r="S97">
        <v>0</v>
      </c>
      <c r="T97">
        <v>39.663424999999997</v>
      </c>
      <c r="U97">
        <f t="shared" si="2"/>
        <v>0</v>
      </c>
      <c r="V97">
        <f t="shared" si="3"/>
        <v>0</v>
      </c>
    </row>
    <row r="98" spans="1:22" x14ac:dyDescent="0.2">
      <c r="A98" t="s">
        <v>164</v>
      </c>
      <c r="B98" t="s">
        <v>8</v>
      </c>
      <c r="C98" t="s">
        <v>76</v>
      </c>
      <c r="D98" t="s">
        <v>77</v>
      </c>
      <c r="E98">
        <v>11</v>
      </c>
      <c r="F98" t="s">
        <v>127</v>
      </c>
      <c r="G98">
        <v>61</v>
      </c>
      <c r="H98">
        <v>61391</v>
      </c>
      <c r="I98">
        <v>1106</v>
      </c>
      <c r="J98">
        <v>59</v>
      </c>
      <c r="K98">
        <v>96</v>
      </c>
      <c r="L98">
        <v>-60285</v>
      </c>
      <c r="M98" s="1" t="s">
        <v>237</v>
      </c>
      <c r="N98">
        <v>1.7696849448773502E-2</v>
      </c>
      <c r="O98" s="1" t="s">
        <v>238</v>
      </c>
      <c r="P98">
        <v>0</v>
      </c>
      <c r="Q98">
        <v>0</v>
      </c>
      <c r="R98">
        <v>0</v>
      </c>
      <c r="S98">
        <v>0</v>
      </c>
      <c r="T98">
        <v>39.663424999999997</v>
      </c>
      <c r="U98">
        <f t="shared" si="2"/>
        <v>0</v>
      </c>
      <c r="V98">
        <f t="shared" si="3"/>
        <v>0</v>
      </c>
    </row>
    <row r="99" spans="1:22" x14ac:dyDescent="0.2">
      <c r="A99" t="s">
        <v>164</v>
      </c>
      <c r="B99" t="s">
        <v>8</v>
      </c>
      <c r="C99" t="s">
        <v>76</v>
      </c>
      <c r="D99" t="s">
        <v>77</v>
      </c>
      <c r="E99">
        <v>18</v>
      </c>
      <c r="F99" t="s">
        <v>147</v>
      </c>
      <c r="G99">
        <v>91</v>
      </c>
      <c r="H99">
        <v>711</v>
      </c>
      <c r="I99">
        <v>55</v>
      </c>
      <c r="J99">
        <v>77</v>
      </c>
      <c r="K99">
        <v>64</v>
      </c>
      <c r="L99">
        <v>-656</v>
      </c>
      <c r="M99" s="1" t="s">
        <v>239</v>
      </c>
      <c r="N99">
        <v>7.1801566579634393E-2</v>
      </c>
      <c r="O99" s="1" t="s">
        <v>240</v>
      </c>
      <c r="P99">
        <v>0</v>
      </c>
      <c r="Q99">
        <v>0</v>
      </c>
      <c r="R99">
        <v>0</v>
      </c>
      <c r="S99">
        <v>0</v>
      </c>
      <c r="T99">
        <v>39.663424999999997</v>
      </c>
      <c r="U99">
        <f t="shared" si="2"/>
        <v>0</v>
      </c>
      <c r="V99">
        <f t="shared" si="3"/>
        <v>0</v>
      </c>
    </row>
    <row r="100" spans="1:22" x14ac:dyDescent="0.2">
      <c r="A100" t="s">
        <v>164</v>
      </c>
      <c r="B100" t="s">
        <v>8</v>
      </c>
      <c r="C100" t="s">
        <v>76</v>
      </c>
      <c r="D100" t="s">
        <v>77</v>
      </c>
      <c r="E100">
        <v>20</v>
      </c>
      <c r="F100" t="s">
        <v>104</v>
      </c>
      <c r="G100">
        <v>96</v>
      </c>
      <c r="H100">
        <v>416635</v>
      </c>
      <c r="I100">
        <v>2973</v>
      </c>
      <c r="J100">
        <v>40</v>
      </c>
      <c r="K100">
        <v>74</v>
      </c>
      <c r="L100">
        <v>-413662</v>
      </c>
      <c r="M100" s="1" t="s">
        <v>241</v>
      </c>
      <c r="N100">
        <v>7.0851842672208301E-3</v>
      </c>
      <c r="O100" s="1" t="s">
        <v>242</v>
      </c>
      <c r="P100">
        <v>0</v>
      </c>
      <c r="Q100">
        <v>0</v>
      </c>
      <c r="R100">
        <v>0</v>
      </c>
      <c r="S100">
        <v>0</v>
      </c>
      <c r="T100">
        <v>39.663424999999997</v>
      </c>
      <c r="U100">
        <f t="shared" si="2"/>
        <v>0</v>
      </c>
      <c r="V100">
        <f t="shared" si="3"/>
        <v>0</v>
      </c>
    </row>
    <row r="101" spans="1:22" x14ac:dyDescent="0.2">
      <c r="A101" t="s">
        <v>164</v>
      </c>
      <c r="B101" t="s">
        <v>8</v>
      </c>
      <c r="C101" t="s">
        <v>76</v>
      </c>
      <c r="D101" t="s">
        <v>77</v>
      </c>
      <c r="E101" s="1" t="s">
        <v>89</v>
      </c>
      <c r="F101" t="s">
        <v>90</v>
      </c>
      <c r="G101">
        <v>35</v>
      </c>
      <c r="H101">
        <v>48</v>
      </c>
      <c r="I101">
        <v>0</v>
      </c>
      <c r="J101">
        <v>92</v>
      </c>
      <c r="K101">
        <v>73</v>
      </c>
      <c r="L101">
        <v>-48</v>
      </c>
      <c r="M101">
        <v>1</v>
      </c>
      <c r="N101">
        <v>0</v>
      </c>
      <c r="O101" s="1" t="s">
        <v>243</v>
      </c>
      <c r="P101">
        <v>0</v>
      </c>
      <c r="Q101">
        <v>0</v>
      </c>
      <c r="R101">
        <v>0</v>
      </c>
      <c r="S101">
        <v>0</v>
      </c>
      <c r="T101">
        <v>39.663424999999997</v>
      </c>
      <c r="U101">
        <f t="shared" si="2"/>
        <v>0</v>
      </c>
      <c r="V101">
        <f t="shared" si="3"/>
        <v>0</v>
      </c>
    </row>
    <row r="102" spans="1:22" x14ac:dyDescent="0.2">
      <c r="A102" t="s">
        <v>164</v>
      </c>
      <c r="B102" t="s">
        <v>8</v>
      </c>
      <c r="C102" t="s">
        <v>76</v>
      </c>
      <c r="D102" t="s">
        <v>77</v>
      </c>
      <c r="E102" s="1" t="s">
        <v>89</v>
      </c>
      <c r="F102" t="s">
        <v>90</v>
      </c>
      <c r="G102">
        <v>34</v>
      </c>
      <c r="H102">
        <v>13374</v>
      </c>
      <c r="I102">
        <v>81</v>
      </c>
      <c r="J102">
        <v>104</v>
      </c>
      <c r="K102">
        <v>83</v>
      </c>
      <c r="L102">
        <v>-13293</v>
      </c>
      <c r="M102" s="1" t="s">
        <v>244</v>
      </c>
      <c r="N102">
        <v>6.0200668896320999E-3</v>
      </c>
      <c r="O102" s="1" t="s">
        <v>245</v>
      </c>
      <c r="P102">
        <v>0</v>
      </c>
      <c r="Q102">
        <v>0</v>
      </c>
      <c r="R102">
        <v>0</v>
      </c>
      <c r="S102">
        <v>0</v>
      </c>
      <c r="T102">
        <v>39.663424999999997</v>
      </c>
      <c r="U102">
        <f t="shared" si="2"/>
        <v>0</v>
      </c>
      <c r="V102">
        <f t="shared" si="3"/>
        <v>0</v>
      </c>
    </row>
    <row r="103" spans="1:22" x14ac:dyDescent="0.2">
      <c r="A103" t="s">
        <v>164</v>
      </c>
      <c r="B103" t="s">
        <v>8</v>
      </c>
      <c r="C103" t="s">
        <v>76</v>
      </c>
      <c r="D103" t="s">
        <v>77</v>
      </c>
      <c r="E103" s="1" t="s">
        <v>93</v>
      </c>
      <c r="F103" t="s">
        <v>94</v>
      </c>
      <c r="G103">
        <v>44</v>
      </c>
      <c r="H103">
        <v>39521</v>
      </c>
      <c r="I103">
        <v>5414</v>
      </c>
      <c r="J103">
        <v>120</v>
      </c>
      <c r="K103">
        <v>85</v>
      </c>
      <c r="L103">
        <v>-34107</v>
      </c>
      <c r="M103" s="1" t="s">
        <v>246</v>
      </c>
      <c r="N103" s="1" t="s">
        <v>247</v>
      </c>
      <c r="O103" s="1" t="s">
        <v>248</v>
      </c>
      <c r="P103">
        <v>0</v>
      </c>
      <c r="Q103">
        <v>0</v>
      </c>
      <c r="R103">
        <v>0</v>
      </c>
      <c r="S103">
        <v>0</v>
      </c>
      <c r="T103">
        <v>39.663424999999997</v>
      </c>
      <c r="U103">
        <f t="shared" si="2"/>
        <v>0</v>
      </c>
      <c r="V103">
        <f t="shared" si="3"/>
        <v>0</v>
      </c>
    </row>
    <row r="104" spans="1:22" x14ac:dyDescent="0.2">
      <c r="A104" t="s">
        <v>164</v>
      </c>
      <c r="B104" t="s">
        <v>8</v>
      </c>
      <c r="C104" t="s">
        <v>76</v>
      </c>
      <c r="D104" t="s">
        <v>77</v>
      </c>
      <c r="E104">
        <v>11</v>
      </c>
      <c r="F104" t="s">
        <v>127</v>
      </c>
      <c r="G104">
        <v>56</v>
      </c>
      <c r="H104">
        <v>8705</v>
      </c>
      <c r="I104">
        <v>462</v>
      </c>
      <c r="J104">
        <v>79</v>
      </c>
      <c r="K104">
        <v>71</v>
      </c>
      <c r="L104">
        <v>-8243</v>
      </c>
      <c r="M104" s="1" t="s">
        <v>249</v>
      </c>
      <c r="N104">
        <v>5.0398167339369401E-2</v>
      </c>
      <c r="O104" s="1" t="s">
        <v>250</v>
      </c>
      <c r="P104">
        <v>0</v>
      </c>
      <c r="Q104">
        <v>0</v>
      </c>
      <c r="R104">
        <v>0</v>
      </c>
      <c r="S104">
        <v>0</v>
      </c>
      <c r="T104">
        <v>39.663424999999997</v>
      </c>
      <c r="U104">
        <f t="shared" si="2"/>
        <v>0</v>
      </c>
      <c r="V104">
        <f t="shared" si="3"/>
        <v>0</v>
      </c>
    </row>
    <row r="105" spans="1:22" x14ac:dyDescent="0.2">
      <c r="A105" t="s">
        <v>164</v>
      </c>
      <c r="B105" t="s">
        <v>8</v>
      </c>
      <c r="C105" t="s">
        <v>76</v>
      </c>
      <c r="D105" t="s">
        <v>77</v>
      </c>
      <c r="E105" s="1" t="s">
        <v>85</v>
      </c>
      <c r="F105" t="s">
        <v>86</v>
      </c>
      <c r="G105">
        <v>25</v>
      </c>
      <c r="H105">
        <v>108371</v>
      </c>
      <c r="I105">
        <v>1137</v>
      </c>
      <c r="J105">
        <v>91</v>
      </c>
      <c r="K105">
        <v>83</v>
      </c>
      <c r="L105">
        <v>-107234</v>
      </c>
      <c r="M105" s="1" t="s">
        <v>251</v>
      </c>
      <c r="N105">
        <v>1.0382803082879701E-2</v>
      </c>
      <c r="O105" s="1" t="s">
        <v>252</v>
      </c>
      <c r="P105">
        <v>0</v>
      </c>
      <c r="Q105">
        <v>0</v>
      </c>
      <c r="R105">
        <v>0</v>
      </c>
      <c r="S105">
        <v>0</v>
      </c>
      <c r="T105">
        <v>39.663424999999997</v>
      </c>
      <c r="U105">
        <f t="shared" si="2"/>
        <v>0</v>
      </c>
      <c r="V105">
        <f t="shared" si="3"/>
        <v>0</v>
      </c>
    </row>
    <row r="106" spans="1:22" x14ac:dyDescent="0.2">
      <c r="A106" t="s">
        <v>164</v>
      </c>
      <c r="B106" t="s">
        <v>8</v>
      </c>
      <c r="C106" t="s">
        <v>76</v>
      </c>
      <c r="D106" t="s">
        <v>77</v>
      </c>
      <c r="E106">
        <v>18</v>
      </c>
      <c r="F106" t="s">
        <v>147</v>
      </c>
      <c r="G106">
        <v>92</v>
      </c>
      <c r="H106">
        <v>327</v>
      </c>
      <c r="I106">
        <v>1549</v>
      </c>
      <c r="J106">
        <v>85</v>
      </c>
      <c r="K106">
        <v>57</v>
      </c>
      <c r="L106">
        <v>1222</v>
      </c>
      <c r="M106" s="1" t="s">
        <v>253</v>
      </c>
      <c r="N106" s="1" t="s">
        <v>254</v>
      </c>
      <c r="O106" s="1" t="s">
        <v>255</v>
      </c>
      <c r="P106">
        <v>0</v>
      </c>
      <c r="Q106">
        <v>0</v>
      </c>
      <c r="R106">
        <v>0</v>
      </c>
      <c r="S106">
        <v>0</v>
      </c>
      <c r="T106">
        <v>39.663424999999997</v>
      </c>
      <c r="U106">
        <f t="shared" si="2"/>
        <v>0</v>
      </c>
      <c r="V106">
        <f t="shared" si="3"/>
        <v>0</v>
      </c>
    </row>
    <row r="107" spans="1:22" x14ac:dyDescent="0.2">
      <c r="A107" t="s">
        <v>164</v>
      </c>
      <c r="B107" t="s">
        <v>8</v>
      </c>
      <c r="C107" t="s">
        <v>76</v>
      </c>
      <c r="D107" t="s">
        <v>77</v>
      </c>
      <c r="E107">
        <v>15</v>
      </c>
      <c r="F107" t="s">
        <v>88</v>
      </c>
      <c r="G107">
        <v>81</v>
      </c>
      <c r="H107">
        <v>0</v>
      </c>
      <c r="I107">
        <v>5519</v>
      </c>
      <c r="J107">
        <v>79</v>
      </c>
      <c r="K107">
        <v>51</v>
      </c>
      <c r="L107">
        <v>5519</v>
      </c>
      <c r="M107">
        <v>0</v>
      </c>
      <c r="N107">
        <v>1</v>
      </c>
      <c r="O107" s="1" t="s">
        <v>256</v>
      </c>
      <c r="P107">
        <v>0</v>
      </c>
      <c r="Q107">
        <v>0</v>
      </c>
      <c r="R107">
        <v>0</v>
      </c>
      <c r="S107">
        <v>0</v>
      </c>
      <c r="T107">
        <v>39.663424999999997</v>
      </c>
      <c r="U107">
        <f t="shared" si="2"/>
        <v>0</v>
      </c>
      <c r="V107">
        <f t="shared" si="3"/>
        <v>0</v>
      </c>
    </row>
    <row r="108" spans="1:22" x14ac:dyDescent="0.2">
      <c r="A108" t="s">
        <v>257</v>
      </c>
      <c r="B108" t="s">
        <v>9</v>
      </c>
      <c r="C108" t="s">
        <v>76</v>
      </c>
      <c r="D108" t="s">
        <v>77</v>
      </c>
      <c r="E108" s="1" t="s">
        <v>85</v>
      </c>
      <c r="F108" t="s">
        <v>86</v>
      </c>
      <c r="G108">
        <v>27</v>
      </c>
      <c r="H108">
        <v>2459244297</v>
      </c>
      <c r="I108">
        <v>4315122</v>
      </c>
      <c r="J108">
        <v>42</v>
      </c>
      <c r="K108">
        <v>45</v>
      </c>
      <c r="L108">
        <v>-2454929175</v>
      </c>
      <c r="M108">
        <v>0.99824841975934497</v>
      </c>
      <c r="N108">
        <v>1.75158024065503E-3</v>
      </c>
      <c r="O108">
        <v>0.264017714463255</v>
      </c>
      <c r="P108">
        <v>0</v>
      </c>
      <c r="Q108">
        <v>0</v>
      </c>
      <c r="R108">
        <v>0</v>
      </c>
      <c r="S108">
        <v>0</v>
      </c>
      <c r="T108">
        <v>171.3383935</v>
      </c>
      <c r="U108">
        <f t="shared" si="2"/>
        <v>0</v>
      </c>
      <c r="V108">
        <f t="shared" si="3"/>
        <v>0</v>
      </c>
    </row>
    <row r="109" spans="1:22" x14ac:dyDescent="0.2">
      <c r="A109" t="s">
        <v>257</v>
      </c>
      <c r="B109" t="s">
        <v>9</v>
      </c>
      <c r="C109" t="s">
        <v>76</v>
      </c>
      <c r="D109" t="s">
        <v>77</v>
      </c>
      <c r="E109" s="1" t="s">
        <v>82</v>
      </c>
      <c r="F109" t="s">
        <v>83</v>
      </c>
      <c r="G109">
        <v>10</v>
      </c>
      <c r="H109">
        <v>366423090</v>
      </c>
      <c r="I109">
        <v>5745</v>
      </c>
      <c r="J109">
        <v>19</v>
      </c>
      <c r="K109">
        <v>53</v>
      </c>
      <c r="L109">
        <v>-366417345</v>
      </c>
      <c r="M109" s="1" t="s">
        <v>258</v>
      </c>
      <c r="N109" s="1" t="s">
        <v>259</v>
      </c>
      <c r="O109">
        <v>3.9269888432162503E-2</v>
      </c>
      <c r="P109">
        <v>0</v>
      </c>
      <c r="Q109">
        <v>0</v>
      </c>
      <c r="R109">
        <v>0</v>
      </c>
      <c r="S109">
        <v>0</v>
      </c>
      <c r="T109">
        <v>171.3383935</v>
      </c>
      <c r="U109">
        <f t="shared" si="2"/>
        <v>0</v>
      </c>
      <c r="V109">
        <f t="shared" si="3"/>
        <v>0</v>
      </c>
    </row>
    <row r="110" spans="1:22" x14ac:dyDescent="0.2">
      <c r="A110" t="s">
        <v>257</v>
      </c>
      <c r="B110" t="s">
        <v>9</v>
      </c>
      <c r="C110" t="s">
        <v>76</v>
      </c>
      <c r="D110" t="s">
        <v>77</v>
      </c>
      <c r="E110">
        <v>15</v>
      </c>
      <c r="F110" t="s">
        <v>88</v>
      </c>
      <c r="G110">
        <v>76</v>
      </c>
      <c r="H110">
        <v>320297513</v>
      </c>
      <c r="I110">
        <v>2983386</v>
      </c>
      <c r="J110">
        <v>25</v>
      </c>
      <c r="K110">
        <v>44</v>
      </c>
      <c r="L110">
        <v>-317314127</v>
      </c>
      <c r="M110" s="1" t="s">
        <v>260</v>
      </c>
      <c r="N110">
        <v>9.2284635721704006E-3</v>
      </c>
      <c r="O110">
        <v>3.4645758257477698E-2</v>
      </c>
      <c r="P110">
        <v>0</v>
      </c>
      <c r="Q110">
        <v>0</v>
      </c>
      <c r="R110">
        <v>0</v>
      </c>
      <c r="S110">
        <v>0</v>
      </c>
      <c r="T110">
        <v>171.3383935</v>
      </c>
      <c r="U110">
        <f t="shared" si="2"/>
        <v>0</v>
      </c>
      <c r="V110">
        <f t="shared" si="3"/>
        <v>0</v>
      </c>
    </row>
    <row r="111" spans="1:22" x14ac:dyDescent="0.2">
      <c r="A111" t="s">
        <v>257</v>
      </c>
      <c r="B111" t="s">
        <v>9</v>
      </c>
      <c r="C111" t="s">
        <v>76</v>
      </c>
      <c r="D111" t="s">
        <v>77</v>
      </c>
      <c r="E111">
        <v>14</v>
      </c>
      <c r="F111" t="s">
        <v>261</v>
      </c>
      <c r="G111">
        <v>71</v>
      </c>
      <c r="H111">
        <v>234964716</v>
      </c>
      <c r="I111">
        <v>281151191</v>
      </c>
      <c r="J111">
        <v>19</v>
      </c>
      <c r="K111">
        <v>6</v>
      </c>
      <c r="L111">
        <v>46186475</v>
      </c>
      <c r="M111" s="1" t="s">
        <v>262</v>
      </c>
      <c r="N111" s="1" t="s">
        <v>263</v>
      </c>
      <c r="O111">
        <v>5.5311733548355599E-2</v>
      </c>
      <c r="P111">
        <v>0</v>
      </c>
      <c r="Q111">
        <v>0</v>
      </c>
      <c r="R111">
        <v>0</v>
      </c>
      <c r="S111">
        <v>1</v>
      </c>
      <c r="T111">
        <v>171.3383935</v>
      </c>
      <c r="U111">
        <f t="shared" si="2"/>
        <v>0</v>
      </c>
      <c r="V111">
        <f t="shared" si="3"/>
        <v>1</v>
      </c>
    </row>
    <row r="112" spans="1:22" x14ac:dyDescent="0.2">
      <c r="A112" t="s">
        <v>257</v>
      </c>
      <c r="B112" t="s">
        <v>9</v>
      </c>
      <c r="C112" t="s">
        <v>76</v>
      </c>
      <c r="D112" t="s">
        <v>77</v>
      </c>
      <c r="E112" s="1" t="s">
        <v>110</v>
      </c>
      <c r="F112" t="s">
        <v>111</v>
      </c>
      <c r="G112">
        <v>15</v>
      </c>
      <c r="H112">
        <v>188463618</v>
      </c>
      <c r="I112">
        <v>54648</v>
      </c>
      <c r="J112">
        <v>16</v>
      </c>
      <c r="K112">
        <v>60</v>
      </c>
      <c r="L112">
        <v>-188408970</v>
      </c>
      <c r="M112" s="1" t="s">
        <v>264</v>
      </c>
      <c r="N112" s="1" t="s">
        <v>265</v>
      </c>
      <c r="O112" s="1" t="s">
        <v>266</v>
      </c>
      <c r="P112">
        <v>0</v>
      </c>
      <c r="Q112">
        <v>0</v>
      </c>
      <c r="R112">
        <v>0</v>
      </c>
      <c r="S112">
        <v>0</v>
      </c>
      <c r="T112">
        <v>171.3383935</v>
      </c>
      <c r="U112">
        <f t="shared" si="2"/>
        <v>0</v>
      </c>
      <c r="V112">
        <f t="shared" si="3"/>
        <v>0</v>
      </c>
    </row>
    <row r="113" spans="1:22" x14ac:dyDescent="0.2">
      <c r="A113" t="s">
        <v>257</v>
      </c>
      <c r="B113" t="s">
        <v>9</v>
      </c>
      <c r="C113" t="s">
        <v>76</v>
      </c>
      <c r="D113" t="s">
        <v>77</v>
      </c>
      <c r="E113" s="1" t="s">
        <v>138</v>
      </c>
      <c r="F113" t="s">
        <v>139</v>
      </c>
      <c r="G113">
        <v>22</v>
      </c>
      <c r="H113">
        <v>96346587</v>
      </c>
      <c r="I113">
        <v>947010397</v>
      </c>
      <c r="J113">
        <v>9</v>
      </c>
      <c r="K113">
        <v>3</v>
      </c>
      <c r="L113">
        <v>850663810</v>
      </c>
      <c r="M113">
        <v>9.2342878302906897E-2</v>
      </c>
      <c r="N113" s="1" t="s">
        <v>267</v>
      </c>
      <c r="O113" s="1" t="s">
        <v>268</v>
      </c>
      <c r="P113">
        <v>0</v>
      </c>
      <c r="Q113">
        <v>1</v>
      </c>
      <c r="R113">
        <v>1</v>
      </c>
      <c r="S113">
        <v>1</v>
      </c>
      <c r="T113">
        <v>171.3383935</v>
      </c>
      <c r="U113">
        <f t="shared" si="2"/>
        <v>1</v>
      </c>
      <c r="V113">
        <f t="shared" si="3"/>
        <v>1</v>
      </c>
    </row>
    <row r="114" spans="1:22" x14ac:dyDescent="0.2">
      <c r="A114" t="s">
        <v>257</v>
      </c>
      <c r="B114" t="s">
        <v>9</v>
      </c>
      <c r="C114" t="s">
        <v>76</v>
      </c>
      <c r="D114" t="s">
        <v>77</v>
      </c>
      <c r="E114" s="1" t="s">
        <v>138</v>
      </c>
      <c r="F114" t="s">
        <v>139</v>
      </c>
      <c r="G114">
        <v>18</v>
      </c>
      <c r="H114">
        <v>119362441</v>
      </c>
      <c r="I114">
        <v>41420877</v>
      </c>
      <c r="J114">
        <v>10</v>
      </c>
      <c r="K114">
        <v>19</v>
      </c>
      <c r="L114">
        <v>-77941564</v>
      </c>
      <c r="M114" s="1" t="s">
        <v>269</v>
      </c>
      <c r="N114" s="1" t="s">
        <v>270</v>
      </c>
      <c r="O114" s="1" t="s">
        <v>271</v>
      </c>
      <c r="P114">
        <v>0</v>
      </c>
      <c r="Q114">
        <v>0</v>
      </c>
      <c r="R114">
        <v>1</v>
      </c>
      <c r="S114">
        <v>0</v>
      </c>
      <c r="T114">
        <v>171.3383935</v>
      </c>
      <c r="U114">
        <f t="shared" si="2"/>
        <v>0</v>
      </c>
      <c r="V114">
        <f t="shared" si="3"/>
        <v>1</v>
      </c>
    </row>
    <row r="115" spans="1:22" x14ac:dyDescent="0.2">
      <c r="A115" t="s">
        <v>257</v>
      </c>
      <c r="B115" t="s">
        <v>9</v>
      </c>
      <c r="C115" t="s">
        <v>76</v>
      </c>
      <c r="D115" t="s">
        <v>77</v>
      </c>
      <c r="E115">
        <v>17</v>
      </c>
      <c r="F115" t="s">
        <v>97</v>
      </c>
      <c r="G115">
        <v>87</v>
      </c>
      <c r="H115">
        <v>137350184</v>
      </c>
      <c r="I115">
        <v>11253197</v>
      </c>
      <c r="J115">
        <v>10</v>
      </c>
      <c r="K115">
        <v>52</v>
      </c>
      <c r="L115">
        <v>-126096987</v>
      </c>
      <c r="M115" s="1" t="s">
        <v>272</v>
      </c>
      <c r="N115">
        <v>7.5726386063854095E-2</v>
      </c>
      <c r="O115" s="1" t="s">
        <v>273</v>
      </c>
      <c r="P115">
        <v>0</v>
      </c>
      <c r="Q115">
        <v>0</v>
      </c>
      <c r="R115">
        <v>1</v>
      </c>
      <c r="S115">
        <v>0</v>
      </c>
      <c r="T115">
        <v>171.3383935</v>
      </c>
      <c r="U115">
        <f t="shared" si="2"/>
        <v>0</v>
      </c>
      <c r="V115">
        <f t="shared" si="3"/>
        <v>1</v>
      </c>
    </row>
    <row r="116" spans="1:22" x14ac:dyDescent="0.2">
      <c r="A116" t="s">
        <v>257</v>
      </c>
      <c r="B116" t="s">
        <v>9</v>
      </c>
      <c r="C116" t="s">
        <v>76</v>
      </c>
      <c r="D116" t="s">
        <v>77</v>
      </c>
      <c r="E116">
        <v>16</v>
      </c>
      <c r="F116" t="s">
        <v>95</v>
      </c>
      <c r="G116">
        <v>85</v>
      </c>
      <c r="H116">
        <v>239745065</v>
      </c>
      <c r="I116">
        <v>49626275</v>
      </c>
      <c r="J116">
        <v>13</v>
      </c>
      <c r="K116">
        <v>49</v>
      </c>
      <c r="L116">
        <v>-190118790</v>
      </c>
      <c r="M116" s="1" t="s">
        <v>274</v>
      </c>
      <c r="N116" s="1" t="s">
        <v>275</v>
      </c>
      <c r="O116">
        <v>3.1011697639093699E-2</v>
      </c>
      <c r="P116">
        <v>0</v>
      </c>
      <c r="Q116">
        <v>0</v>
      </c>
      <c r="R116">
        <v>0</v>
      </c>
      <c r="S116">
        <v>0</v>
      </c>
      <c r="T116">
        <v>171.3383935</v>
      </c>
      <c r="U116">
        <f t="shared" si="2"/>
        <v>0</v>
      </c>
      <c r="V116">
        <f t="shared" si="3"/>
        <v>0</v>
      </c>
    </row>
    <row r="117" spans="1:22" x14ac:dyDescent="0.2">
      <c r="A117" t="s">
        <v>257</v>
      </c>
      <c r="B117" t="s">
        <v>9</v>
      </c>
      <c r="C117" t="s">
        <v>76</v>
      </c>
      <c r="D117" t="s">
        <v>77</v>
      </c>
      <c r="E117">
        <v>13</v>
      </c>
      <c r="F117" t="s">
        <v>91</v>
      </c>
      <c r="G117">
        <v>70</v>
      </c>
      <c r="H117">
        <v>81808073</v>
      </c>
      <c r="I117">
        <v>1608951</v>
      </c>
      <c r="J117">
        <v>12</v>
      </c>
      <c r="K117">
        <v>42</v>
      </c>
      <c r="L117">
        <v>-80199122</v>
      </c>
      <c r="M117" s="1" t="s">
        <v>276</v>
      </c>
      <c r="N117" s="1" t="s">
        <v>277</v>
      </c>
      <c r="O117">
        <v>8.93973648613932E-3</v>
      </c>
      <c r="P117">
        <v>0</v>
      </c>
      <c r="Q117">
        <v>0</v>
      </c>
      <c r="R117">
        <v>0</v>
      </c>
      <c r="S117">
        <v>0</v>
      </c>
      <c r="T117">
        <v>171.3383935</v>
      </c>
      <c r="U117">
        <f t="shared" si="2"/>
        <v>0</v>
      </c>
      <c r="V117">
        <f t="shared" si="3"/>
        <v>0</v>
      </c>
    </row>
    <row r="118" spans="1:22" x14ac:dyDescent="0.2">
      <c r="A118" t="s">
        <v>257</v>
      </c>
      <c r="B118" t="s">
        <v>9</v>
      </c>
      <c r="C118" t="s">
        <v>76</v>
      </c>
      <c r="D118" t="s">
        <v>77</v>
      </c>
      <c r="E118" s="1" t="s">
        <v>138</v>
      </c>
      <c r="F118" t="s">
        <v>139</v>
      </c>
      <c r="G118">
        <v>24</v>
      </c>
      <c r="H118">
        <v>79869648</v>
      </c>
      <c r="I118">
        <v>40552249</v>
      </c>
      <c r="J118">
        <v>7</v>
      </c>
      <c r="K118">
        <v>13</v>
      </c>
      <c r="L118">
        <v>-39317399</v>
      </c>
      <c r="M118" s="1" t="s">
        <v>278</v>
      </c>
      <c r="N118" s="1" t="s">
        <v>279</v>
      </c>
      <c r="O118" s="1" t="s">
        <v>280</v>
      </c>
      <c r="P118">
        <v>0</v>
      </c>
      <c r="Q118">
        <v>0</v>
      </c>
      <c r="R118">
        <v>1</v>
      </c>
      <c r="S118">
        <v>0</v>
      </c>
      <c r="T118">
        <v>171.3383935</v>
      </c>
      <c r="U118">
        <f t="shared" si="2"/>
        <v>0</v>
      </c>
      <c r="V118">
        <f t="shared" si="3"/>
        <v>1</v>
      </c>
    </row>
    <row r="119" spans="1:22" x14ac:dyDescent="0.2">
      <c r="A119" t="s">
        <v>257</v>
      </c>
      <c r="B119" t="s">
        <v>9</v>
      </c>
      <c r="C119" t="s">
        <v>76</v>
      </c>
      <c r="D119" t="s">
        <v>77</v>
      </c>
      <c r="E119">
        <v>11</v>
      </c>
      <c r="F119" t="s">
        <v>127</v>
      </c>
      <c r="G119">
        <v>55</v>
      </c>
      <c r="H119">
        <v>25485101</v>
      </c>
      <c r="I119">
        <v>2950036</v>
      </c>
      <c r="J119">
        <v>3</v>
      </c>
      <c r="K119">
        <v>32</v>
      </c>
      <c r="L119">
        <v>-22535065</v>
      </c>
      <c r="M119" s="1" t="s">
        <v>281</v>
      </c>
      <c r="N119" s="1" t="s">
        <v>282</v>
      </c>
      <c r="O119">
        <v>3.0473711424573199E-3</v>
      </c>
      <c r="P119">
        <v>1</v>
      </c>
      <c r="Q119">
        <v>0</v>
      </c>
      <c r="R119">
        <v>1</v>
      </c>
      <c r="S119">
        <v>0</v>
      </c>
      <c r="T119">
        <v>171.3383935</v>
      </c>
      <c r="U119">
        <f t="shared" si="2"/>
        <v>1</v>
      </c>
      <c r="V119">
        <f t="shared" si="3"/>
        <v>1</v>
      </c>
    </row>
    <row r="120" spans="1:22" x14ac:dyDescent="0.2">
      <c r="A120" t="s">
        <v>257</v>
      </c>
      <c r="B120" t="s">
        <v>9</v>
      </c>
      <c r="C120" t="s">
        <v>76</v>
      </c>
      <c r="D120" t="s">
        <v>77</v>
      </c>
      <c r="E120" s="1" t="s">
        <v>99</v>
      </c>
      <c r="F120" t="s">
        <v>100</v>
      </c>
      <c r="G120">
        <v>40</v>
      </c>
      <c r="H120">
        <v>67327281</v>
      </c>
      <c r="I120">
        <v>5400207</v>
      </c>
      <c r="J120">
        <v>37</v>
      </c>
      <c r="K120">
        <v>50</v>
      </c>
      <c r="L120">
        <v>-61927074</v>
      </c>
      <c r="M120" s="1" t="s">
        <v>283</v>
      </c>
      <c r="N120">
        <v>7.4252626462225593E-2</v>
      </c>
      <c r="O120">
        <v>7.7941473675548498E-3</v>
      </c>
      <c r="P120">
        <v>0</v>
      </c>
      <c r="Q120">
        <v>0</v>
      </c>
      <c r="R120">
        <v>0</v>
      </c>
      <c r="S120">
        <v>0</v>
      </c>
      <c r="T120">
        <v>171.3383935</v>
      </c>
      <c r="U120">
        <f t="shared" si="2"/>
        <v>0</v>
      </c>
      <c r="V120">
        <f t="shared" si="3"/>
        <v>0</v>
      </c>
    </row>
    <row r="121" spans="1:22" x14ac:dyDescent="0.2">
      <c r="A121" t="s">
        <v>257</v>
      </c>
      <c r="B121" t="s">
        <v>9</v>
      </c>
      <c r="C121" t="s">
        <v>76</v>
      </c>
      <c r="D121" t="s">
        <v>77</v>
      </c>
      <c r="E121" s="1" t="s">
        <v>138</v>
      </c>
      <c r="F121" t="s">
        <v>139</v>
      </c>
      <c r="G121">
        <v>21</v>
      </c>
      <c r="H121">
        <v>76876942</v>
      </c>
      <c r="I121">
        <v>11535376</v>
      </c>
      <c r="J121">
        <v>9</v>
      </c>
      <c r="K121">
        <v>41</v>
      </c>
      <c r="L121">
        <v>-65341566</v>
      </c>
      <c r="M121" s="1" t="s">
        <v>284</v>
      </c>
      <c r="N121" s="1" t="s">
        <v>285</v>
      </c>
      <c r="O121">
        <v>9.4750781932564799E-3</v>
      </c>
      <c r="P121">
        <v>0</v>
      </c>
      <c r="Q121">
        <v>0</v>
      </c>
      <c r="R121">
        <v>1</v>
      </c>
      <c r="S121">
        <v>0</v>
      </c>
      <c r="T121">
        <v>171.3383935</v>
      </c>
      <c r="U121">
        <f t="shared" si="2"/>
        <v>0</v>
      </c>
      <c r="V121">
        <f t="shared" si="3"/>
        <v>1</v>
      </c>
    </row>
    <row r="122" spans="1:22" x14ac:dyDescent="0.2">
      <c r="A122" t="s">
        <v>257</v>
      </c>
      <c r="B122" t="s">
        <v>9</v>
      </c>
      <c r="C122" t="s">
        <v>76</v>
      </c>
      <c r="D122" t="s">
        <v>77</v>
      </c>
      <c r="E122" s="1" t="s">
        <v>82</v>
      </c>
      <c r="F122" t="s">
        <v>83</v>
      </c>
      <c r="G122">
        <v>12</v>
      </c>
      <c r="H122">
        <v>28095205</v>
      </c>
      <c r="I122">
        <v>519355</v>
      </c>
      <c r="J122">
        <v>14</v>
      </c>
      <c r="K122">
        <v>52</v>
      </c>
      <c r="L122">
        <v>-27575850</v>
      </c>
      <c r="M122" s="1" t="s">
        <v>286</v>
      </c>
      <c r="N122">
        <v>1.81500257211713E-2</v>
      </c>
      <c r="O122">
        <v>3.0665997634586198E-3</v>
      </c>
      <c r="P122">
        <v>0</v>
      </c>
      <c r="Q122">
        <v>0</v>
      </c>
      <c r="R122">
        <v>0</v>
      </c>
      <c r="S122">
        <v>0</v>
      </c>
      <c r="T122">
        <v>171.3383935</v>
      </c>
      <c r="U122">
        <f t="shared" si="2"/>
        <v>0</v>
      </c>
      <c r="V122">
        <f t="shared" si="3"/>
        <v>0</v>
      </c>
    </row>
    <row r="123" spans="1:22" x14ac:dyDescent="0.2">
      <c r="A123" t="s">
        <v>257</v>
      </c>
      <c r="B123" t="s">
        <v>9</v>
      </c>
      <c r="C123" t="s">
        <v>76</v>
      </c>
      <c r="D123" t="s">
        <v>77</v>
      </c>
      <c r="E123">
        <v>15</v>
      </c>
      <c r="F123" t="s">
        <v>88</v>
      </c>
      <c r="G123">
        <v>72</v>
      </c>
      <c r="H123">
        <v>164793419</v>
      </c>
      <c r="I123">
        <v>24629703</v>
      </c>
      <c r="J123">
        <v>61</v>
      </c>
      <c r="K123">
        <v>36</v>
      </c>
      <c r="L123">
        <v>-140163716</v>
      </c>
      <c r="M123">
        <v>0.86997520292163699</v>
      </c>
      <c r="N123">
        <v>0.13002479707836301</v>
      </c>
      <c r="O123" s="1" t="s">
        <v>287</v>
      </c>
      <c r="P123">
        <v>0</v>
      </c>
      <c r="Q123">
        <v>0</v>
      </c>
      <c r="R123">
        <v>0</v>
      </c>
      <c r="S123">
        <v>0</v>
      </c>
      <c r="T123">
        <v>171.3383935</v>
      </c>
      <c r="U123">
        <f t="shared" si="2"/>
        <v>0</v>
      </c>
      <c r="V123">
        <f t="shared" si="3"/>
        <v>0</v>
      </c>
    </row>
    <row r="124" spans="1:22" x14ac:dyDescent="0.2">
      <c r="A124" t="s">
        <v>257</v>
      </c>
      <c r="B124" t="s">
        <v>9</v>
      </c>
      <c r="C124" t="s">
        <v>76</v>
      </c>
      <c r="D124" t="s">
        <v>77</v>
      </c>
      <c r="E124" s="1" t="s">
        <v>89</v>
      </c>
      <c r="F124" t="s">
        <v>90</v>
      </c>
      <c r="G124">
        <v>34</v>
      </c>
      <c r="H124">
        <v>43210451</v>
      </c>
      <c r="I124">
        <v>2381224</v>
      </c>
      <c r="J124">
        <v>10</v>
      </c>
      <c r="K124">
        <v>47</v>
      </c>
      <c r="L124">
        <v>-40829227</v>
      </c>
      <c r="M124" s="1" t="s">
        <v>288</v>
      </c>
      <c r="N124" s="1" t="s">
        <v>289</v>
      </c>
      <c r="O124">
        <v>4.8860237505200998E-3</v>
      </c>
      <c r="P124">
        <v>0</v>
      </c>
      <c r="Q124">
        <v>0</v>
      </c>
      <c r="R124">
        <v>1</v>
      </c>
      <c r="S124">
        <v>0</v>
      </c>
      <c r="T124">
        <v>171.3383935</v>
      </c>
      <c r="U124">
        <f t="shared" si="2"/>
        <v>0</v>
      </c>
      <c r="V124">
        <f t="shared" si="3"/>
        <v>1</v>
      </c>
    </row>
    <row r="125" spans="1:22" x14ac:dyDescent="0.2">
      <c r="A125" t="s">
        <v>257</v>
      </c>
      <c r="B125" t="s">
        <v>9</v>
      </c>
      <c r="C125" t="s">
        <v>76</v>
      </c>
      <c r="D125" t="s">
        <v>77</v>
      </c>
      <c r="E125" s="1" t="s">
        <v>138</v>
      </c>
      <c r="F125" t="s">
        <v>139</v>
      </c>
      <c r="G125">
        <v>17</v>
      </c>
      <c r="H125">
        <v>62800382</v>
      </c>
      <c r="I125">
        <v>2450724</v>
      </c>
      <c r="J125">
        <v>9</v>
      </c>
      <c r="K125">
        <v>36</v>
      </c>
      <c r="L125">
        <v>-60349658</v>
      </c>
      <c r="M125" s="1" t="s">
        <v>290</v>
      </c>
      <c r="N125">
        <v>3.7558351884487598E-2</v>
      </c>
      <c r="O125">
        <v>6.9929094218123197E-3</v>
      </c>
      <c r="P125">
        <v>0</v>
      </c>
      <c r="Q125">
        <v>0</v>
      </c>
      <c r="R125">
        <v>1</v>
      </c>
      <c r="S125">
        <v>0</v>
      </c>
      <c r="T125">
        <v>171.3383935</v>
      </c>
      <c r="U125">
        <f t="shared" si="2"/>
        <v>0</v>
      </c>
      <c r="V125">
        <f t="shared" si="3"/>
        <v>1</v>
      </c>
    </row>
    <row r="126" spans="1:22" x14ac:dyDescent="0.2">
      <c r="A126" t="s">
        <v>257</v>
      </c>
      <c r="B126" t="s">
        <v>9</v>
      </c>
      <c r="C126" t="s">
        <v>76</v>
      </c>
      <c r="D126" t="s">
        <v>77</v>
      </c>
      <c r="E126">
        <v>15</v>
      </c>
      <c r="F126" t="s">
        <v>88</v>
      </c>
      <c r="G126">
        <v>73</v>
      </c>
      <c r="H126">
        <v>127291192</v>
      </c>
      <c r="I126">
        <v>9676198</v>
      </c>
      <c r="J126">
        <v>18</v>
      </c>
      <c r="K126">
        <v>50</v>
      </c>
      <c r="L126">
        <v>-117614994</v>
      </c>
      <c r="M126" s="1" t="s">
        <v>291</v>
      </c>
      <c r="N126">
        <v>7.0645998292002202E-2</v>
      </c>
      <c r="O126" s="1" t="s">
        <v>292</v>
      </c>
      <c r="P126">
        <v>0</v>
      </c>
      <c r="Q126">
        <v>0</v>
      </c>
      <c r="R126">
        <v>0</v>
      </c>
      <c r="S126">
        <v>0</v>
      </c>
      <c r="T126">
        <v>171.3383935</v>
      </c>
      <c r="U126">
        <f t="shared" si="2"/>
        <v>0</v>
      </c>
      <c r="V126">
        <f t="shared" si="3"/>
        <v>0</v>
      </c>
    </row>
    <row r="127" spans="1:22" x14ac:dyDescent="0.2">
      <c r="A127" t="s">
        <v>257</v>
      </c>
      <c r="B127" t="s">
        <v>9</v>
      </c>
      <c r="C127" t="s">
        <v>76</v>
      </c>
      <c r="D127" t="s">
        <v>77</v>
      </c>
      <c r="E127" s="1" t="s">
        <v>93</v>
      </c>
      <c r="F127" t="s">
        <v>94</v>
      </c>
      <c r="G127">
        <v>44</v>
      </c>
      <c r="H127">
        <v>92969352</v>
      </c>
      <c r="I127">
        <v>1150681</v>
      </c>
      <c r="J127">
        <v>39</v>
      </c>
      <c r="K127">
        <v>44</v>
      </c>
      <c r="L127">
        <v>-91818671</v>
      </c>
      <c r="M127">
        <v>0.98777432430351997</v>
      </c>
      <c r="N127" s="1" t="s">
        <v>293</v>
      </c>
      <c r="O127">
        <v>1.0086769495477699E-2</v>
      </c>
      <c r="P127">
        <v>0</v>
      </c>
      <c r="Q127">
        <v>0</v>
      </c>
      <c r="R127">
        <v>0</v>
      </c>
      <c r="S127">
        <v>0</v>
      </c>
      <c r="T127">
        <v>171.3383935</v>
      </c>
      <c r="U127">
        <f t="shared" si="2"/>
        <v>0</v>
      </c>
      <c r="V127">
        <f t="shared" si="3"/>
        <v>0</v>
      </c>
    </row>
    <row r="128" spans="1:22" x14ac:dyDescent="0.2">
      <c r="A128" t="s">
        <v>257</v>
      </c>
      <c r="B128" t="s">
        <v>9</v>
      </c>
      <c r="C128" t="s">
        <v>76</v>
      </c>
      <c r="D128" t="s">
        <v>77</v>
      </c>
      <c r="E128" s="1" t="s">
        <v>89</v>
      </c>
      <c r="F128" t="s">
        <v>90</v>
      </c>
      <c r="G128">
        <v>28</v>
      </c>
      <c r="H128">
        <v>14241792</v>
      </c>
      <c r="I128">
        <v>1796816</v>
      </c>
      <c r="J128">
        <v>68</v>
      </c>
      <c r="K128">
        <v>54</v>
      </c>
      <c r="L128">
        <v>-12444976</v>
      </c>
      <c r="M128" s="1" t="s">
        <v>294</v>
      </c>
      <c r="N128" s="1" t="s">
        <v>295</v>
      </c>
      <c r="O128">
        <v>1.7188449341526001E-3</v>
      </c>
      <c r="P128">
        <v>0</v>
      </c>
      <c r="Q128">
        <v>0</v>
      </c>
      <c r="R128">
        <v>0</v>
      </c>
      <c r="S128">
        <v>0</v>
      </c>
      <c r="T128">
        <v>171.3383935</v>
      </c>
      <c r="U128">
        <f t="shared" si="2"/>
        <v>0</v>
      </c>
      <c r="V128">
        <f t="shared" si="3"/>
        <v>0</v>
      </c>
    </row>
    <row r="129" spans="1:22" x14ac:dyDescent="0.2">
      <c r="A129" t="s">
        <v>257</v>
      </c>
      <c r="B129" t="s">
        <v>9</v>
      </c>
      <c r="C129" t="s">
        <v>76</v>
      </c>
      <c r="D129" t="s">
        <v>77</v>
      </c>
      <c r="E129">
        <v>16</v>
      </c>
      <c r="F129" t="s">
        <v>95</v>
      </c>
      <c r="G129">
        <v>84</v>
      </c>
      <c r="H129">
        <v>274776145</v>
      </c>
      <c r="I129">
        <v>46436033</v>
      </c>
      <c r="J129">
        <v>17</v>
      </c>
      <c r="K129">
        <v>54</v>
      </c>
      <c r="L129">
        <v>-228340112</v>
      </c>
      <c r="M129" s="1" t="s">
        <v>296</v>
      </c>
      <c r="N129" s="1" t="s">
        <v>297</v>
      </c>
      <c r="O129" s="1" t="s">
        <v>298</v>
      </c>
      <c r="P129">
        <v>0</v>
      </c>
      <c r="Q129">
        <v>0</v>
      </c>
      <c r="R129">
        <v>0</v>
      </c>
      <c r="S129">
        <v>0</v>
      </c>
      <c r="T129">
        <v>171.3383935</v>
      </c>
      <c r="U129">
        <f t="shared" si="2"/>
        <v>0</v>
      </c>
      <c r="V129">
        <f t="shared" si="3"/>
        <v>0</v>
      </c>
    </row>
    <row r="130" spans="1:22" x14ac:dyDescent="0.2">
      <c r="A130" t="s">
        <v>257</v>
      </c>
      <c r="B130" t="s">
        <v>9</v>
      </c>
      <c r="C130" t="s">
        <v>76</v>
      </c>
      <c r="D130" t="s">
        <v>77</v>
      </c>
      <c r="E130" s="1" t="s">
        <v>138</v>
      </c>
      <c r="F130" t="s">
        <v>139</v>
      </c>
      <c r="G130">
        <v>19</v>
      </c>
      <c r="H130">
        <v>91409054</v>
      </c>
      <c r="I130">
        <v>1538132</v>
      </c>
      <c r="J130">
        <v>9</v>
      </c>
      <c r="K130">
        <v>50</v>
      </c>
      <c r="L130">
        <v>-89870922</v>
      </c>
      <c r="M130">
        <v>0.98345154849550798</v>
      </c>
      <c r="N130" s="1" t="s">
        <v>299</v>
      </c>
      <c r="O130">
        <v>9.9610764101123704E-3</v>
      </c>
      <c r="P130">
        <v>0</v>
      </c>
      <c r="Q130">
        <v>0</v>
      </c>
      <c r="R130">
        <v>1</v>
      </c>
      <c r="S130">
        <v>0</v>
      </c>
      <c r="T130">
        <v>171.3383935</v>
      </c>
      <c r="U130">
        <f t="shared" si="2"/>
        <v>0</v>
      </c>
      <c r="V130">
        <f t="shared" si="3"/>
        <v>1</v>
      </c>
    </row>
    <row r="131" spans="1:22" x14ac:dyDescent="0.2">
      <c r="A131" t="s">
        <v>257</v>
      </c>
      <c r="B131" t="s">
        <v>9</v>
      </c>
      <c r="C131" t="s">
        <v>76</v>
      </c>
      <c r="D131" t="s">
        <v>77</v>
      </c>
      <c r="E131">
        <v>18</v>
      </c>
      <c r="F131" t="s">
        <v>147</v>
      </c>
      <c r="G131">
        <v>90</v>
      </c>
      <c r="H131">
        <v>39650526</v>
      </c>
      <c r="I131">
        <v>79909543</v>
      </c>
      <c r="J131">
        <v>17</v>
      </c>
      <c r="K131">
        <v>35</v>
      </c>
      <c r="L131">
        <v>40259017</v>
      </c>
      <c r="M131" s="1" t="s">
        <v>300</v>
      </c>
      <c r="N131">
        <v>0.66836313886704102</v>
      </c>
      <c r="O131" s="1" t="s">
        <v>301</v>
      </c>
      <c r="P131">
        <v>0</v>
      </c>
      <c r="Q131">
        <v>0</v>
      </c>
      <c r="R131">
        <v>0</v>
      </c>
      <c r="S131">
        <v>0</v>
      </c>
      <c r="T131">
        <v>171.3383935</v>
      </c>
      <c r="U131">
        <f t="shared" ref="U131:U194" si="4">IF(OR(P131=1,Q131=1),1,0)</f>
        <v>0</v>
      </c>
      <c r="V131">
        <f t="shared" ref="V131:V194" si="5">IF(OR(R131=1,S131=1),1,0)</f>
        <v>0</v>
      </c>
    </row>
    <row r="132" spans="1:22" x14ac:dyDescent="0.2">
      <c r="A132" t="s">
        <v>257</v>
      </c>
      <c r="B132" t="s">
        <v>9</v>
      </c>
      <c r="C132" t="s">
        <v>76</v>
      </c>
      <c r="D132" t="s">
        <v>77</v>
      </c>
      <c r="E132" s="1" t="s">
        <v>89</v>
      </c>
      <c r="F132" t="s">
        <v>90</v>
      </c>
      <c r="G132">
        <v>30</v>
      </c>
      <c r="H132">
        <v>56558623</v>
      </c>
      <c r="I132">
        <v>58479789</v>
      </c>
      <c r="J132">
        <v>10</v>
      </c>
      <c r="K132">
        <v>36</v>
      </c>
      <c r="L132">
        <v>1921166</v>
      </c>
      <c r="M132" s="1" t="s">
        <v>302</v>
      </c>
      <c r="N132" s="1" t="s">
        <v>303</v>
      </c>
      <c r="O132" s="1" t="s">
        <v>304</v>
      </c>
      <c r="P132">
        <v>0</v>
      </c>
      <c r="Q132">
        <v>0</v>
      </c>
      <c r="R132">
        <v>1</v>
      </c>
      <c r="S132">
        <v>0</v>
      </c>
      <c r="T132">
        <v>171.3383935</v>
      </c>
      <c r="U132">
        <f t="shared" si="4"/>
        <v>0</v>
      </c>
      <c r="V132">
        <f t="shared" si="5"/>
        <v>1</v>
      </c>
    </row>
    <row r="133" spans="1:22" x14ac:dyDescent="0.2">
      <c r="A133" t="s">
        <v>257</v>
      </c>
      <c r="B133" t="s">
        <v>9</v>
      </c>
      <c r="C133" t="s">
        <v>76</v>
      </c>
      <c r="D133" t="s">
        <v>77</v>
      </c>
      <c r="E133" s="1" t="s">
        <v>82</v>
      </c>
      <c r="F133" t="s">
        <v>83</v>
      </c>
      <c r="G133">
        <v>11</v>
      </c>
      <c r="H133">
        <v>52222745</v>
      </c>
      <c r="I133">
        <v>452268</v>
      </c>
      <c r="J133">
        <v>10</v>
      </c>
      <c r="K133">
        <v>30</v>
      </c>
      <c r="L133">
        <v>-51770477</v>
      </c>
      <c r="M133" s="1" t="s">
        <v>305</v>
      </c>
      <c r="N133">
        <v>8.5860064239566495E-3</v>
      </c>
      <c r="O133">
        <v>5.6451394816478097E-3</v>
      </c>
      <c r="P133">
        <v>0</v>
      </c>
      <c r="Q133">
        <v>0</v>
      </c>
      <c r="R133">
        <v>1</v>
      </c>
      <c r="S133">
        <v>0</v>
      </c>
      <c r="T133">
        <v>171.3383935</v>
      </c>
      <c r="U133">
        <f t="shared" si="4"/>
        <v>0</v>
      </c>
      <c r="V133">
        <f t="shared" si="5"/>
        <v>1</v>
      </c>
    </row>
    <row r="134" spans="1:22" x14ac:dyDescent="0.2">
      <c r="A134" t="s">
        <v>257</v>
      </c>
      <c r="B134" t="s">
        <v>9</v>
      </c>
      <c r="C134" t="s">
        <v>76</v>
      </c>
      <c r="D134" t="s">
        <v>77</v>
      </c>
      <c r="E134" s="1" t="s">
        <v>89</v>
      </c>
      <c r="F134" t="s">
        <v>90</v>
      </c>
      <c r="G134">
        <v>31</v>
      </c>
      <c r="H134">
        <v>50773251</v>
      </c>
      <c r="I134">
        <v>17892</v>
      </c>
      <c r="J134">
        <v>71</v>
      </c>
      <c r="K134">
        <v>40</v>
      </c>
      <c r="L134">
        <v>-50755359</v>
      </c>
      <c r="M134">
        <v>0.99964773385785</v>
      </c>
      <c r="N134" s="1" t="s">
        <v>306</v>
      </c>
      <c r="O134">
        <v>5.44324662373258E-3</v>
      </c>
      <c r="P134">
        <v>0</v>
      </c>
      <c r="Q134">
        <v>0</v>
      </c>
      <c r="R134">
        <v>0</v>
      </c>
      <c r="S134">
        <v>0</v>
      </c>
      <c r="T134">
        <v>171.3383935</v>
      </c>
      <c r="U134">
        <f t="shared" si="4"/>
        <v>0</v>
      </c>
      <c r="V134">
        <f t="shared" si="5"/>
        <v>0</v>
      </c>
    </row>
    <row r="135" spans="1:22" x14ac:dyDescent="0.2">
      <c r="A135" t="s">
        <v>257</v>
      </c>
      <c r="B135" t="s">
        <v>9</v>
      </c>
      <c r="C135" t="s">
        <v>76</v>
      </c>
      <c r="D135" t="s">
        <v>77</v>
      </c>
      <c r="E135">
        <v>13</v>
      </c>
      <c r="F135" t="s">
        <v>91</v>
      </c>
      <c r="G135">
        <v>69</v>
      </c>
      <c r="H135">
        <v>28715387</v>
      </c>
      <c r="I135">
        <v>4509354</v>
      </c>
      <c r="J135">
        <v>10</v>
      </c>
      <c r="K135">
        <v>33</v>
      </c>
      <c r="L135">
        <v>-24206033</v>
      </c>
      <c r="M135">
        <v>0.864277226419914</v>
      </c>
      <c r="N135">
        <v>0.135722773580086</v>
      </c>
      <c r="O135">
        <v>3.56066921495819E-3</v>
      </c>
      <c r="P135">
        <v>0</v>
      </c>
      <c r="Q135">
        <v>0</v>
      </c>
      <c r="R135">
        <v>1</v>
      </c>
      <c r="S135">
        <v>0</v>
      </c>
      <c r="T135">
        <v>171.3383935</v>
      </c>
      <c r="U135">
        <f t="shared" si="4"/>
        <v>0</v>
      </c>
      <c r="V135">
        <f t="shared" si="5"/>
        <v>1</v>
      </c>
    </row>
    <row r="136" spans="1:22" x14ac:dyDescent="0.2">
      <c r="A136" t="s">
        <v>257</v>
      </c>
      <c r="B136" t="s">
        <v>9</v>
      </c>
      <c r="C136" t="s">
        <v>76</v>
      </c>
      <c r="D136" t="s">
        <v>77</v>
      </c>
      <c r="E136">
        <v>20</v>
      </c>
      <c r="F136" t="s">
        <v>104</v>
      </c>
      <c r="G136">
        <v>96</v>
      </c>
      <c r="H136">
        <v>20301544</v>
      </c>
      <c r="I136">
        <v>1452963</v>
      </c>
      <c r="J136">
        <v>8</v>
      </c>
      <c r="K136">
        <v>45</v>
      </c>
      <c r="L136">
        <v>-18848581</v>
      </c>
      <c r="M136" s="1" t="s">
        <v>307</v>
      </c>
      <c r="N136">
        <v>6.6789056630885704E-2</v>
      </c>
      <c r="O136">
        <v>2.3314133091810198E-3</v>
      </c>
      <c r="P136">
        <v>0</v>
      </c>
      <c r="Q136">
        <v>0</v>
      </c>
      <c r="R136">
        <v>1</v>
      </c>
      <c r="S136">
        <v>0</v>
      </c>
      <c r="T136">
        <v>171.3383935</v>
      </c>
      <c r="U136">
        <f t="shared" si="4"/>
        <v>0</v>
      </c>
      <c r="V136">
        <f t="shared" si="5"/>
        <v>1</v>
      </c>
    </row>
    <row r="137" spans="1:22" x14ac:dyDescent="0.2">
      <c r="A137" t="s">
        <v>257</v>
      </c>
      <c r="B137" t="s">
        <v>9</v>
      </c>
      <c r="C137" t="s">
        <v>76</v>
      </c>
      <c r="D137" t="s">
        <v>77</v>
      </c>
      <c r="E137" s="1" t="s">
        <v>89</v>
      </c>
      <c r="F137" t="s">
        <v>90</v>
      </c>
      <c r="G137">
        <v>33</v>
      </c>
      <c r="H137">
        <v>74127220</v>
      </c>
      <c r="I137">
        <v>10050239</v>
      </c>
      <c r="J137">
        <v>9</v>
      </c>
      <c r="K137">
        <v>40</v>
      </c>
      <c r="L137">
        <v>-64076981</v>
      </c>
      <c r="M137" s="1" t="s">
        <v>308</v>
      </c>
      <c r="N137" s="1" t="s">
        <v>309</v>
      </c>
      <c r="O137">
        <v>9.0212317036483698E-3</v>
      </c>
      <c r="P137">
        <v>0</v>
      </c>
      <c r="Q137">
        <v>0</v>
      </c>
      <c r="R137">
        <v>1</v>
      </c>
      <c r="S137">
        <v>0</v>
      </c>
      <c r="T137">
        <v>171.3383935</v>
      </c>
      <c r="U137">
        <f t="shared" si="4"/>
        <v>0</v>
      </c>
      <c r="V137">
        <f t="shared" si="5"/>
        <v>1</v>
      </c>
    </row>
    <row r="138" spans="1:22" x14ac:dyDescent="0.2">
      <c r="A138" t="s">
        <v>257</v>
      </c>
      <c r="B138" t="s">
        <v>9</v>
      </c>
      <c r="C138" t="s">
        <v>76</v>
      </c>
      <c r="D138" t="s">
        <v>77</v>
      </c>
      <c r="E138">
        <v>10</v>
      </c>
      <c r="F138" t="s">
        <v>119</v>
      </c>
      <c r="G138">
        <v>48</v>
      </c>
      <c r="H138">
        <v>87223047</v>
      </c>
      <c r="I138">
        <v>1088057</v>
      </c>
      <c r="J138">
        <v>26</v>
      </c>
      <c r="K138">
        <v>53</v>
      </c>
      <c r="L138">
        <v>-86134990</v>
      </c>
      <c r="M138">
        <v>0.98767927303909597</v>
      </c>
      <c r="N138" s="1" t="s">
        <v>310</v>
      </c>
      <c r="O138">
        <v>9.4642311689283505E-3</v>
      </c>
      <c r="P138">
        <v>0</v>
      </c>
      <c r="Q138">
        <v>0</v>
      </c>
      <c r="R138">
        <v>0</v>
      </c>
      <c r="S138">
        <v>0</v>
      </c>
      <c r="T138">
        <v>171.3383935</v>
      </c>
      <c r="U138">
        <f t="shared" si="4"/>
        <v>0</v>
      </c>
      <c r="V138">
        <f t="shared" si="5"/>
        <v>0</v>
      </c>
    </row>
    <row r="139" spans="1:22" x14ac:dyDescent="0.2">
      <c r="A139" t="s">
        <v>257</v>
      </c>
      <c r="B139" t="s">
        <v>9</v>
      </c>
      <c r="C139" t="s">
        <v>76</v>
      </c>
      <c r="D139" t="s">
        <v>77</v>
      </c>
      <c r="E139" s="1" t="s">
        <v>155</v>
      </c>
      <c r="F139" t="s">
        <v>156</v>
      </c>
      <c r="G139" s="1" t="s">
        <v>138</v>
      </c>
      <c r="H139">
        <v>32715340</v>
      </c>
      <c r="I139">
        <v>55534378</v>
      </c>
      <c r="J139">
        <v>6</v>
      </c>
      <c r="K139">
        <v>15</v>
      </c>
      <c r="L139">
        <v>22819038</v>
      </c>
      <c r="M139" s="1" t="s">
        <v>311</v>
      </c>
      <c r="N139" s="1" t="s">
        <v>312</v>
      </c>
      <c r="O139">
        <v>9.4576524798595796E-3</v>
      </c>
      <c r="P139">
        <v>0</v>
      </c>
      <c r="Q139">
        <v>0</v>
      </c>
      <c r="R139">
        <v>1</v>
      </c>
      <c r="S139">
        <v>0</v>
      </c>
      <c r="T139">
        <v>171.3383935</v>
      </c>
      <c r="U139">
        <f t="shared" si="4"/>
        <v>0</v>
      </c>
      <c r="V139">
        <f t="shared" si="5"/>
        <v>1</v>
      </c>
    </row>
    <row r="140" spans="1:22" x14ac:dyDescent="0.2">
      <c r="A140" t="s">
        <v>257</v>
      </c>
      <c r="B140" t="s">
        <v>9</v>
      </c>
      <c r="C140" t="s">
        <v>76</v>
      </c>
      <c r="D140" t="s">
        <v>77</v>
      </c>
      <c r="E140">
        <v>20</v>
      </c>
      <c r="F140" t="s">
        <v>104</v>
      </c>
      <c r="G140">
        <v>95</v>
      </c>
      <c r="H140">
        <v>6634967</v>
      </c>
      <c r="I140">
        <v>1024693</v>
      </c>
      <c r="J140">
        <v>9</v>
      </c>
      <c r="K140">
        <v>51</v>
      </c>
      <c r="L140">
        <v>-5610274</v>
      </c>
      <c r="M140" s="1" t="s">
        <v>313</v>
      </c>
      <c r="N140" s="1" t="s">
        <v>314</v>
      </c>
      <c r="O140" s="1" t="s">
        <v>315</v>
      </c>
      <c r="P140">
        <v>0</v>
      </c>
      <c r="Q140">
        <v>0</v>
      </c>
      <c r="R140">
        <v>1</v>
      </c>
      <c r="S140">
        <v>0</v>
      </c>
      <c r="T140">
        <v>171.3383935</v>
      </c>
      <c r="U140">
        <f t="shared" si="4"/>
        <v>0</v>
      </c>
      <c r="V140">
        <f t="shared" si="5"/>
        <v>1</v>
      </c>
    </row>
    <row r="141" spans="1:22" x14ac:dyDescent="0.2">
      <c r="A141" t="s">
        <v>257</v>
      </c>
      <c r="B141" t="s">
        <v>9</v>
      </c>
      <c r="C141" t="s">
        <v>76</v>
      </c>
      <c r="D141" t="s">
        <v>77</v>
      </c>
      <c r="E141" s="1" t="s">
        <v>138</v>
      </c>
      <c r="F141" t="s">
        <v>139</v>
      </c>
      <c r="G141">
        <v>23</v>
      </c>
      <c r="H141">
        <v>41884735</v>
      </c>
      <c r="I141">
        <v>1169851</v>
      </c>
      <c r="J141">
        <v>23</v>
      </c>
      <c r="K141">
        <v>42</v>
      </c>
      <c r="L141">
        <v>-40714884</v>
      </c>
      <c r="M141" s="1" t="s">
        <v>316</v>
      </c>
      <c r="N141" s="1" t="s">
        <v>317</v>
      </c>
      <c r="O141">
        <v>4.6141259290168697E-3</v>
      </c>
      <c r="P141">
        <v>0</v>
      </c>
      <c r="Q141">
        <v>0</v>
      </c>
      <c r="R141">
        <v>0</v>
      </c>
      <c r="S141">
        <v>0</v>
      </c>
      <c r="T141">
        <v>171.3383935</v>
      </c>
      <c r="U141">
        <f t="shared" si="4"/>
        <v>0</v>
      </c>
      <c r="V141">
        <f t="shared" si="5"/>
        <v>0</v>
      </c>
    </row>
    <row r="142" spans="1:22" x14ac:dyDescent="0.2">
      <c r="A142" t="s">
        <v>257</v>
      </c>
      <c r="B142" t="s">
        <v>9</v>
      </c>
      <c r="C142" t="s">
        <v>76</v>
      </c>
      <c r="D142" t="s">
        <v>77</v>
      </c>
      <c r="E142">
        <v>13</v>
      </c>
      <c r="F142" t="s">
        <v>91</v>
      </c>
      <c r="G142">
        <v>68</v>
      </c>
      <c r="H142">
        <v>21634596</v>
      </c>
      <c r="I142">
        <v>31083925</v>
      </c>
      <c r="J142">
        <v>25</v>
      </c>
      <c r="K142">
        <v>22</v>
      </c>
      <c r="L142">
        <v>9449329</v>
      </c>
      <c r="M142" s="1" t="s">
        <v>318</v>
      </c>
      <c r="N142" s="1" t="s">
        <v>319</v>
      </c>
      <c r="O142">
        <v>5.6498021995965899E-3</v>
      </c>
      <c r="P142">
        <v>0</v>
      </c>
      <c r="Q142">
        <v>0</v>
      </c>
      <c r="R142">
        <v>0</v>
      </c>
      <c r="S142">
        <v>0</v>
      </c>
      <c r="T142">
        <v>171.3383935</v>
      </c>
      <c r="U142">
        <f t="shared" si="4"/>
        <v>0</v>
      </c>
      <c r="V142">
        <f t="shared" si="5"/>
        <v>0</v>
      </c>
    </row>
    <row r="143" spans="1:22" x14ac:dyDescent="0.2">
      <c r="A143" t="s">
        <v>257</v>
      </c>
      <c r="B143" t="s">
        <v>9</v>
      </c>
      <c r="C143" t="s">
        <v>76</v>
      </c>
      <c r="D143" t="s">
        <v>77</v>
      </c>
      <c r="E143" s="1" t="s">
        <v>138</v>
      </c>
      <c r="F143" t="s">
        <v>139</v>
      </c>
      <c r="G143">
        <v>20</v>
      </c>
      <c r="H143">
        <v>35017600</v>
      </c>
      <c r="I143">
        <v>93249461</v>
      </c>
      <c r="J143">
        <v>6</v>
      </c>
      <c r="K143">
        <v>14</v>
      </c>
      <c r="L143">
        <v>58231861</v>
      </c>
      <c r="M143" s="1" t="s">
        <v>320</v>
      </c>
      <c r="N143" s="1" t="s">
        <v>321</v>
      </c>
      <c r="O143">
        <v>1.37462794787735E-2</v>
      </c>
      <c r="P143">
        <v>0</v>
      </c>
      <c r="Q143">
        <v>0</v>
      </c>
      <c r="R143">
        <v>1</v>
      </c>
      <c r="S143">
        <v>0</v>
      </c>
      <c r="T143">
        <v>171.3383935</v>
      </c>
      <c r="U143">
        <f t="shared" si="4"/>
        <v>0</v>
      </c>
      <c r="V143">
        <f t="shared" si="5"/>
        <v>1</v>
      </c>
    </row>
    <row r="144" spans="1:22" x14ac:dyDescent="0.2">
      <c r="A144" t="s">
        <v>257</v>
      </c>
      <c r="B144" t="s">
        <v>9</v>
      </c>
      <c r="C144" t="s">
        <v>76</v>
      </c>
      <c r="D144" t="s">
        <v>77</v>
      </c>
      <c r="E144" s="1" t="s">
        <v>89</v>
      </c>
      <c r="F144" t="s">
        <v>90</v>
      </c>
      <c r="G144">
        <v>38</v>
      </c>
      <c r="H144">
        <v>25174535</v>
      </c>
      <c r="I144">
        <v>3298155</v>
      </c>
      <c r="J144">
        <v>23</v>
      </c>
      <c r="K144">
        <v>53</v>
      </c>
      <c r="L144">
        <v>-21876380</v>
      </c>
      <c r="M144" s="1" t="s">
        <v>322</v>
      </c>
      <c r="N144" s="1" t="s">
        <v>323</v>
      </c>
      <c r="O144">
        <v>3.0513956677660201E-3</v>
      </c>
      <c r="P144">
        <v>0</v>
      </c>
      <c r="Q144">
        <v>0</v>
      </c>
      <c r="R144">
        <v>0</v>
      </c>
      <c r="S144">
        <v>0</v>
      </c>
      <c r="T144">
        <v>171.3383935</v>
      </c>
      <c r="U144">
        <f t="shared" si="4"/>
        <v>0</v>
      </c>
      <c r="V144">
        <f t="shared" si="5"/>
        <v>0</v>
      </c>
    </row>
    <row r="145" spans="1:22" x14ac:dyDescent="0.2">
      <c r="A145" t="s">
        <v>257</v>
      </c>
      <c r="B145" t="s">
        <v>9</v>
      </c>
      <c r="C145" t="s">
        <v>76</v>
      </c>
      <c r="D145" t="s">
        <v>77</v>
      </c>
      <c r="E145" s="1" t="s">
        <v>99</v>
      </c>
      <c r="F145" t="s">
        <v>100</v>
      </c>
      <c r="G145">
        <v>39</v>
      </c>
      <c r="H145">
        <v>104515264</v>
      </c>
      <c r="I145">
        <v>14699196</v>
      </c>
      <c r="J145">
        <v>17</v>
      </c>
      <c r="K145">
        <v>52</v>
      </c>
      <c r="L145">
        <v>-89816068</v>
      </c>
      <c r="M145" s="1" t="s">
        <v>324</v>
      </c>
      <c r="N145" s="1" t="s">
        <v>325</v>
      </c>
      <c r="O145" s="1" t="s">
        <v>326</v>
      </c>
      <c r="P145">
        <v>0</v>
      </c>
      <c r="Q145">
        <v>0</v>
      </c>
      <c r="R145">
        <v>0</v>
      </c>
      <c r="S145">
        <v>0</v>
      </c>
      <c r="T145">
        <v>171.3383935</v>
      </c>
      <c r="U145">
        <f t="shared" si="4"/>
        <v>0</v>
      </c>
      <c r="V145">
        <f t="shared" si="5"/>
        <v>0</v>
      </c>
    </row>
    <row r="146" spans="1:22" x14ac:dyDescent="0.2">
      <c r="A146" t="s">
        <v>257</v>
      </c>
      <c r="B146" t="s">
        <v>9</v>
      </c>
      <c r="C146" t="s">
        <v>76</v>
      </c>
      <c r="D146" t="s">
        <v>77</v>
      </c>
      <c r="E146" s="1" t="s">
        <v>155</v>
      </c>
      <c r="F146" t="s">
        <v>156</v>
      </c>
      <c r="G146" s="1" t="s">
        <v>82</v>
      </c>
      <c r="H146">
        <v>32940467</v>
      </c>
      <c r="I146">
        <v>242897</v>
      </c>
      <c r="J146">
        <v>9</v>
      </c>
      <c r="K146">
        <v>30</v>
      </c>
      <c r="L146">
        <v>-32697570</v>
      </c>
      <c r="M146" s="1" t="s">
        <v>327</v>
      </c>
      <c r="N146">
        <v>7.3198425572524803E-3</v>
      </c>
      <c r="O146">
        <v>3.5562348745939599E-3</v>
      </c>
      <c r="P146">
        <v>0</v>
      </c>
      <c r="Q146">
        <v>0</v>
      </c>
      <c r="R146">
        <v>1</v>
      </c>
      <c r="S146">
        <v>0</v>
      </c>
      <c r="T146">
        <v>171.3383935</v>
      </c>
      <c r="U146">
        <f t="shared" si="4"/>
        <v>0</v>
      </c>
      <c r="V146">
        <f t="shared" si="5"/>
        <v>1</v>
      </c>
    </row>
    <row r="147" spans="1:22" x14ac:dyDescent="0.2">
      <c r="A147" t="s">
        <v>257</v>
      </c>
      <c r="B147" t="s">
        <v>9</v>
      </c>
      <c r="C147" t="s">
        <v>76</v>
      </c>
      <c r="D147" t="s">
        <v>77</v>
      </c>
      <c r="E147" s="1" t="s">
        <v>82</v>
      </c>
      <c r="F147" t="s">
        <v>83</v>
      </c>
      <c r="G147" s="1" t="s">
        <v>99</v>
      </c>
      <c r="H147">
        <v>11594352</v>
      </c>
      <c r="I147">
        <v>144990864</v>
      </c>
      <c r="J147">
        <v>28</v>
      </c>
      <c r="K147">
        <v>12</v>
      </c>
      <c r="L147">
        <v>133396512</v>
      </c>
      <c r="M147">
        <v>7.4044997964558795E-2</v>
      </c>
      <c r="N147" s="1" t="s">
        <v>328</v>
      </c>
      <c r="O147" s="1" t="s">
        <v>329</v>
      </c>
      <c r="P147">
        <v>0</v>
      </c>
      <c r="Q147">
        <v>0</v>
      </c>
      <c r="R147">
        <v>0</v>
      </c>
      <c r="S147">
        <v>0</v>
      </c>
      <c r="T147">
        <v>171.3383935</v>
      </c>
      <c r="U147">
        <f t="shared" si="4"/>
        <v>0</v>
      </c>
      <c r="V147">
        <f t="shared" si="5"/>
        <v>0</v>
      </c>
    </row>
    <row r="148" spans="1:22" x14ac:dyDescent="0.2">
      <c r="A148" t="s">
        <v>257</v>
      </c>
      <c r="B148" t="s">
        <v>9</v>
      </c>
      <c r="C148" t="s">
        <v>76</v>
      </c>
      <c r="D148" t="s">
        <v>77</v>
      </c>
      <c r="E148" s="1" t="s">
        <v>89</v>
      </c>
      <c r="F148" t="s">
        <v>90</v>
      </c>
      <c r="G148">
        <v>29</v>
      </c>
      <c r="H148">
        <v>7966098</v>
      </c>
      <c r="I148">
        <v>179348</v>
      </c>
      <c r="J148">
        <v>61</v>
      </c>
      <c r="K148">
        <v>62</v>
      </c>
      <c r="L148">
        <v>-7786750</v>
      </c>
      <c r="M148" s="1" t="s">
        <v>330</v>
      </c>
      <c r="N148">
        <v>2.2018192742300401E-2</v>
      </c>
      <c r="O148" s="1" t="s">
        <v>331</v>
      </c>
      <c r="P148">
        <v>0</v>
      </c>
      <c r="Q148">
        <v>0</v>
      </c>
      <c r="R148">
        <v>0</v>
      </c>
      <c r="S148">
        <v>0</v>
      </c>
      <c r="T148">
        <v>171.3383935</v>
      </c>
      <c r="U148">
        <f t="shared" si="4"/>
        <v>0</v>
      </c>
      <c r="V148">
        <f t="shared" si="5"/>
        <v>0</v>
      </c>
    </row>
    <row r="149" spans="1:22" x14ac:dyDescent="0.2">
      <c r="A149" t="s">
        <v>257</v>
      </c>
      <c r="B149" t="s">
        <v>9</v>
      </c>
      <c r="C149" t="s">
        <v>76</v>
      </c>
      <c r="D149" t="s">
        <v>77</v>
      </c>
      <c r="E149" s="1" t="s">
        <v>89</v>
      </c>
      <c r="F149" t="s">
        <v>90</v>
      </c>
      <c r="G149">
        <v>32</v>
      </c>
      <c r="H149">
        <v>32844258</v>
      </c>
      <c r="I149">
        <v>945354</v>
      </c>
      <c r="J149">
        <v>8</v>
      </c>
      <c r="K149">
        <v>57</v>
      </c>
      <c r="L149">
        <v>-31898904</v>
      </c>
      <c r="M149">
        <v>0.97202234817020094</v>
      </c>
      <c r="N149">
        <v>2.7977651829799E-2</v>
      </c>
      <c r="O149">
        <v>3.6212059932621298E-3</v>
      </c>
      <c r="P149">
        <v>0</v>
      </c>
      <c r="Q149">
        <v>0</v>
      </c>
      <c r="R149">
        <v>1</v>
      </c>
      <c r="S149">
        <v>0</v>
      </c>
      <c r="T149">
        <v>171.3383935</v>
      </c>
      <c r="U149">
        <f t="shared" si="4"/>
        <v>0</v>
      </c>
      <c r="V149">
        <f t="shared" si="5"/>
        <v>1</v>
      </c>
    </row>
    <row r="150" spans="1:22" x14ac:dyDescent="0.2">
      <c r="A150" t="s">
        <v>257</v>
      </c>
      <c r="B150" t="s">
        <v>9</v>
      </c>
      <c r="C150" t="s">
        <v>76</v>
      </c>
      <c r="D150" t="s">
        <v>77</v>
      </c>
      <c r="E150">
        <v>20</v>
      </c>
      <c r="F150" t="s">
        <v>104</v>
      </c>
      <c r="G150">
        <v>94</v>
      </c>
      <c r="H150">
        <v>45779607</v>
      </c>
      <c r="I150">
        <v>76783088</v>
      </c>
      <c r="J150">
        <v>9</v>
      </c>
      <c r="K150">
        <v>22</v>
      </c>
      <c r="L150">
        <v>31003481</v>
      </c>
      <c r="M150" s="1" t="s">
        <v>332</v>
      </c>
      <c r="N150" s="1" t="s">
        <v>333</v>
      </c>
      <c r="O150" s="1" t="s">
        <v>334</v>
      </c>
      <c r="P150">
        <v>0</v>
      </c>
      <c r="Q150">
        <v>0</v>
      </c>
      <c r="R150">
        <v>1</v>
      </c>
      <c r="S150">
        <v>0</v>
      </c>
      <c r="T150">
        <v>171.3383935</v>
      </c>
      <c r="U150">
        <f t="shared" si="4"/>
        <v>0</v>
      </c>
      <c r="V150">
        <f t="shared" si="5"/>
        <v>1</v>
      </c>
    </row>
    <row r="151" spans="1:22" x14ac:dyDescent="0.2">
      <c r="A151" t="s">
        <v>257</v>
      </c>
      <c r="B151" t="s">
        <v>9</v>
      </c>
      <c r="C151" t="s">
        <v>76</v>
      </c>
      <c r="D151" t="s">
        <v>77</v>
      </c>
      <c r="E151" s="1" t="s">
        <v>82</v>
      </c>
      <c r="F151" t="s">
        <v>83</v>
      </c>
      <c r="G151" s="1" t="s">
        <v>93</v>
      </c>
      <c r="H151">
        <v>11136559</v>
      </c>
      <c r="I151">
        <v>16252624</v>
      </c>
      <c r="J151">
        <v>15</v>
      </c>
      <c r="K151">
        <v>32</v>
      </c>
      <c r="L151">
        <v>5116065</v>
      </c>
      <c r="M151" s="1" t="s">
        <v>335</v>
      </c>
      <c r="N151" s="1" t="s">
        <v>336</v>
      </c>
      <c r="O151">
        <v>2.9352770795400998E-3</v>
      </c>
      <c r="P151">
        <v>0</v>
      </c>
      <c r="Q151">
        <v>0</v>
      </c>
      <c r="R151">
        <v>0</v>
      </c>
      <c r="S151">
        <v>0</v>
      </c>
      <c r="T151">
        <v>171.3383935</v>
      </c>
      <c r="U151">
        <f t="shared" si="4"/>
        <v>0</v>
      </c>
      <c r="V151">
        <f t="shared" si="5"/>
        <v>0</v>
      </c>
    </row>
    <row r="152" spans="1:22" x14ac:dyDescent="0.2">
      <c r="A152" t="s">
        <v>257</v>
      </c>
      <c r="B152" t="s">
        <v>9</v>
      </c>
      <c r="C152" t="s">
        <v>76</v>
      </c>
      <c r="D152" t="s">
        <v>77</v>
      </c>
      <c r="E152">
        <v>15</v>
      </c>
      <c r="F152" t="s">
        <v>88</v>
      </c>
      <c r="G152">
        <v>83</v>
      </c>
      <c r="H152">
        <v>19344131</v>
      </c>
      <c r="I152">
        <v>6777454</v>
      </c>
      <c r="J152">
        <v>10</v>
      </c>
      <c r="K152">
        <v>37</v>
      </c>
      <c r="L152">
        <v>-12566677</v>
      </c>
      <c r="M152">
        <v>0.74054200769210599</v>
      </c>
      <c r="N152">
        <v>0.25945799230789401</v>
      </c>
      <c r="O152">
        <v>2.79942960444488E-3</v>
      </c>
      <c r="P152">
        <v>0</v>
      </c>
      <c r="Q152">
        <v>0</v>
      </c>
      <c r="R152">
        <v>1</v>
      </c>
      <c r="S152">
        <v>0</v>
      </c>
      <c r="T152">
        <v>171.3383935</v>
      </c>
      <c r="U152">
        <f t="shared" si="4"/>
        <v>0</v>
      </c>
      <c r="V152">
        <f t="shared" si="5"/>
        <v>1</v>
      </c>
    </row>
    <row r="153" spans="1:22" x14ac:dyDescent="0.2">
      <c r="A153" t="s">
        <v>257</v>
      </c>
      <c r="B153" t="s">
        <v>9</v>
      </c>
      <c r="C153" t="s">
        <v>76</v>
      </c>
      <c r="D153" t="s">
        <v>77</v>
      </c>
      <c r="E153">
        <v>15</v>
      </c>
      <c r="F153" t="s">
        <v>88</v>
      </c>
      <c r="G153">
        <v>82</v>
      </c>
      <c r="H153">
        <v>8646105</v>
      </c>
      <c r="I153">
        <v>1482232</v>
      </c>
      <c r="J153">
        <v>20</v>
      </c>
      <c r="K153">
        <v>49</v>
      </c>
      <c r="L153">
        <v>-7163873</v>
      </c>
      <c r="M153" s="1" t="s">
        <v>337</v>
      </c>
      <c r="N153" s="1" t="s">
        <v>338</v>
      </c>
      <c r="O153">
        <v>1.08544586561629E-3</v>
      </c>
      <c r="P153">
        <v>0</v>
      </c>
      <c r="Q153">
        <v>0</v>
      </c>
      <c r="R153">
        <v>0</v>
      </c>
      <c r="S153">
        <v>0</v>
      </c>
      <c r="T153">
        <v>171.3383935</v>
      </c>
      <c r="U153">
        <f t="shared" si="4"/>
        <v>0</v>
      </c>
      <c r="V153">
        <f t="shared" si="5"/>
        <v>0</v>
      </c>
    </row>
    <row r="154" spans="1:22" x14ac:dyDescent="0.2">
      <c r="A154" t="s">
        <v>257</v>
      </c>
      <c r="B154" t="s">
        <v>9</v>
      </c>
      <c r="C154" t="s">
        <v>76</v>
      </c>
      <c r="D154" t="s">
        <v>77</v>
      </c>
      <c r="E154">
        <v>15</v>
      </c>
      <c r="F154" t="s">
        <v>88</v>
      </c>
      <c r="G154">
        <v>74</v>
      </c>
      <c r="H154">
        <v>12643365</v>
      </c>
      <c r="I154">
        <v>2383304</v>
      </c>
      <c r="J154">
        <v>42</v>
      </c>
      <c r="K154">
        <v>48</v>
      </c>
      <c r="L154">
        <v>-10260061</v>
      </c>
      <c r="M154" s="1" t="s">
        <v>339</v>
      </c>
      <c r="N154" s="1" t="s">
        <v>340</v>
      </c>
      <c r="O154">
        <v>1.61039623188233E-3</v>
      </c>
      <c r="P154">
        <v>0</v>
      </c>
      <c r="Q154">
        <v>0</v>
      </c>
      <c r="R154">
        <v>0</v>
      </c>
      <c r="S154">
        <v>0</v>
      </c>
      <c r="T154">
        <v>171.3383935</v>
      </c>
      <c r="U154">
        <f t="shared" si="4"/>
        <v>0</v>
      </c>
      <c r="V154">
        <f t="shared" si="5"/>
        <v>0</v>
      </c>
    </row>
    <row r="155" spans="1:22" x14ac:dyDescent="0.2">
      <c r="A155" t="s">
        <v>257</v>
      </c>
      <c r="B155" t="s">
        <v>9</v>
      </c>
      <c r="C155" t="s">
        <v>76</v>
      </c>
      <c r="D155" t="s">
        <v>77</v>
      </c>
      <c r="E155" s="1" t="s">
        <v>138</v>
      </c>
      <c r="F155" t="s">
        <v>139</v>
      </c>
      <c r="G155">
        <v>16</v>
      </c>
      <c r="H155">
        <v>14859817</v>
      </c>
      <c r="I155">
        <v>18460071</v>
      </c>
      <c r="J155">
        <v>9</v>
      </c>
      <c r="K155">
        <v>11</v>
      </c>
      <c r="L155">
        <v>3600254</v>
      </c>
      <c r="M155" s="1" t="s">
        <v>341</v>
      </c>
      <c r="N155" s="1" t="s">
        <v>342</v>
      </c>
      <c r="O155">
        <v>3.5708660436948102E-3</v>
      </c>
      <c r="P155">
        <v>0</v>
      </c>
      <c r="Q155">
        <v>0</v>
      </c>
      <c r="R155">
        <v>1</v>
      </c>
      <c r="S155">
        <v>0</v>
      </c>
      <c r="T155">
        <v>171.3383935</v>
      </c>
      <c r="U155">
        <f t="shared" si="4"/>
        <v>0</v>
      </c>
      <c r="V155">
        <f t="shared" si="5"/>
        <v>1</v>
      </c>
    </row>
    <row r="156" spans="1:22" x14ac:dyDescent="0.2">
      <c r="A156" t="s">
        <v>257</v>
      </c>
      <c r="B156" t="s">
        <v>9</v>
      </c>
      <c r="C156" t="s">
        <v>76</v>
      </c>
      <c r="D156" t="s">
        <v>77</v>
      </c>
      <c r="E156" s="1" t="s">
        <v>89</v>
      </c>
      <c r="F156" t="s">
        <v>90</v>
      </c>
      <c r="G156">
        <v>36</v>
      </c>
      <c r="H156">
        <v>7628070</v>
      </c>
      <c r="I156">
        <v>14490</v>
      </c>
      <c r="J156">
        <v>8</v>
      </c>
      <c r="K156">
        <v>28</v>
      </c>
      <c r="L156">
        <v>-7613580</v>
      </c>
      <c r="M156" s="1" t="s">
        <v>343</v>
      </c>
      <c r="N156">
        <v>1.8959615626177599E-3</v>
      </c>
      <c r="O156" s="1" t="s">
        <v>344</v>
      </c>
      <c r="P156">
        <v>0</v>
      </c>
      <c r="Q156">
        <v>0</v>
      </c>
      <c r="R156">
        <v>1</v>
      </c>
      <c r="S156">
        <v>0</v>
      </c>
      <c r="T156">
        <v>171.3383935</v>
      </c>
      <c r="U156">
        <f t="shared" si="4"/>
        <v>0</v>
      </c>
      <c r="V156">
        <f t="shared" si="5"/>
        <v>1</v>
      </c>
    </row>
    <row r="157" spans="1:22" x14ac:dyDescent="0.2">
      <c r="A157" t="s">
        <v>257</v>
      </c>
      <c r="B157" t="s">
        <v>9</v>
      </c>
      <c r="C157" t="s">
        <v>76</v>
      </c>
      <c r="D157" t="s">
        <v>77</v>
      </c>
      <c r="E157">
        <v>11</v>
      </c>
      <c r="F157" t="s">
        <v>127</v>
      </c>
      <c r="G157">
        <v>63</v>
      </c>
      <c r="H157">
        <v>12088747</v>
      </c>
      <c r="I157">
        <v>4407032</v>
      </c>
      <c r="J157">
        <v>9</v>
      </c>
      <c r="K157">
        <v>33</v>
      </c>
      <c r="L157">
        <v>-7681715</v>
      </c>
      <c r="M157">
        <v>0.73283880682446101</v>
      </c>
      <c r="N157" s="1" t="s">
        <v>345</v>
      </c>
      <c r="O157">
        <v>1.76783958863829E-3</v>
      </c>
      <c r="P157">
        <v>0</v>
      </c>
      <c r="Q157">
        <v>0</v>
      </c>
      <c r="R157">
        <v>1</v>
      </c>
      <c r="S157">
        <v>0</v>
      </c>
      <c r="T157">
        <v>171.3383935</v>
      </c>
      <c r="U157">
        <f t="shared" si="4"/>
        <v>0</v>
      </c>
      <c r="V157">
        <f t="shared" si="5"/>
        <v>1</v>
      </c>
    </row>
    <row r="158" spans="1:22" x14ac:dyDescent="0.2">
      <c r="A158" t="s">
        <v>257</v>
      </c>
      <c r="B158" t="s">
        <v>9</v>
      </c>
      <c r="C158" t="s">
        <v>76</v>
      </c>
      <c r="D158" t="s">
        <v>77</v>
      </c>
      <c r="E158">
        <v>10</v>
      </c>
      <c r="F158" t="s">
        <v>119</v>
      </c>
      <c r="G158">
        <v>49</v>
      </c>
      <c r="H158">
        <v>6527960</v>
      </c>
      <c r="I158">
        <v>300699</v>
      </c>
      <c r="J158">
        <v>18</v>
      </c>
      <c r="K158">
        <v>46</v>
      </c>
      <c r="L158">
        <v>-6227261</v>
      </c>
      <c r="M158" s="1" t="s">
        <v>346</v>
      </c>
      <c r="N158">
        <v>4.4034853695286202E-2</v>
      </c>
      <c r="O158" s="1" t="s">
        <v>347</v>
      </c>
      <c r="P158">
        <v>0</v>
      </c>
      <c r="Q158">
        <v>0</v>
      </c>
      <c r="R158">
        <v>0</v>
      </c>
      <c r="S158">
        <v>0</v>
      </c>
      <c r="T158">
        <v>171.3383935</v>
      </c>
      <c r="U158">
        <f t="shared" si="4"/>
        <v>0</v>
      </c>
      <c r="V158">
        <f t="shared" si="5"/>
        <v>0</v>
      </c>
    </row>
    <row r="159" spans="1:22" x14ac:dyDescent="0.2">
      <c r="A159" t="s">
        <v>257</v>
      </c>
      <c r="B159" t="s">
        <v>9</v>
      </c>
      <c r="C159" t="s">
        <v>76</v>
      </c>
      <c r="D159" t="s">
        <v>77</v>
      </c>
      <c r="E159" s="1" t="s">
        <v>155</v>
      </c>
      <c r="F159" t="s">
        <v>156</v>
      </c>
      <c r="G159" s="1" t="s">
        <v>155</v>
      </c>
      <c r="H159">
        <v>5873396</v>
      </c>
      <c r="I159">
        <v>69588</v>
      </c>
      <c r="J159">
        <v>7</v>
      </c>
      <c r="K159">
        <v>37</v>
      </c>
      <c r="L159">
        <v>-5803808</v>
      </c>
      <c r="M159" s="1" t="s">
        <v>348</v>
      </c>
      <c r="N159" s="1" t="s">
        <v>349</v>
      </c>
      <c r="O159" s="1" t="s">
        <v>350</v>
      </c>
      <c r="P159">
        <v>0</v>
      </c>
      <c r="Q159">
        <v>0</v>
      </c>
      <c r="R159">
        <v>1</v>
      </c>
      <c r="S159">
        <v>0</v>
      </c>
      <c r="T159">
        <v>171.3383935</v>
      </c>
      <c r="U159">
        <f t="shared" si="4"/>
        <v>0</v>
      </c>
      <c r="V159">
        <f t="shared" si="5"/>
        <v>1</v>
      </c>
    </row>
    <row r="160" spans="1:22" x14ac:dyDescent="0.2">
      <c r="A160" t="s">
        <v>257</v>
      </c>
      <c r="B160" t="s">
        <v>9</v>
      </c>
      <c r="C160" t="s">
        <v>76</v>
      </c>
      <c r="D160" t="s">
        <v>77</v>
      </c>
      <c r="E160">
        <v>15</v>
      </c>
      <c r="F160" t="s">
        <v>88</v>
      </c>
      <c r="G160">
        <v>78</v>
      </c>
      <c r="H160">
        <v>2517880</v>
      </c>
      <c r="I160">
        <v>0</v>
      </c>
      <c r="J160">
        <v>28</v>
      </c>
      <c r="K160">
        <v>44</v>
      </c>
      <c r="L160">
        <v>-2517880</v>
      </c>
      <c r="M160">
        <v>1</v>
      </c>
      <c r="N160">
        <v>0</v>
      </c>
      <c r="O160" s="1" t="s">
        <v>351</v>
      </c>
      <c r="P160">
        <v>0</v>
      </c>
      <c r="Q160">
        <v>0</v>
      </c>
      <c r="R160">
        <v>0</v>
      </c>
      <c r="S160">
        <v>0</v>
      </c>
      <c r="T160">
        <v>171.3383935</v>
      </c>
      <c r="U160">
        <f t="shared" si="4"/>
        <v>0</v>
      </c>
      <c r="V160">
        <f t="shared" si="5"/>
        <v>0</v>
      </c>
    </row>
    <row r="161" spans="1:22" x14ac:dyDescent="0.2">
      <c r="A161" t="s">
        <v>257</v>
      </c>
      <c r="B161" t="s">
        <v>9</v>
      </c>
      <c r="C161" t="s">
        <v>76</v>
      </c>
      <c r="D161" t="s">
        <v>77</v>
      </c>
      <c r="E161">
        <v>12</v>
      </c>
      <c r="F161" t="s">
        <v>194</v>
      </c>
      <c r="G161">
        <v>64</v>
      </c>
      <c r="H161">
        <v>9941702</v>
      </c>
      <c r="I161">
        <v>8565773</v>
      </c>
      <c r="J161">
        <v>5</v>
      </c>
      <c r="K161">
        <v>37</v>
      </c>
      <c r="L161">
        <v>-1375929</v>
      </c>
      <c r="M161" s="1" t="s">
        <v>352</v>
      </c>
      <c r="N161" s="1" t="s">
        <v>353</v>
      </c>
      <c r="O161">
        <v>1.9834314578737701E-3</v>
      </c>
      <c r="P161">
        <v>1</v>
      </c>
      <c r="Q161">
        <v>0</v>
      </c>
      <c r="R161">
        <v>1</v>
      </c>
      <c r="S161">
        <v>0</v>
      </c>
      <c r="T161">
        <v>171.3383935</v>
      </c>
      <c r="U161">
        <f t="shared" si="4"/>
        <v>1</v>
      </c>
      <c r="V161">
        <f t="shared" si="5"/>
        <v>1</v>
      </c>
    </row>
    <row r="162" spans="1:22" x14ac:dyDescent="0.2">
      <c r="A162" t="s">
        <v>257</v>
      </c>
      <c r="B162" t="s">
        <v>9</v>
      </c>
      <c r="C162" t="s">
        <v>76</v>
      </c>
      <c r="D162" t="s">
        <v>77</v>
      </c>
      <c r="E162" s="1" t="s">
        <v>85</v>
      </c>
      <c r="F162" t="s">
        <v>86</v>
      </c>
      <c r="G162">
        <v>26</v>
      </c>
      <c r="H162">
        <v>3217355</v>
      </c>
      <c r="I162">
        <v>5575365</v>
      </c>
      <c r="J162">
        <v>38</v>
      </c>
      <c r="K162">
        <v>17</v>
      </c>
      <c r="L162">
        <v>2358010</v>
      </c>
      <c r="M162" s="1" t="s">
        <v>354</v>
      </c>
      <c r="N162" s="1" t="s">
        <v>355</v>
      </c>
      <c r="O162" s="1" t="s">
        <v>356</v>
      </c>
      <c r="P162">
        <v>0</v>
      </c>
      <c r="Q162">
        <v>0</v>
      </c>
      <c r="R162">
        <v>0</v>
      </c>
      <c r="S162">
        <v>0</v>
      </c>
      <c r="T162">
        <v>171.3383935</v>
      </c>
      <c r="U162">
        <f t="shared" si="4"/>
        <v>0</v>
      </c>
      <c r="V162">
        <f t="shared" si="5"/>
        <v>0</v>
      </c>
    </row>
    <row r="163" spans="1:22" x14ac:dyDescent="0.2">
      <c r="A163" t="s">
        <v>257</v>
      </c>
      <c r="B163" t="s">
        <v>9</v>
      </c>
      <c r="C163" t="s">
        <v>76</v>
      </c>
      <c r="D163" t="s">
        <v>77</v>
      </c>
      <c r="E163" s="1" t="s">
        <v>163</v>
      </c>
      <c r="F163" t="s">
        <v>224</v>
      </c>
      <c r="G163">
        <v>41</v>
      </c>
      <c r="H163">
        <v>1534157</v>
      </c>
      <c r="I163">
        <v>340234</v>
      </c>
      <c r="J163">
        <v>23</v>
      </c>
      <c r="K163">
        <v>35</v>
      </c>
      <c r="L163">
        <v>-1193923</v>
      </c>
      <c r="M163" s="1" t="s">
        <v>357</v>
      </c>
      <c r="N163" s="1" t="s">
        <v>358</v>
      </c>
      <c r="O163" s="1" t="s">
        <v>359</v>
      </c>
      <c r="P163">
        <v>0</v>
      </c>
      <c r="Q163">
        <v>0</v>
      </c>
      <c r="R163">
        <v>0</v>
      </c>
      <c r="S163">
        <v>0</v>
      </c>
      <c r="T163">
        <v>171.3383935</v>
      </c>
      <c r="U163">
        <f t="shared" si="4"/>
        <v>0</v>
      </c>
      <c r="V163">
        <f t="shared" si="5"/>
        <v>0</v>
      </c>
    </row>
    <row r="164" spans="1:22" x14ac:dyDescent="0.2">
      <c r="A164" t="s">
        <v>257</v>
      </c>
      <c r="B164" t="s">
        <v>9</v>
      </c>
      <c r="C164" t="s">
        <v>76</v>
      </c>
      <c r="D164" t="s">
        <v>77</v>
      </c>
      <c r="E164">
        <v>11</v>
      </c>
      <c r="F164" t="s">
        <v>127</v>
      </c>
      <c r="G164">
        <v>51</v>
      </c>
      <c r="H164">
        <v>875255</v>
      </c>
      <c r="I164">
        <v>8489</v>
      </c>
      <c r="J164">
        <v>12</v>
      </c>
      <c r="K164">
        <v>49</v>
      </c>
      <c r="L164">
        <v>-866766</v>
      </c>
      <c r="M164" s="1" t="s">
        <v>360</v>
      </c>
      <c r="N164">
        <v>9.6057229242857596E-3</v>
      </c>
      <c r="O164" s="1" t="s">
        <v>361</v>
      </c>
      <c r="P164">
        <v>0</v>
      </c>
      <c r="Q164">
        <v>0</v>
      </c>
      <c r="R164">
        <v>0</v>
      </c>
      <c r="S164">
        <v>0</v>
      </c>
      <c r="T164">
        <v>171.3383935</v>
      </c>
      <c r="U164">
        <f t="shared" si="4"/>
        <v>0</v>
      </c>
      <c r="V164">
        <f t="shared" si="5"/>
        <v>0</v>
      </c>
    </row>
    <row r="165" spans="1:22" x14ac:dyDescent="0.2">
      <c r="A165" t="s">
        <v>257</v>
      </c>
      <c r="B165" t="s">
        <v>9</v>
      </c>
      <c r="C165" t="s">
        <v>76</v>
      </c>
      <c r="D165" t="s">
        <v>77</v>
      </c>
      <c r="E165">
        <v>11</v>
      </c>
      <c r="F165" t="s">
        <v>127</v>
      </c>
      <c r="G165">
        <v>57</v>
      </c>
      <c r="H165">
        <v>1657511</v>
      </c>
      <c r="I165">
        <v>1748261</v>
      </c>
      <c r="J165">
        <v>6</v>
      </c>
      <c r="K165">
        <v>34</v>
      </c>
      <c r="L165">
        <v>90750</v>
      </c>
      <c r="M165">
        <v>0.48667702946644698</v>
      </c>
      <c r="N165">
        <v>0.51332297053355302</v>
      </c>
      <c r="O165" s="1" t="s">
        <v>362</v>
      </c>
      <c r="P165">
        <v>0</v>
      </c>
      <c r="Q165">
        <v>0</v>
      </c>
      <c r="R165">
        <v>1</v>
      </c>
      <c r="S165">
        <v>0</v>
      </c>
      <c r="T165">
        <v>171.3383935</v>
      </c>
      <c r="U165">
        <f t="shared" si="4"/>
        <v>0</v>
      </c>
      <c r="V165">
        <f t="shared" si="5"/>
        <v>1</v>
      </c>
    </row>
    <row r="166" spans="1:22" x14ac:dyDescent="0.2">
      <c r="A166" t="s">
        <v>257</v>
      </c>
      <c r="B166" t="s">
        <v>9</v>
      </c>
      <c r="C166" t="s">
        <v>76</v>
      </c>
      <c r="D166" t="s">
        <v>77</v>
      </c>
      <c r="E166" s="1" t="s">
        <v>89</v>
      </c>
      <c r="F166" t="s">
        <v>90</v>
      </c>
      <c r="G166">
        <v>35</v>
      </c>
      <c r="H166">
        <v>4418218</v>
      </c>
      <c r="I166">
        <v>1347607</v>
      </c>
      <c r="J166">
        <v>5</v>
      </c>
      <c r="K166">
        <v>44</v>
      </c>
      <c r="L166">
        <v>-3070611</v>
      </c>
      <c r="M166" s="1" t="s">
        <v>363</v>
      </c>
      <c r="N166" s="1" t="s">
        <v>364</v>
      </c>
      <c r="O166" s="1" t="s">
        <v>365</v>
      </c>
      <c r="P166">
        <v>1</v>
      </c>
      <c r="Q166">
        <v>0</v>
      </c>
      <c r="R166">
        <v>1</v>
      </c>
      <c r="S166">
        <v>0</v>
      </c>
      <c r="T166">
        <v>171.3383935</v>
      </c>
      <c r="U166">
        <f t="shared" si="4"/>
        <v>1</v>
      </c>
      <c r="V166">
        <f t="shared" si="5"/>
        <v>1</v>
      </c>
    </row>
    <row r="167" spans="1:22" x14ac:dyDescent="0.2">
      <c r="A167" t="s">
        <v>257</v>
      </c>
      <c r="B167" t="s">
        <v>9</v>
      </c>
      <c r="C167" t="s">
        <v>76</v>
      </c>
      <c r="D167" t="s">
        <v>77</v>
      </c>
      <c r="E167" s="1" t="s">
        <v>85</v>
      </c>
      <c r="F167" t="s">
        <v>86</v>
      </c>
      <c r="G167">
        <v>25</v>
      </c>
      <c r="H167">
        <v>1837431</v>
      </c>
      <c r="I167">
        <v>24753098</v>
      </c>
      <c r="J167">
        <v>64</v>
      </c>
      <c r="K167">
        <v>16</v>
      </c>
      <c r="L167">
        <v>22915667</v>
      </c>
      <c r="M167">
        <v>6.9100956961029206E-2</v>
      </c>
      <c r="N167" s="1" t="s">
        <v>366</v>
      </c>
      <c r="O167">
        <v>2.8496859620291098E-3</v>
      </c>
      <c r="P167">
        <v>0</v>
      </c>
      <c r="Q167">
        <v>0</v>
      </c>
      <c r="R167">
        <v>0</v>
      </c>
      <c r="S167">
        <v>0</v>
      </c>
      <c r="T167">
        <v>171.3383935</v>
      </c>
      <c r="U167">
        <f t="shared" si="4"/>
        <v>0</v>
      </c>
      <c r="V167">
        <f t="shared" si="5"/>
        <v>0</v>
      </c>
    </row>
    <row r="168" spans="1:22" x14ac:dyDescent="0.2">
      <c r="A168" t="s">
        <v>257</v>
      </c>
      <c r="B168" t="s">
        <v>9</v>
      </c>
      <c r="C168" t="s">
        <v>76</v>
      </c>
      <c r="D168" t="s">
        <v>77</v>
      </c>
      <c r="E168" s="1" t="s">
        <v>82</v>
      </c>
      <c r="F168" t="s">
        <v>83</v>
      </c>
      <c r="G168" s="1" t="s">
        <v>163</v>
      </c>
      <c r="H168">
        <v>3383556</v>
      </c>
      <c r="I168">
        <v>154377857</v>
      </c>
      <c r="J168">
        <v>17</v>
      </c>
      <c r="K168">
        <v>22</v>
      </c>
      <c r="L168">
        <v>150994301</v>
      </c>
      <c r="M168" s="1" t="s">
        <v>367</v>
      </c>
      <c r="N168" s="1" t="s">
        <v>368</v>
      </c>
      <c r="O168">
        <v>1.6907165855029702E-2</v>
      </c>
      <c r="P168">
        <v>0</v>
      </c>
      <c r="Q168">
        <v>0</v>
      </c>
      <c r="R168">
        <v>0</v>
      </c>
      <c r="S168">
        <v>0</v>
      </c>
      <c r="T168">
        <v>171.3383935</v>
      </c>
      <c r="U168">
        <f t="shared" si="4"/>
        <v>0</v>
      </c>
      <c r="V168">
        <f t="shared" si="5"/>
        <v>0</v>
      </c>
    </row>
    <row r="169" spans="1:22" x14ac:dyDescent="0.2">
      <c r="A169" t="s">
        <v>257</v>
      </c>
      <c r="B169" t="s">
        <v>9</v>
      </c>
      <c r="C169" t="s">
        <v>76</v>
      </c>
      <c r="D169" t="s">
        <v>77</v>
      </c>
      <c r="E169">
        <v>17</v>
      </c>
      <c r="F169" t="s">
        <v>97</v>
      </c>
      <c r="G169">
        <v>86</v>
      </c>
      <c r="H169">
        <v>1619497</v>
      </c>
      <c r="I169">
        <v>643680</v>
      </c>
      <c r="J169">
        <v>36</v>
      </c>
      <c r="K169">
        <v>39</v>
      </c>
      <c r="L169">
        <v>-975817</v>
      </c>
      <c r="M169" s="1" t="s">
        <v>369</v>
      </c>
      <c r="N169" s="1" t="s">
        <v>370</v>
      </c>
      <c r="O169" s="1" t="s">
        <v>371</v>
      </c>
      <c r="P169">
        <v>0</v>
      </c>
      <c r="Q169">
        <v>0</v>
      </c>
      <c r="R169">
        <v>0</v>
      </c>
      <c r="S169">
        <v>0</v>
      </c>
      <c r="T169">
        <v>171.3383935</v>
      </c>
      <c r="U169">
        <f t="shared" si="4"/>
        <v>0</v>
      </c>
      <c r="V169">
        <f t="shared" si="5"/>
        <v>0</v>
      </c>
    </row>
    <row r="170" spans="1:22" x14ac:dyDescent="0.2">
      <c r="A170" t="s">
        <v>257</v>
      </c>
      <c r="B170" t="s">
        <v>9</v>
      </c>
      <c r="C170" t="s">
        <v>76</v>
      </c>
      <c r="D170" t="s">
        <v>77</v>
      </c>
      <c r="E170">
        <v>11</v>
      </c>
      <c r="F170" t="s">
        <v>127</v>
      </c>
      <c r="G170">
        <v>59</v>
      </c>
      <c r="H170">
        <v>2160090</v>
      </c>
      <c r="I170">
        <v>161806</v>
      </c>
      <c r="J170">
        <v>10</v>
      </c>
      <c r="K170">
        <v>47</v>
      </c>
      <c r="L170">
        <v>-1998284</v>
      </c>
      <c r="M170" s="1" t="s">
        <v>372</v>
      </c>
      <c r="N170">
        <v>6.9687014405468595E-2</v>
      </c>
      <c r="O170" s="1" t="s">
        <v>373</v>
      </c>
      <c r="P170">
        <v>0</v>
      </c>
      <c r="Q170">
        <v>0</v>
      </c>
      <c r="R170">
        <v>1</v>
      </c>
      <c r="S170">
        <v>0</v>
      </c>
      <c r="T170">
        <v>171.3383935</v>
      </c>
      <c r="U170">
        <f t="shared" si="4"/>
        <v>0</v>
      </c>
      <c r="V170">
        <f t="shared" si="5"/>
        <v>1</v>
      </c>
    </row>
    <row r="171" spans="1:22" x14ac:dyDescent="0.2">
      <c r="A171" t="s">
        <v>257</v>
      </c>
      <c r="B171" t="s">
        <v>9</v>
      </c>
      <c r="C171" t="s">
        <v>76</v>
      </c>
      <c r="D171" t="s">
        <v>77</v>
      </c>
      <c r="E171">
        <v>11</v>
      </c>
      <c r="F171" t="s">
        <v>127</v>
      </c>
      <c r="G171">
        <v>54</v>
      </c>
      <c r="H171">
        <v>2854925</v>
      </c>
      <c r="I171">
        <v>847035</v>
      </c>
      <c r="J171">
        <v>16</v>
      </c>
      <c r="K171">
        <v>45</v>
      </c>
      <c r="L171">
        <v>-2007890</v>
      </c>
      <c r="M171" s="1" t="s">
        <v>374</v>
      </c>
      <c r="N171" s="1" t="s">
        <v>375</v>
      </c>
      <c r="O171" s="1" t="s">
        <v>376</v>
      </c>
      <c r="P171">
        <v>0</v>
      </c>
      <c r="Q171">
        <v>0</v>
      </c>
      <c r="R171">
        <v>0</v>
      </c>
      <c r="S171">
        <v>0</v>
      </c>
      <c r="T171">
        <v>171.3383935</v>
      </c>
      <c r="U171">
        <f t="shared" si="4"/>
        <v>0</v>
      </c>
      <c r="V171">
        <f t="shared" si="5"/>
        <v>0</v>
      </c>
    </row>
    <row r="172" spans="1:22" x14ac:dyDescent="0.2">
      <c r="A172" t="s">
        <v>257</v>
      </c>
      <c r="B172" t="s">
        <v>9</v>
      </c>
      <c r="C172" t="s">
        <v>76</v>
      </c>
      <c r="D172" t="s">
        <v>77</v>
      </c>
      <c r="E172">
        <v>11</v>
      </c>
      <c r="F172" t="s">
        <v>127</v>
      </c>
      <c r="G172">
        <v>56</v>
      </c>
      <c r="H172">
        <v>4533882</v>
      </c>
      <c r="I172">
        <v>1895020</v>
      </c>
      <c r="J172">
        <v>23</v>
      </c>
      <c r="K172">
        <v>45</v>
      </c>
      <c r="L172">
        <v>-2638862</v>
      </c>
      <c r="M172" s="1" t="s">
        <v>377</v>
      </c>
      <c r="N172" s="1" t="s">
        <v>378</v>
      </c>
      <c r="O172" s="1" t="s">
        <v>379</v>
      </c>
      <c r="P172">
        <v>0</v>
      </c>
      <c r="Q172">
        <v>0</v>
      </c>
      <c r="R172">
        <v>0</v>
      </c>
      <c r="S172">
        <v>0</v>
      </c>
      <c r="T172">
        <v>171.3383935</v>
      </c>
      <c r="U172">
        <f t="shared" si="4"/>
        <v>0</v>
      </c>
      <c r="V172">
        <f t="shared" si="5"/>
        <v>0</v>
      </c>
    </row>
    <row r="173" spans="1:22" x14ac:dyDescent="0.2">
      <c r="A173" t="s">
        <v>257</v>
      </c>
      <c r="B173" t="s">
        <v>9</v>
      </c>
      <c r="C173" t="s">
        <v>76</v>
      </c>
      <c r="D173" t="s">
        <v>77</v>
      </c>
      <c r="E173">
        <v>15</v>
      </c>
      <c r="F173" t="s">
        <v>88</v>
      </c>
      <c r="G173">
        <v>80</v>
      </c>
      <c r="H173">
        <v>167957</v>
      </c>
      <c r="I173">
        <v>179</v>
      </c>
      <c r="J173">
        <v>22</v>
      </c>
      <c r="K173">
        <v>41</v>
      </c>
      <c r="L173">
        <v>-167778</v>
      </c>
      <c r="M173">
        <v>0.99893538564019602</v>
      </c>
      <c r="N173">
        <v>1.06461435980396E-3</v>
      </c>
      <c r="O173" s="1" t="s">
        <v>380</v>
      </c>
      <c r="P173">
        <v>0</v>
      </c>
      <c r="Q173">
        <v>0</v>
      </c>
      <c r="R173">
        <v>0</v>
      </c>
      <c r="S173">
        <v>0</v>
      </c>
      <c r="T173">
        <v>171.3383935</v>
      </c>
      <c r="U173">
        <f t="shared" si="4"/>
        <v>0</v>
      </c>
      <c r="V173">
        <f t="shared" si="5"/>
        <v>0</v>
      </c>
    </row>
    <row r="174" spans="1:22" x14ac:dyDescent="0.2">
      <c r="A174" t="s">
        <v>257</v>
      </c>
      <c r="B174" t="s">
        <v>9</v>
      </c>
      <c r="C174" t="s">
        <v>76</v>
      </c>
      <c r="D174" t="s">
        <v>77</v>
      </c>
      <c r="E174">
        <v>11</v>
      </c>
      <c r="F174" t="s">
        <v>127</v>
      </c>
      <c r="G174">
        <v>52</v>
      </c>
      <c r="H174">
        <v>2642937</v>
      </c>
      <c r="I174">
        <v>2029687</v>
      </c>
      <c r="J174">
        <v>10</v>
      </c>
      <c r="K174">
        <v>30</v>
      </c>
      <c r="L174">
        <v>-613250</v>
      </c>
      <c r="M174" s="1" t="s">
        <v>381</v>
      </c>
      <c r="N174" s="1" t="s">
        <v>382</v>
      </c>
      <c r="O174" s="1" t="s">
        <v>383</v>
      </c>
      <c r="P174">
        <v>0</v>
      </c>
      <c r="Q174">
        <v>0</v>
      </c>
      <c r="R174">
        <v>1</v>
      </c>
      <c r="S174">
        <v>0</v>
      </c>
      <c r="T174">
        <v>171.3383935</v>
      </c>
      <c r="U174">
        <f t="shared" si="4"/>
        <v>0</v>
      </c>
      <c r="V174">
        <f t="shared" si="5"/>
        <v>1</v>
      </c>
    </row>
    <row r="175" spans="1:22" x14ac:dyDescent="0.2">
      <c r="A175" t="s">
        <v>257</v>
      </c>
      <c r="B175" t="s">
        <v>9</v>
      </c>
      <c r="C175" t="s">
        <v>76</v>
      </c>
      <c r="D175" t="s">
        <v>77</v>
      </c>
      <c r="E175">
        <v>11</v>
      </c>
      <c r="F175" t="s">
        <v>127</v>
      </c>
      <c r="G175">
        <v>58</v>
      </c>
      <c r="H175">
        <v>880524</v>
      </c>
      <c r="I175">
        <v>400403</v>
      </c>
      <c r="J175">
        <v>4</v>
      </c>
      <c r="K175">
        <v>37</v>
      </c>
      <c r="L175">
        <v>-480121</v>
      </c>
      <c r="M175" s="1" t="s">
        <v>384</v>
      </c>
      <c r="N175" s="1" t="s">
        <v>385</v>
      </c>
      <c r="O175" s="1" t="s">
        <v>386</v>
      </c>
      <c r="P175">
        <v>1</v>
      </c>
      <c r="Q175">
        <v>0</v>
      </c>
      <c r="R175">
        <v>1</v>
      </c>
      <c r="S175">
        <v>0</v>
      </c>
      <c r="T175">
        <v>171.3383935</v>
      </c>
      <c r="U175">
        <f t="shared" si="4"/>
        <v>1</v>
      </c>
      <c r="V175">
        <f t="shared" si="5"/>
        <v>1</v>
      </c>
    </row>
    <row r="176" spans="1:22" x14ac:dyDescent="0.2">
      <c r="A176" t="s">
        <v>257</v>
      </c>
      <c r="B176" t="s">
        <v>9</v>
      </c>
      <c r="C176" t="s">
        <v>76</v>
      </c>
      <c r="D176" t="s">
        <v>77</v>
      </c>
      <c r="E176">
        <v>15</v>
      </c>
      <c r="F176" t="s">
        <v>88</v>
      </c>
      <c r="G176">
        <v>81</v>
      </c>
      <c r="H176">
        <v>453518</v>
      </c>
      <c r="I176">
        <v>2734</v>
      </c>
      <c r="J176">
        <v>52</v>
      </c>
      <c r="K176">
        <v>53</v>
      </c>
      <c r="L176">
        <v>-450784</v>
      </c>
      <c r="M176" s="1" t="s">
        <v>387</v>
      </c>
      <c r="N176">
        <v>5.9923024994958897E-3</v>
      </c>
      <c r="O176" s="1" t="s">
        <v>388</v>
      </c>
      <c r="P176">
        <v>0</v>
      </c>
      <c r="Q176">
        <v>0</v>
      </c>
      <c r="R176">
        <v>0</v>
      </c>
      <c r="S176">
        <v>0</v>
      </c>
      <c r="T176">
        <v>171.3383935</v>
      </c>
      <c r="U176">
        <f t="shared" si="4"/>
        <v>0</v>
      </c>
      <c r="V176">
        <f t="shared" si="5"/>
        <v>0</v>
      </c>
    </row>
    <row r="177" spans="1:22" x14ac:dyDescent="0.2">
      <c r="A177" t="s">
        <v>257</v>
      </c>
      <c r="B177" t="s">
        <v>9</v>
      </c>
      <c r="C177" t="s">
        <v>76</v>
      </c>
      <c r="D177" t="s">
        <v>77</v>
      </c>
      <c r="E177">
        <v>11</v>
      </c>
      <c r="F177" t="s">
        <v>127</v>
      </c>
      <c r="G177">
        <v>62</v>
      </c>
      <c r="H177">
        <v>9029157</v>
      </c>
      <c r="I177">
        <v>233147309</v>
      </c>
      <c r="J177">
        <v>7</v>
      </c>
      <c r="K177">
        <v>11</v>
      </c>
      <c r="L177">
        <v>224118152</v>
      </c>
      <c r="M177">
        <v>3.7283379137261E-2</v>
      </c>
      <c r="N177">
        <v>0.96271662086273901</v>
      </c>
      <c r="O177" s="1" t="s">
        <v>389</v>
      </c>
      <c r="P177">
        <v>0</v>
      </c>
      <c r="Q177">
        <v>0</v>
      </c>
      <c r="R177">
        <v>1</v>
      </c>
      <c r="S177">
        <v>0</v>
      </c>
      <c r="T177">
        <v>171.3383935</v>
      </c>
      <c r="U177">
        <f t="shared" si="4"/>
        <v>0</v>
      </c>
      <c r="V177">
        <f t="shared" si="5"/>
        <v>1</v>
      </c>
    </row>
    <row r="178" spans="1:22" x14ac:dyDescent="0.2">
      <c r="A178" t="s">
        <v>257</v>
      </c>
      <c r="B178" t="s">
        <v>9</v>
      </c>
      <c r="C178" t="s">
        <v>76</v>
      </c>
      <c r="D178" t="s">
        <v>77</v>
      </c>
      <c r="E178" s="1" t="s">
        <v>155</v>
      </c>
      <c r="F178" t="s">
        <v>156</v>
      </c>
      <c r="G178" s="1" t="s">
        <v>110</v>
      </c>
      <c r="H178">
        <v>2351415</v>
      </c>
      <c r="I178">
        <v>127227829</v>
      </c>
      <c r="J178">
        <v>55</v>
      </c>
      <c r="K178">
        <v>11</v>
      </c>
      <c r="L178">
        <v>124876414</v>
      </c>
      <c r="M178" s="1" t="s">
        <v>390</v>
      </c>
      <c r="N178" s="1" t="s">
        <v>391</v>
      </c>
      <c r="O178" s="1" t="s">
        <v>392</v>
      </c>
      <c r="P178">
        <v>0</v>
      </c>
      <c r="Q178">
        <v>0</v>
      </c>
      <c r="R178">
        <v>0</v>
      </c>
      <c r="S178">
        <v>0</v>
      </c>
      <c r="T178">
        <v>171.3383935</v>
      </c>
      <c r="U178">
        <f t="shared" si="4"/>
        <v>0</v>
      </c>
      <c r="V178">
        <f t="shared" si="5"/>
        <v>0</v>
      </c>
    </row>
    <row r="179" spans="1:22" x14ac:dyDescent="0.2">
      <c r="A179" t="s">
        <v>257</v>
      </c>
      <c r="B179" t="s">
        <v>9</v>
      </c>
      <c r="C179" t="s">
        <v>76</v>
      </c>
      <c r="D179" t="s">
        <v>77</v>
      </c>
      <c r="E179" s="1" t="s">
        <v>93</v>
      </c>
      <c r="F179" t="s">
        <v>94</v>
      </c>
      <c r="G179">
        <v>45</v>
      </c>
      <c r="H179">
        <v>1101450</v>
      </c>
      <c r="I179">
        <v>2415</v>
      </c>
      <c r="J179">
        <v>4</v>
      </c>
      <c r="K179">
        <v>36</v>
      </c>
      <c r="L179">
        <v>-1099035</v>
      </c>
      <c r="M179" s="1" t="s">
        <v>393</v>
      </c>
      <c r="N179">
        <v>2.1877675259202802E-3</v>
      </c>
      <c r="O179" s="1" t="s">
        <v>394</v>
      </c>
      <c r="P179">
        <v>1</v>
      </c>
      <c r="Q179">
        <v>0</v>
      </c>
      <c r="R179">
        <v>1</v>
      </c>
      <c r="S179">
        <v>0</v>
      </c>
      <c r="T179">
        <v>171.3383935</v>
      </c>
      <c r="U179">
        <f t="shared" si="4"/>
        <v>1</v>
      </c>
      <c r="V179">
        <f t="shared" si="5"/>
        <v>1</v>
      </c>
    </row>
    <row r="180" spans="1:22" x14ac:dyDescent="0.2">
      <c r="A180" t="s">
        <v>257</v>
      </c>
      <c r="B180" t="s">
        <v>9</v>
      </c>
      <c r="C180" t="s">
        <v>76</v>
      </c>
      <c r="D180" t="s">
        <v>77</v>
      </c>
      <c r="E180">
        <v>18</v>
      </c>
      <c r="F180" t="s">
        <v>147</v>
      </c>
      <c r="G180">
        <v>91</v>
      </c>
      <c r="H180">
        <v>325440</v>
      </c>
      <c r="I180">
        <v>76474</v>
      </c>
      <c r="J180">
        <v>18</v>
      </c>
      <c r="K180">
        <v>42</v>
      </c>
      <c r="L180">
        <v>-248966</v>
      </c>
      <c r="M180" s="1" t="s">
        <v>395</v>
      </c>
      <c r="N180" s="1" t="s">
        <v>396</v>
      </c>
      <c r="O180" s="1" t="s">
        <v>397</v>
      </c>
      <c r="P180">
        <v>0</v>
      </c>
      <c r="Q180">
        <v>0</v>
      </c>
      <c r="R180">
        <v>0</v>
      </c>
      <c r="S180">
        <v>0</v>
      </c>
      <c r="T180">
        <v>171.3383935</v>
      </c>
      <c r="U180">
        <f t="shared" si="4"/>
        <v>0</v>
      </c>
      <c r="V180">
        <f t="shared" si="5"/>
        <v>0</v>
      </c>
    </row>
    <row r="181" spans="1:22" x14ac:dyDescent="0.2">
      <c r="A181" t="s">
        <v>257</v>
      </c>
      <c r="B181" t="s">
        <v>9</v>
      </c>
      <c r="C181" t="s">
        <v>76</v>
      </c>
      <c r="D181" t="s">
        <v>77</v>
      </c>
      <c r="E181" s="1" t="s">
        <v>89</v>
      </c>
      <c r="F181" t="s">
        <v>90</v>
      </c>
      <c r="G181">
        <v>37</v>
      </c>
      <c r="H181">
        <v>298645</v>
      </c>
      <c r="I181">
        <v>1093</v>
      </c>
      <c r="J181">
        <v>7</v>
      </c>
      <c r="K181">
        <v>43</v>
      </c>
      <c r="L181">
        <v>-297552</v>
      </c>
      <c r="M181" s="1" t="s">
        <v>398</v>
      </c>
      <c r="N181">
        <v>3.64651795901754E-3</v>
      </c>
      <c r="O181" s="1" t="s">
        <v>399</v>
      </c>
      <c r="P181">
        <v>0</v>
      </c>
      <c r="Q181">
        <v>0</v>
      </c>
      <c r="R181">
        <v>1</v>
      </c>
      <c r="S181">
        <v>0</v>
      </c>
      <c r="T181">
        <v>171.3383935</v>
      </c>
      <c r="U181">
        <f t="shared" si="4"/>
        <v>0</v>
      </c>
      <c r="V181">
        <f t="shared" si="5"/>
        <v>1</v>
      </c>
    </row>
    <row r="182" spans="1:22" x14ac:dyDescent="0.2">
      <c r="A182" t="s">
        <v>257</v>
      </c>
      <c r="B182" t="s">
        <v>9</v>
      </c>
      <c r="C182" t="s">
        <v>76</v>
      </c>
      <c r="D182" t="s">
        <v>77</v>
      </c>
      <c r="E182">
        <v>17</v>
      </c>
      <c r="F182" t="s">
        <v>97</v>
      </c>
      <c r="G182">
        <v>89</v>
      </c>
      <c r="H182">
        <v>210771</v>
      </c>
      <c r="I182">
        <v>68</v>
      </c>
      <c r="J182">
        <v>50</v>
      </c>
      <c r="K182">
        <v>67</v>
      </c>
      <c r="L182">
        <v>-210703</v>
      </c>
      <c r="M182" s="1" t="s">
        <v>400</v>
      </c>
      <c r="N182" s="1" t="s">
        <v>401</v>
      </c>
      <c r="O182" s="1" t="s">
        <v>402</v>
      </c>
      <c r="P182">
        <v>0</v>
      </c>
      <c r="Q182">
        <v>0</v>
      </c>
      <c r="R182">
        <v>0</v>
      </c>
      <c r="S182">
        <v>0</v>
      </c>
      <c r="T182">
        <v>171.3383935</v>
      </c>
      <c r="U182">
        <f t="shared" si="4"/>
        <v>0</v>
      </c>
      <c r="V182">
        <f t="shared" si="5"/>
        <v>0</v>
      </c>
    </row>
    <row r="183" spans="1:22" x14ac:dyDescent="0.2">
      <c r="A183" t="s">
        <v>257</v>
      </c>
      <c r="B183" t="s">
        <v>9</v>
      </c>
      <c r="C183" t="s">
        <v>76</v>
      </c>
      <c r="D183" t="s">
        <v>77</v>
      </c>
      <c r="E183">
        <v>17</v>
      </c>
      <c r="F183" t="s">
        <v>97</v>
      </c>
      <c r="G183">
        <v>88</v>
      </c>
      <c r="H183">
        <v>1679892</v>
      </c>
      <c r="I183">
        <v>78484</v>
      </c>
      <c r="J183">
        <v>58</v>
      </c>
      <c r="K183">
        <v>62</v>
      </c>
      <c r="L183">
        <v>-1601408</v>
      </c>
      <c r="M183" s="1" t="s">
        <v>403</v>
      </c>
      <c r="N183">
        <v>4.46343671660668E-2</v>
      </c>
      <c r="O183" s="1" t="s">
        <v>404</v>
      </c>
      <c r="P183">
        <v>0</v>
      </c>
      <c r="Q183">
        <v>0</v>
      </c>
      <c r="R183">
        <v>0</v>
      </c>
      <c r="S183">
        <v>0</v>
      </c>
      <c r="T183">
        <v>171.3383935</v>
      </c>
      <c r="U183">
        <f t="shared" si="4"/>
        <v>0</v>
      </c>
      <c r="V183">
        <f t="shared" si="5"/>
        <v>0</v>
      </c>
    </row>
    <row r="184" spans="1:22" x14ac:dyDescent="0.2">
      <c r="A184" t="s">
        <v>257</v>
      </c>
      <c r="B184" t="s">
        <v>9</v>
      </c>
      <c r="C184" t="s">
        <v>76</v>
      </c>
      <c r="D184" t="s">
        <v>77</v>
      </c>
      <c r="E184">
        <v>11</v>
      </c>
      <c r="F184" t="s">
        <v>127</v>
      </c>
      <c r="G184">
        <v>60</v>
      </c>
      <c r="H184">
        <v>1398258</v>
      </c>
      <c r="I184">
        <v>8647935</v>
      </c>
      <c r="J184">
        <v>6</v>
      </c>
      <c r="K184">
        <v>12</v>
      </c>
      <c r="L184">
        <v>7249677</v>
      </c>
      <c r="M184" s="1" t="s">
        <v>405</v>
      </c>
      <c r="N184" s="1" t="s">
        <v>406</v>
      </c>
      <c r="O184">
        <v>1.0766425581053699E-3</v>
      </c>
      <c r="P184">
        <v>0</v>
      </c>
      <c r="Q184">
        <v>0</v>
      </c>
      <c r="R184">
        <v>1</v>
      </c>
      <c r="S184">
        <v>0</v>
      </c>
      <c r="T184">
        <v>171.3383935</v>
      </c>
      <c r="U184">
        <f t="shared" si="4"/>
        <v>0</v>
      </c>
      <c r="V184">
        <f t="shared" si="5"/>
        <v>1</v>
      </c>
    </row>
    <row r="185" spans="1:22" x14ac:dyDescent="0.2">
      <c r="A185" t="s">
        <v>257</v>
      </c>
      <c r="B185" t="s">
        <v>9</v>
      </c>
      <c r="C185" t="s">
        <v>76</v>
      </c>
      <c r="D185" t="s">
        <v>77</v>
      </c>
      <c r="E185">
        <v>15</v>
      </c>
      <c r="F185" t="s">
        <v>88</v>
      </c>
      <c r="G185">
        <v>79</v>
      </c>
      <c r="H185">
        <v>443215</v>
      </c>
      <c r="I185">
        <v>101991</v>
      </c>
      <c r="J185">
        <v>29</v>
      </c>
      <c r="K185">
        <v>35</v>
      </c>
      <c r="L185">
        <v>-341224</v>
      </c>
      <c r="M185" s="1" t="s">
        <v>407</v>
      </c>
      <c r="N185" s="1" t="s">
        <v>408</v>
      </c>
      <c r="O185" s="1" t="s">
        <v>409</v>
      </c>
      <c r="P185">
        <v>0</v>
      </c>
      <c r="Q185">
        <v>0</v>
      </c>
      <c r="R185">
        <v>0</v>
      </c>
      <c r="S185">
        <v>0</v>
      </c>
      <c r="T185">
        <v>171.3383935</v>
      </c>
      <c r="U185">
        <f t="shared" si="4"/>
        <v>0</v>
      </c>
      <c r="V185">
        <f t="shared" si="5"/>
        <v>0</v>
      </c>
    </row>
    <row r="186" spans="1:22" x14ac:dyDescent="0.2">
      <c r="A186" t="s">
        <v>257</v>
      </c>
      <c r="B186" t="s">
        <v>9</v>
      </c>
      <c r="C186" t="s">
        <v>76</v>
      </c>
      <c r="D186" t="s">
        <v>77</v>
      </c>
      <c r="E186">
        <v>11</v>
      </c>
      <c r="F186" t="s">
        <v>127</v>
      </c>
      <c r="G186">
        <v>61</v>
      </c>
      <c r="H186">
        <v>7742328</v>
      </c>
      <c r="I186">
        <v>163785430</v>
      </c>
      <c r="J186">
        <v>4</v>
      </c>
      <c r="K186">
        <v>16</v>
      </c>
      <c r="L186">
        <v>156043102</v>
      </c>
      <c r="M186">
        <v>4.5137463989939099E-2</v>
      </c>
      <c r="N186" s="1" t="s">
        <v>410</v>
      </c>
      <c r="O186">
        <v>1.8382494160643699E-2</v>
      </c>
      <c r="P186">
        <v>1</v>
      </c>
      <c r="Q186">
        <v>0</v>
      </c>
      <c r="R186">
        <v>1</v>
      </c>
      <c r="S186">
        <v>0</v>
      </c>
      <c r="T186">
        <v>171.3383935</v>
      </c>
      <c r="U186">
        <f t="shared" si="4"/>
        <v>1</v>
      </c>
      <c r="V186">
        <f t="shared" si="5"/>
        <v>1</v>
      </c>
    </row>
    <row r="187" spans="1:22" x14ac:dyDescent="0.2">
      <c r="A187" t="s">
        <v>257</v>
      </c>
      <c r="B187" t="s">
        <v>9</v>
      </c>
      <c r="C187" t="s">
        <v>76</v>
      </c>
      <c r="D187" t="s">
        <v>77</v>
      </c>
      <c r="E187">
        <v>21</v>
      </c>
      <c r="F187" t="s">
        <v>212</v>
      </c>
      <c r="G187">
        <v>97</v>
      </c>
      <c r="H187">
        <v>232914</v>
      </c>
      <c r="I187">
        <v>4081</v>
      </c>
      <c r="J187">
        <v>35</v>
      </c>
      <c r="K187">
        <v>66</v>
      </c>
      <c r="L187">
        <v>-228833</v>
      </c>
      <c r="M187" s="1" t="s">
        <v>411</v>
      </c>
      <c r="N187">
        <v>1.7219772569041499E-2</v>
      </c>
      <c r="O187" s="1" t="s">
        <v>412</v>
      </c>
      <c r="P187">
        <v>0</v>
      </c>
      <c r="Q187">
        <v>0</v>
      </c>
      <c r="R187">
        <v>0</v>
      </c>
      <c r="S187">
        <v>0</v>
      </c>
      <c r="T187">
        <v>171.3383935</v>
      </c>
      <c r="U187">
        <f t="shared" si="4"/>
        <v>0</v>
      </c>
      <c r="V187">
        <f t="shared" si="5"/>
        <v>0</v>
      </c>
    </row>
    <row r="188" spans="1:22" x14ac:dyDescent="0.2">
      <c r="A188" t="s">
        <v>257</v>
      </c>
      <c r="B188" t="s">
        <v>9</v>
      </c>
      <c r="C188" t="s">
        <v>76</v>
      </c>
      <c r="D188" t="s">
        <v>77</v>
      </c>
      <c r="E188" s="1" t="s">
        <v>82</v>
      </c>
      <c r="F188" t="s">
        <v>83</v>
      </c>
      <c r="G188" s="1" t="s">
        <v>89</v>
      </c>
      <c r="H188">
        <v>1299901</v>
      </c>
      <c r="I188">
        <v>33822886</v>
      </c>
      <c r="J188">
        <v>4</v>
      </c>
      <c r="K188">
        <v>12</v>
      </c>
      <c r="L188">
        <v>32522985</v>
      </c>
      <c r="M188">
        <v>3.7010189424888103E-2</v>
      </c>
      <c r="N188" s="1" t="s">
        <v>413</v>
      </c>
      <c r="O188">
        <v>3.7640813035813799E-3</v>
      </c>
      <c r="P188">
        <v>1</v>
      </c>
      <c r="Q188">
        <v>0</v>
      </c>
      <c r="R188">
        <v>1</v>
      </c>
      <c r="S188">
        <v>0</v>
      </c>
      <c r="T188">
        <v>171.3383935</v>
      </c>
      <c r="U188">
        <f t="shared" si="4"/>
        <v>1</v>
      </c>
      <c r="V188">
        <f t="shared" si="5"/>
        <v>1</v>
      </c>
    </row>
    <row r="189" spans="1:22" x14ac:dyDescent="0.2">
      <c r="A189" t="s">
        <v>257</v>
      </c>
      <c r="B189" t="s">
        <v>9</v>
      </c>
      <c r="C189" t="s">
        <v>76</v>
      </c>
      <c r="D189" t="s">
        <v>77</v>
      </c>
      <c r="E189">
        <v>12</v>
      </c>
      <c r="F189" t="s">
        <v>194</v>
      </c>
      <c r="G189">
        <v>66</v>
      </c>
      <c r="H189">
        <v>68729</v>
      </c>
      <c r="I189">
        <v>1422059</v>
      </c>
      <c r="J189">
        <v>3</v>
      </c>
      <c r="K189">
        <v>10</v>
      </c>
      <c r="L189">
        <v>1353330</v>
      </c>
      <c r="M189">
        <v>4.6102463931826598E-2</v>
      </c>
      <c r="N189" s="1" t="s">
        <v>414</v>
      </c>
      <c r="O189" s="1" t="s">
        <v>415</v>
      </c>
      <c r="P189">
        <v>1</v>
      </c>
      <c r="Q189">
        <v>0</v>
      </c>
      <c r="R189">
        <v>1</v>
      </c>
      <c r="S189">
        <v>1</v>
      </c>
      <c r="T189">
        <v>171.3383935</v>
      </c>
      <c r="U189">
        <f t="shared" si="4"/>
        <v>1</v>
      </c>
      <c r="V189">
        <f t="shared" si="5"/>
        <v>1</v>
      </c>
    </row>
    <row r="190" spans="1:22" x14ac:dyDescent="0.2">
      <c r="A190" t="s">
        <v>257</v>
      </c>
      <c r="B190" t="s">
        <v>9</v>
      </c>
      <c r="C190" t="s">
        <v>76</v>
      </c>
      <c r="D190" t="s">
        <v>77</v>
      </c>
      <c r="E190" s="1" t="s">
        <v>82</v>
      </c>
      <c r="F190" t="s">
        <v>83</v>
      </c>
      <c r="G190">
        <v>13</v>
      </c>
      <c r="H190">
        <v>154498</v>
      </c>
      <c r="I190">
        <v>127196</v>
      </c>
      <c r="J190">
        <v>17</v>
      </c>
      <c r="K190">
        <v>44</v>
      </c>
      <c r="L190">
        <v>-27302</v>
      </c>
      <c r="M190" s="1" t="s">
        <v>416</v>
      </c>
      <c r="N190" s="1" t="s">
        <v>417</v>
      </c>
      <c r="O190" s="1" t="s">
        <v>418</v>
      </c>
      <c r="P190">
        <v>0</v>
      </c>
      <c r="Q190">
        <v>0</v>
      </c>
      <c r="R190">
        <v>0</v>
      </c>
      <c r="S190">
        <v>0</v>
      </c>
      <c r="T190">
        <v>171.3383935</v>
      </c>
      <c r="U190">
        <f t="shared" si="4"/>
        <v>0</v>
      </c>
      <c r="V190">
        <f t="shared" si="5"/>
        <v>0</v>
      </c>
    </row>
    <row r="191" spans="1:22" x14ac:dyDescent="0.2">
      <c r="A191" t="s">
        <v>257</v>
      </c>
      <c r="B191" t="s">
        <v>9</v>
      </c>
      <c r="C191" t="s">
        <v>76</v>
      </c>
      <c r="D191" t="s">
        <v>77</v>
      </c>
      <c r="E191">
        <v>10</v>
      </c>
      <c r="F191" t="s">
        <v>119</v>
      </c>
      <c r="G191">
        <v>47</v>
      </c>
      <c r="H191">
        <v>23910</v>
      </c>
      <c r="I191">
        <v>73</v>
      </c>
      <c r="J191">
        <v>71</v>
      </c>
      <c r="K191">
        <v>35</v>
      </c>
      <c r="L191">
        <v>-23837</v>
      </c>
      <c r="M191" s="1" t="s">
        <v>419</v>
      </c>
      <c r="N191">
        <v>3.0438227077513201E-3</v>
      </c>
      <c r="O191" s="1" t="s">
        <v>420</v>
      </c>
      <c r="P191">
        <v>0</v>
      </c>
      <c r="Q191">
        <v>0</v>
      </c>
      <c r="R191">
        <v>0</v>
      </c>
      <c r="S191">
        <v>0</v>
      </c>
      <c r="T191">
        <v>171.3383935</v>
      </c>
      <c r="U191">
        <f t="shared" si="4"/>
        <v>0</v>
      </c>
      <c r="V191">
        <f t="shared" si="5"/>
        <v>0</v>
      </c>
    </row>
    <row r="192" spans="1:22" x14ac:dyDescent="0.2">
      <c r="A192" t="s">
        <v>257</v>
      </c>
      <c r="B192" t="s">
        <v>9</v>
      </c>
      <c r="C192" t="s">
        <v>76</v>
      </c>
      <c r="D192" t="s">
        <v>77</v>
      </c>
      <c r="E192">
        <v>15</v>
      </c>
      <c r="F192" t="s">
        <v>88</v>
      </c>
      <c r="G192">
        <v>75</v>
      </c>
      <c r="H192">
        <v>98735</v>
      </c>
      <c r="I192">
        <v>145</v>
      </c>
      <c r="J192">
        <v>58</v>
      </c>
      <c r="K192">
        <v>47</v>
      </c>
      <c r="L192">
        <v>-98590</v>
      </c>
      <c r="M192">
        <v>0.99853357605177995</v>
      </c>
      <c r="N192">
        <v>1.4664239482200601E-3</v>
      </c>
      <c r="O192" s="1" t="s">
        <v>421</v>
      </c>
      <c r="P192">
        <v>0</v>
      </c>
      <c r="Q192">
        <v>0</v>
      </c>
      <c r="R192">
        <v>0</v>
      </c>
      <c r="S192">
        <v>0</v>
      </c>
      <c r="T192">
        <v>171.3383935</v>
      </c>
      <c r="U192">
        <f t="shared" si="4"/>
        <v>0</v>
      </c>
      <c r="V192">
        <f t="shared" si="5"/>
        <v>0</v>
      </c>
    </row>
    <row r="193" spans="1:22" x14ac:dyDescent="0.2">
      <c r="A193" t="s">
        <v>257</v>
      </c>
      <c r="B193" t="s">
        <v>9</v>
      </c>
      <c r="C193" t="s">
        <v>76</v>
      </c>
      <c r="D193" t="s">
        <v>77</v>
      </c>
      <c r="E193" s="1" t="s">
        <v>155</v>
      </c>
      <c r="F193" t="s">
        <v>156</v>
      </c>
      <c r="G193" s="1" t="s">
        <v>85</v>
      </c>
      <c r="H193">
        <v>532397</v>
      </c>
      <c r="I193">
        <v>52161</v>
      </c>
      <c r="J193">
        <v>34</v>
      </c>
      <c r="K193">
        <v>46</v>
      </c>
      <c r="L193">
        <v>-480236</v>
      </c>
      <c r="M193" s="1" t="s">
        <v>422</v>
      </c>
      <c r="N193">
        <v>8.92315219362321E-2</v>
      </c>
      <c r="O193" s="1" t="s">
        <v>423</v>
      </c>
      <c r="P193">
        <v>0</v>
      </c>
      <c r="Q193">
        <v>0</v>
      </c>
      <c r="R193">
        <v>0</v>
      </c>
      <c r="S193">
        <v>0</v>
      </c>
      <c r="T193">
        <v>171.3383935</v>
      </c>
      <c r="U193">
        <f t="shared" si="4"/>
        <v>0</v>
      </c>
      <c r="V193">
        <f t="shared" si="5"/>
        <v>0</v>
      </c>
    </row>
    <row r="194" spans="1:22" x14ac:dyDescent="0.2">
      <c r="A194" t="s">
        <v>257</v>
      </c>
      <c r="B194" t="s">
        <v>9</v>
      </c>
      <c r="C194" t="s">
        <v>76</v>
      </c>
      <c r="D194" t="s">
        <v>77</v>
      </c>
      <c r="E194">
        <v>12</v>
      </c>
      <c r="F194" t="s">
        <v>194</v>
      </c>
      <c r="G194">
        <v>65</v>
      </c>
      <c r="H194">
        <v>415204</v>
      </c>
      <c r="I194">
        <v>2929808</v>
      </c>
      <c r="J194">
        <v>9</v>
      </c>
      <c r="K194">
        <v>21</v>
      </c>
      <c r="L194">
        <v>2514604</v>
      </c>
      <c r="M194" s="1" t="s">
        <v>424</v>
      </c>
      <c r="N194" s="1" t="s">
        <v>425</v>
      </c>
      <c r="O194" s="1" t="s">
        <v>426</v>
      </c>
      <c r="P194">
        <v>0</v>
      </c>
      <c r="Q194">
        <v>0</v>
      </c>
      <c r="R194">
        <v>1</v>
      </c>
      <c r="S194">
        <v>0</v>
      </c>
      <c r="T194">
        <v>171.3383935</v>
      </c>
      <c r="U194">
        <f t="shared" si="4"/>
        <v>0</v>
      </c>
      <c r="V194">
        <f t="shared" si="5"/>
        <v>1</v>
      </c>
    </row>
    <row r="195" spans="1:22" x14ac:dyDescent="0.2">
      <c r="A195" t="s">
        <v>257</v>
      </c>
      <c r="B195" t="s">
        <v>9</v>
      </c>
      <c r="C195" t="s">
        <v>76</v>
      </c>
      <c r="D195" t="s">
        <v>77</v>
      </c>
      <c r="E195">
        <v>99</v>
      </c>
      <c r="F195" t="s">
        <v>78</v>
      </c>
      <c r="G195">
        <v>99</v>
      </c>
      <c r="H195">
        <v>24069448</v>
      </c>
      <c r="I195">
        <v>4244782</v>
      </c>
      <c r="J195">
        <v>31</v>
      </c>
      <c r="K195">
        <v>39</v>
      </c>
      <c r="L195">
        <v>-19824666</v>
      </c>
      <c r="M195" s="1" t="s">
        <v>427</v>
      </c>
      <c r="N195" s="1" t="s">
        <v>428</v>
      </c>
      <c r="O195">
        <v>3.0344136348947198E-3</v>
      </c>
      <c r="P195">
        <v>0</v>
      </c>
      <c r="Q195">
        <v>0</v>
      </c>
      <c r="R195">
        <v>0</v>
      </c>
      <c r="S195">
        <v>0</v>
      </c>
      <c r="T195">
        <v>171.3383935</v>
      </c>
      <c r="U195">
        <f t="shared" ref="U195:U258" si="6">IF(OR(P195=1,Q195=1),1,0)</f>
        <v>0</v>
      </c>
      <c r="V195">
        <f t="shared" ref="V195:V258" si="7">IF(OR(R195=1,S195=1),1,0)</f>
        <v>0</v>
      </c>
    </row>
    <row r="196" spans="1:22" x14ac:dyDescent="0.2">
      <c r="A196" t="s">
        <v>257</v>
      </c>
      <c r="B196" t="s">
        <v>9</v>
      </c>
      <c r="C196" t="s">
        <v>76</v>
      </c>
      <c r="D196" t="s">
        <v>77</v>
      </c>
      <c r="E196">
        <v>11</v>
      </c>
      <c r="F196" t="s">
        <v>127</v>
      </c>
      <c r="G196">
        <v>50</v>
      </c>
      <c r="H196">
        <v>37380</v>
      </c>
      <c r="I196">
        <v>22150</v>
      </c>
      <c r="J196">
        <v>5</v>
      </c>
      <c r="K196">
        <v>27</v>
      </c>
      <c r="L196">
        <v>-15230</v>
      </c>
      <c r="M196" s="1" t="s">
        <v>429</v>
      </c>
      <c r="N196" s="1" t="s">
        <v>430</v>
      </c>
      <c r="O196" s="1" t="s">
        <v>431</v>
      </c>
      <c r="P196">
        <v>1</v>
      </c>
      <c r="Q196">
        <v>0</v>
      </c>
      <c r="R196">
        <v>1</v>
      </c>
      <c r="S196">
        <v>0</v>
      </c>
      <c r="T196">
        <v>171.3383935</v>
      </c>
      <c r="U196">
        <f t="shared" si="6"/>
        <v>1</v>
      </c>
      <c r="V196">
        <f t="shared" si="7"/>
        <v>1</v>
      </c>
    </row>
    <row r="197" spans="1:22" x14ac:dyDescent="0.2">
      <c r="A197" t="s">
        <v>257</v>
      </c>
      <c r="B197" t="s">
        <v>9</v>
      </c>
      <c r="C197" t="s">
        <v>76</v>
      </c>
      <c r="D197" t="s">
        <v>77</v>
      </c>
      <c r="E197">
        <v>11</v>
      </c>
      <c r="F197" t="s">
        <v>127</v>
      </c>
      <c r="G197">
        <v>53</v>
      </c>
      <c r="H197">
        <v>96205</v>
      </c>
      <c r="I197">
        <v>10914</v>
      </c>
      <c r="J197">
        <v>35</v>
      </c>
      <c r="K197">
        <v>40</v>
      </c>
      <c r="L197">
        <v>-85291</v>
      </c>
      <c r="M197" s="1" t="s">
        <v>432</v>
      </c>
      <c r="N197" s="1" t="s">
        <v>433</v>
      </c>
      <c r="O197" s="1" t="s">
        <v>434</v>
      </c>
      <c r="P197">
        <v>0</v>
      </c>
      <c r="Q197">
        <v>0</v>
      </c>
      <c r="R197">
        <v>0</v>
      </c>
      <c r="S197">
        <v>0</v>
      </c>
      <c r="T197">
        <v>171.3383935</v>
      </c>
      <c r="U197">
        <f t="shared" si="6"/>
        <v>0</v>
      </c>
      <c r="V197">
        <f t="shared" si="7"/>
        <v>0</v>
      </c>
    </row>
    <row r="198" spans="1:22" x14ac:dyDescent="0.2">
      <c r="A198" t="s">
        <v>257</v>
      </c>
      <c r="B198" t="s">
        <v>9</v>
      </c>
      <c r="C198" t="s">
        <v>76</v>
      </c>
      <c r="D198" t="s">
        <v>77</v>
      </c>
      <c r="E198" s="1" t="s">
        <v>163</v>
      </c>
      <c r="F198" t="s">
        <v>224</v>
      </c>
      <c r="G198">
        <v>42</v>
      </c>
      <c r="H198">
        <v>2167754</v>
      </c>
      <c r="I198">
        <v>33022407</v>
      </c>
      <c r="J198">
        <v>6</v>
      </c>
      <c r="K198">
        <v>15</v>
      </c>
      <c r="L198">
        <v>30854653</v>
      </c>
      <c r="M198" s="1" t="s">
        <v>435</v>
      </c>
      <c r="N198" s="1" t="s">
        <v>436</v>
      </c>
      <c r="O198">
        <v>3.7713017218741398E-3</v>
      </c>
      <c r="P198">
        <v>0</v>
      </c>
      <c r="Q198">
        <v>0</v>
      </c>
      <c r="R198">
        <v>1</v>
      </c>
      <c r="S198">
        <v>0</v>
      </c>
      <c r="T198">
        <v>171.3383935</v>
      </c>
      <c r="U198">
        <f t="shared" si="6"/>
        <v>0</v>
      </c>
      <c r="V198">
        <f t="shared" si="7"/>
        <v>1</v>
      </c>
    </row>
    <row r="199" spans="1:22" x14ac:dyDescent="0.2">
      <c r="A199" t="s">
        <v>257</v>
      </c>
      <c r="B199" t="s">
        <v>9</v>
      </c>
      <c r="C199" t="s">
        <v>76</v>
      </c>
      <c r="D199" t="s">
        <v>77</v>
      </c>
      <c r="E199">
        <v>18</v>
      </c>
      <c r="F199" t="s">
        <v>147</v>
      </c>
      <c r="G199">
        <v>92</v>
      </c>
      <c r="H199">
        <v>142193</v>
      </c>
      <c r="I199">
        <v>17310</v>
      </c>
      <c r="J199">
        <v>22</v>
      </c>
      <c r="K199">
        <v>45</v>
      </c>
      <c r="L199">
        <v>-124883</v>
      </c>
      <c r="M199" s="1" t="s">
        <v>437</v>
      </c>
      <c r="N199" s="1" t="s">
        <v>438</v>
      </c>
      <c r="O199" s="1" t="s">
        <v>439</v>
      </c>
      <c r="P199">
        <v>0</v>
      </c>
      <c r="Q199">
        <v>0</v>
      </c>
      <c r="R199">
        <v>0</v>
      </c>
      <c r="S199">
        <v>0</v>
      </c>
      <c r="T199">
        <v>171.3383935</v>
      </c>
      <c r="U199">
        <f t="shared" si="6"/>
        <v>0</v>
      </c>
      <c r="V199">
        <f t="shared" si="7"/>
        <v>0</v>
      </c>
    </row>
    <row r="200" spans="1:22" x14ac:dyDescent="0.2">
      <c r="A200" t="s">
        <v>257</v>
      </c>
      <c r="B200" t="s">
        <v>9</v>
      </c>
      <c r="C200" t="s">
        <v>76</v>
      </c>
      <c r="D200" t="s">
        <v>77</v>
      </c>
      <c r="E200" s="1" t="s">
        <v>163</v>
      </c>
      <c r="F200" t="s">
        <v>224</v>
      </c>
      <c r="G200">
        <v>43</v>
      </c>
      <c r="H200">
        <v>292114</v>
      </c>
      <c r="I200">
        <v>495817</v>
      </c>
      <c r="J200">
        <v>23</v>
      </c>
      <c r="K200">
        <v>24</v>
      </c>
      <c r="L200">
        <v>203703</v>
      </c>
      <c r="M200" s="1" t="s">
        <v>440</v>
      </c>
      <c r="N200" s="1" t="s">
        <v>441</v>
      </c>
      <c r="O200" s="1" t="s">
        <v>442</v>
      </c>
      <c r="P200">
        <v>0</v>
      </c>
      <c r="Q200">
        <v>0</v>
      </c>
      <c r="R200">
        <v>0</v>
      </c>
      <c r="S200">
        <v>0</v>
      </c>
      <c r="T200">
        <v>171.3383935</v>
      </c>
      <c r="U200">
        <f t="shared" si="6"/>
        <v>0</v>
      </c>
      <c r="V200">
        <f t="shared" si="7"/>
        <v>0</v>
      </c>
    </row>
    <row r="201" spans="1:22" x14ac:dyDescent="0.2">
      <c r="A201" t="s">
        <v>257</v>
      </c>
      <c r="B201" t="s">
        <v>9</v>
      </c>
      <c r="C201" t="s">
        <v>76</v>
      </c>
      <c r="D201" t="s">
        <v>77</v>
      </c>
      <c r="E201" s="1" t="s">
        <v>93</v>
      </c>
      <c r="F201" t="s">
        <v>94</v>
      </c>
      <c r="G201">
        <v>46</v>
      </c>
      <c r="H201">
        <v>50618</v>
      </c>
      <c r="I201">
        <v>61139</v>
      </c>
      <c r="J201">
        <v>5</v>
      </c>
      <c r="K201">
        <v>25</v>
      </c>
      <c r="L201">
        <v>10521</v>
      </c>
      <c r="M201" s="1" t="s">
        <v>443</v>
      </c>
      <c r="N201" s="1" t="s">
        <v>444</v>
      </c>
      <c r="O201" s="1" t="s">
        <v>445</v>
      </c>
      <c r="P201">
        <v>1</v>
      </c>
      <c r="Q201">
        <v>0</v>
      </c>
      <c r="R201">
        <v>1</v>
      </c>
      <c r="S201">
        <v>0</v>
      </c>
      <c r="T201">
        <v>171.3383935</v>
      </c>
      <c r="U201">
        <f t="shared" si="6"/>
        <v>1</v>
      </c>
      <c r="V201">
        <f t="shared" si="7"/>
        <v>1</v>
      </c>
    </row>
    <row r="202" spans="1:22" x14ac:dyDescent="0.2">
      <c r="A202" t="s">
        <v>257</v>
      </c>
      <c r="B202" t="s">
        <v>9</v>
      </c>
      <c r="C202" t="s">
        <v>76</v>
      </c>
      <c r="D202" t="s">
        <v>77</v>
      </c>
      <c r="E202">
        <v>12</v>
      </c>
      <c r="F202" t="s">
        <v>194</v>
      </c>
      <c r="G202">
        <v>67</v>
      </c>
      <c r="H202">
        <v>80920</v>
      </c>
      <c r="I202">
        <v>41534</v>
      </c>
      <c r="J202">
        <v>12</v>
      </c>
      <c r="K202">
        <v>31</v>
      </c>
      <c r="L202">
        <v>-39386</v>
      </c>
      <c r="M202">
        <v>0.66081957306417105</v>
      </c>
      <c r="N202" s="1" t="s">
        <v>446</v>
      </c>
      <c r="O202" s="1" t="s">
        <v>447</v>
      </c>
      <c r="P202">
        <v>0</v>
      </c>
      <c r="Q202">
        <v>0</v>
      </c>
      <c r="R202">
        <v>0</v>
      </c>
      <c r="S202">
        <v>0</v>
      </c>
      <c r="T202">
        <v>171.3383935</v>
      </c>
      <c r="U202">
        <f t="shared" si="6"/>
        <v>0</v>
      </c>
      <c r="V202">
        <f t="shared" si="7"/>
        <v>0</v>
      </c>
    </row>
    <row r="203" spans="1:22" x14ac:dyDescent="0.2">
      <c r="A203" t="s">
        <v>257</v>
      </c>
      <c r="B203" t="s">
        <v>9</v>
      </c>
      <c r="C203" t="s">
        <v>76</v>
      </c>
      <c r="D203" t="s">
        <v>77</v>
      </c>
      <c r="E203" s="1" t="s">
        <v>82</v>
      </c>
      <c r="F203" t="s">
        <v>83</v>
      </c>
      <c r="G203">
        <v>14</v>
      </c>
      <c r="H203">
        <v>27698</v>
      </c>
      <c r="I203">
        <v>857</v>
      </c>
      <c r="J203">
        <v>23</v>
      </c>
      <c r="K203">
        <v>43</v>
      </c>
      <c r="L203">
        <v>-26841</v>
      </c>
      <c r="M203" s="1" t="s">
        <v>448</v>
      </c>
      <c r="N203" s="1" t="s">
        <v>449</v>
      </c>
      <c r="O203" s="1" t="s">
        <v>450</v>
      </c>
      <c r="P203">
        <v>0</v>
      </c>
      <c r="Q203">
        <v>0</v>
      </c>
      <c r="R203">
        <v>0</v>
      </c>
      <c r="S203">
        <v>0</v>
      </c>
      <c r="T203">
        <v>171.3383935</v>
      </c>
      <c r="U203">
        <f t="shared" si="6"/>
        <v>0</v>
      </c>
      <c r="V203">
        <f t="shared" si="7"/>
        <v>0</v>
      </c>
    </row>
    <row r="204" spans="1:22" x14ac:dyDescent="0.2">
      <c r="A204" t="s">
        <v>451</v>
      </c>
      <c r="B204" t="s">
        <v>10</v>
      </c>
      <c r="C204" t="s">
        <v>76</v>
      </c>
      <c r="D204" t="s">
        <v>77</v>
      </c>
      <c r="E204" s="1" t="s">
        <v>82</v>
      </c>
      <c r="F204" t="s">
        <v>83</v>
      </c>
      <c r="G204">
        <v>10</v>
      </c>
      <c r="H204">
        <v>1319968272</v>
      </c>
      <c r="I204">
        <v>64258</v>
      </c>
      <c r="J204">
        <v>6</v>
      </c>
      <c r="K204">
        <v>48</v>
      </c>
      <c r="L204">
        <v>-1319904014</v>
      </c>
      <c r="M204" s="1" t="s">
        <v>452</v>
      </c>
      <c r="N204" s="1" t="s">
        <v>453</v>
      </c>
      <c r="O204" s="1" t="s">
        <v>454</v>
      </c>
      <c r="P204">
        <v>0</v>
      </c>
      <c r="Q204">
        <v>0</v>
      </c>
      <c r="R204">
        <v>1</v>
      </c>
      <c r="S204">
        <v>0</v>
      </c>
      <c r="T204">
        <v>483.10993400000001</v>
      </c>
      <c r="U204">
        <f t="shared" si="6"/>
        <v>0</v>
      </c>
      <c r="V204">
        <f t="shared" si="7"/>
        <v>1</v>
      </c>
    </row>
    <row r="205" spans="1:22" x14ac:dyDescent="0.2">
      <c r="A205" t="s">
        <v>451</v>
      </c>
      <c r="B205" t="s">
        <v>10</v>
      </c>
      <c r="C205" t="s">
        <v>76</v>
      </c>
      <c r="D205" t="s">
        <v>77</v>
      </c>
      <c r="E205" s="1" t="s">
        <v>138</v>
      </c>
      <c r="F205" t="s">
        <v>139</v>
      </c>
      <c r="G205">
        <v>24</v>
      </c>
      <c r="H205">
        <v>172171732</v>
      </c>
      <c r="I205">
        <v>17655332</v>
      </c>
      <c r="J205">
        <v>3</v>
      </c>
      <c r="K205">
        <v>24</v>
      </c>
      <c r="L205">
        <v>-154516400</v>
      </c>
      <c r="M205" s="1" t="s">
        <v>455</v>
      </c>
      <c r="N205">
        <v>9.3007454405974396E-2</v>
      </c>
      <c r="O205">
        <v>1.52831505555869E-2</v>
      </c>
      <c r="P205">
        <v>1</v>
      </c>
      <c r="Q205">
        <v>0</v>
      </c>
      <c r="R205">
        <v>1</v>
      </c>
      <c r="S205">
        <v>0</v>
      </c>
      <c r="T205">
        <v>483.10993400000001</v>
      </c>
      <c r="U205">
        <f t="shared" si="6"/>
        <v>1</v>
      </c>
      <c r="V205">
        <f t="shared" si="7"/>
        <v>1</v>
      </c>
    </row>
    <row r="206" spans="1:22" x14ac:dyDescent="0.2">
      <c r="A206" t="s">
        <v>451</v>
      </c>
      <c r="B206" t="s">
        <v>10</v>
      </c>
      <c r="C206" t="s">
        <v>76</v>
      </c>
      <c r="D206" t="s">
        <v>77</v>
      </c>
      <c r="E206">
        <v>17</v>
      </c>
      <c r="F206" t="s">
        <v>97</v>
      </c>
      <c r="G206">
        <v>89</v>
      </c>
      <c r="H206">
        <v>163337639</v>
      </c>
      <c r="I206">
        <v>120</v>
      </c>
      <c r="J206">
        <v>4</v>
      </c>
      <c r="K206">
        <v>66</v>
      </c>
      <c r="L206">
        <v>-163337519</v>
      </c>
      <c r="M206" s="1" t="s">
        <v>456</v>
      </c>
      <c r="N206" s="1" t="s">
        <v>457</v>
      </c>
      <c r="O206" s="1" t="s">
        <v>458</v>
      </c>
      <c r="P206">
        <v>1</v>
      </c>
      <c r="Q206">
        <v>0</v>
      </c>
      <c r="R206">
        <v>1</v>
      </c>
      <c r="S206">
        <v>0</v>
      </c>
      <c r="T206">
        <v>483.10993400000001</v>
      </c>
      <c r="U206">
        <f t="shared" si="6"/>
        <v>1</v>
      </c>
      <c r="V206">
        <f t="shared" si="7"/>
        <v>1</v>
      </c>
    </row>
    <row r="207" spans="1:22" x14ac:dyDescent="0.2">
      <c r="A207" t="s">
        <v>451</v>
      </c>
      <c r="B207" t="s">
        <v>10</v>
      </c>
      <c r="C207" t="s">
        <v>76</v>
      </c>
      <c r="D207" t="s">
        <v>77</v>
      </c>
      <c r="E207" s="1" t="s">
        <v>93</v>
      </c>
      <c r="F207" t="s">
        <v>94</v>
      </c>
      <c r="G207">
        <v>44</v>
      </c>
      <c r="H207">
        <v>864484908</v>
      </c>
      <c r="I207">
        <v>468825</v>
      </c>
      <c r="J207">
        <v>10</v>
      </c>
      <c r="K207">
        <v>50</v>
      </c>
      <c r="L207">
        <v>-864016083</v>
      </c>
      <c r="M207" s="1" t="s">
        <v>459</v>
      </c>
      <c r="N207" s="1" t="s">
        <v>460</v>
      </c>
      <c r="O207">
        <v>6.9638216208495696E-2</v>
      </c>
      <c r="P207">
        <v>0</v>
      </c>
      <c r="Q207">
        <v>0</v>
      </c>
      <c r="R207">
        <v>1</v>
      </c>
      <c r="S207">
        <v>0</v>
      </c>
      <c r="T207">
        <v>483.10993400000001</v>
      </c>
      <c r="U207">
        <f t="shared" si="6"/>
        <v>0</v>
      </c>
      <c r="V207">
        <f t="shared" si="7"/>
        <v>1</v>
      </c>
    </row>
    <row r="208" spans="1:22" x14ac:dyDescent="0.2">
      <c r="A208" t="s">
        <v>451</v>
      </c>
      <c r="B208" t="s">
        <v>10</v>
      </c>
      <c r="C208" t="s">
        <v>76</v>
      </c>
      <c r="D208" t="s">
        <v>77</v>
      </c>
      <c r="E208" s="1" t="s">
        <v>110</v>
      </c>
      <c r="F208" t="s">
        <v>111</v>
      </c>
      <c r="G208">
        <v>15</v>
      </c>
      <c r="H208">
        <v>325399015</v>
      </c>
      <c r="I208">
        <v>51367</v>
      </c>
      <c r="J208">
        <v>11</v>
      </c>
      <c r="K208">
        <v>61</v>
      </c>
      <c r="L208">
        <v>-325347648</v>
      </c>
      <c r="M208" s="1" t="s">
        <v>461</v>
      </c>
      <c r="N208" s="1" t="s">
        <v>462</v>
      </c>
      <c r="O208" s="1" t="s">
        <v>463</v>
      </c>
      <c r="P208">
        <v>0</v>
      </c>
      <c r="Q208">
        <v>0</v>
      </c>
      <c r="R208">
        <v>0</v>
      </c>
      <c r="S208">
        <v>0</v>
      </c>
      <c r="T208">
        <v>483.10993400000001</v>
      </c>
      <c r="U208">
        <f t="shared" si="6"/>
        <v>0</v>
      </c>
      <c r="V208">
        <f t="shared" si="7"/>
        <v>0</v>
      </c>
    </row>
    <row r="209" spans="1:22" x14ac:dyDescent="0.2">
      <c r="A209" t="s">
        <v>451</v>
      </c>
      <c r="B209" t="s">
        <v>10</v>
      </c>
      <c r="C209" t="s">
        <v>76</v>
      </c>
      <c r="D209" t="s">
        <v>77</v>
      </c>
      <c r="E209">
        <v>17</v>
      </c>
      <c r="F209" t="s">
        <v>97</v>
      </c>
      <c r="G209">
        <v>86</v>
      </c>
      <c r="H209">
        <v>274693032</v>
      </c>
      <c r="I209">
        <v>2614052</v>
      </c>
      <c r="J209">
        <v>4</v>
      </c>
      <c r="K209">
        <v>28</v>
      </c>
      <c r="L209">
        <v>-272078980</v>
      </c>
      <c r="M209" s="1" t="s">
        <v>464</v>
      </c>
      <c r="N209">
        <v>9.4265604841165893E-3</v>
      </c>
      <c r="O209">
        <v>2.2326246982900099E-2</v>
      </c>
      <c r="P209">
        <v>1</v>
      </c>
      <c r="Q209">
        <v>0</v>
      </c>
      <c r="R209">
        <v>1</v>
      </c>
      <c r="S209">
        <v>0</v>
      </c>
      <c r="T209">
        <v>483.10993400000001</v>
      </c>
      <c r="U209">
        <f t="shared" si="6"/>
        <v>1</v>
      </c>
      <c r="V209">
        <f t="shared" si="7"/>
        <v>1</v>
      </c>
    </row>
    <row r="210" spans="1:22" x14ac:dyDescent="0.2">
      <c r="A210" t="s">
        <v>451</v>
      </c>
      <c r="B210" t="s">
        <v>10</v>
      </c>
      <c r="C210" t="s">
        <v>76</v>
      </c>
      <c r="D210" t="s">
        <v>77</v>
      </c>
      <c r="E210" s="1" t="s">
        <v>85</v>
      </c>
      <c r="F210" t="s">
        <v>86</v>
      </c>
      <c r="G210">
        <v>27</v>
      </c>
      <c r="H210">
        <v>819543049</v>
      </c>
      <c r="I210">
        <v>191533015</v>
      </c>
      <c r="J210">
        <v>59</v>
      </c>
      <c r="K210">
        <v>14</v>
      </c>
      <c r="L210">
        <v>-628010034</v>
      </c>
      <c r="M210" s="1" t="s">
        <v>465</v>
      </c>
      <c r="N210" s="1" t="s">
        <v>466</v>
      </c>
      <c r="O210">
        <v>8.1402658733963601E-2</v>
      </c>
      <c r="P210">
        <v>0</v>
      </c>
      <c r="Q210">
        <v>0</v>
      </c>
      <c r="R210">
        <v>0</v>
      </c>
      <c r="S210">
        <v>0</v>
      </c>
      <c r="T210">
        <v>483.10993400000001</v>
      </c>
      <c r="U210">
        <f t="shared" si="6"/>
        <v>0</v>
      </c>
      <c r="V210">
        <f t="shared" si="7"/>
        <v>0</v>
      </c>
    </row>
    <row r="211" spans="1:22" x14ac:dyDescent="0.2">
      <c r="A211" t="s">
        <v>451</v>
      </c>
      <c r="B211" t="s">
        <v>10</v>
      </c>
      <c r="C211" t="s">
        <v>76</v>
      </c>
      <c r="D211" t="s">
        <v>77</v>
      </c>
      <c r="E211">
        <v>15</v>
      </c>
      <c r="F211" t="s">
        <v>88</v>
      </c>
      <c r="G211">
        <v>72</v>
      </c>
      <c r="H211">
        <v>886480076</v>
      </c>
      <c r="I211">
        <v>2618767</v>
      </c>
      <c r="J211">
        <v>25</v>
      </c>
      <c r="K211">
        <v>45</v>
      </c>
      <c r="L211">
        <v>-883861309</v>
      </c>
      <c r="M211" s="1" t="s">
        <v>467</v>
      </c>
      <c r="N211">
        <v>2.9454171722502098E-3</v>
      </c>
      <c r="O211">
        <v>7.1582161099890101E-2</v>
      </c>
      <c r="P211">
        <v>0</v>
      </c>
      <c r="Q211">
        <v>0</v>
      </c>
      <c r="R211">
        <v>0</v>
      </c>
      <c r="S211">
        <v>0</v>
      </c>
      <c r="T211">
        <v>483.10993400000001</v>
      </c>
      <c r="U211">
        <f t="shared" si="6"/>
        <v>0</v>
      </c>
      <c r="V211">
        <f t="shared" si="7"/>
        <v>0</v>
      </c>
    </row>
    <row r="212" spans="1:22" x14ac:dyDescent="0.2">
      <c r="A212" t="s">
        <v>451</v>
      </c>
      <c r="B212" t="s">
        <v>10</v>
      </c>
      <c r="C212" t="s">
        <v>76</v>
      </c>
      <c r="D212" t="s">
        <v>77</v>
      </c>
      <c r="E212">
        <v>13</v>
      </c>
      <c r="F212" t="s">
        <v>91</v>
      </c>
      <c r="G212">
        <v>70</v>
      </c>
      <c r="H212">
        <v>137686654</v>
      </c>
      <c r="I212">
        <v>433120</v>
      </c>
      <c r="J212">
        <v>7</v>
      </c>
      <c r="K212">
        <v>51</v>
      </c>
      <c r="L212">
        <v>-137253534</v>
      </c>
      <c r="M212" s="1" t="s">
        <v>468</v>
      </c>
      <c r="N212">
        <v>3.13582905225431E-3</v>
      </c>
      <c r="O212" s="1" t="s">
        <v>469</v>
      </c>
      <c r="P212">
        <v>0</v>
      </c>
      <c r="Q212">
        <v>0</v>
      </c>
      <c r="R212">
        <v>1</v>
      </c>
      <c r="S212">
        <v>0</v>
      </c>
      <c r="T212">
        <v>483.10993400000001</v>
      </c>
      <c r="U212">
        <f t="shared" si="6"/>
        <v>0</v>
      </c>
      <c r="V212">
        <f t="shared" si="7"/>
        <v>1</v>
      </c>
    </row>
    <row r="213" spans="1:22" x14ac:dyDescent="0.2">
      <c r="A213" t="s">
        <v>451</v>
      </c>
      <c r="B213" t="s">
        <v>10</v>
      </c>
      <c r="C213" t="s">
        <v>76</v>
      </c>
      <c r="D213" t="s">
        <v>77</v>
      </c>
      <c r="E213">
        <v>16</v>
      </c>
      <c r="F213" t="s">
        <v>95</v>
      </c>
      <c r="G213">
        <v>85</v>
      </c>
      <c r="H213">
        <v>300952237</v>
      </c>
      <c r="I213">
        <v>6628882</v>
      </c>
      <c r="J213">
        <v>10</v>
      </c>
      <c r="K213">
        <v>59</v>
      </c>
      <c r="L213">
        <v>-294323355</v>
      </c>
      <c r="M213" s="1" t="s">
        <v>470</v>
      </c>
      <c r="N213" s="1" t="s">
        <v>471</v>
      </c>
      <c r="O213">
        <v>2.4763637232111901E-2</v>
      </c>
      <c r="P213">
        <v>0</v>
      </c>
      <c r="Q213">
        <v>0</v>
      </c>
      <c r="R213">
        <v>1</v>
      </c>
      <c r="S213">
        <v>0</v>
      </c>
      <c r="T213">
        <v>483.10993400000001</v>
      </c>
      <c r="U213">
        <f t="shared" si="6"/>
        <v>0</v>
      </c>
      <c r="V213">
        <f t="shared" si="7"/>
        <v>1</v>
      </c>
    </row>
    <row r="214" spans="1:22" x14ac:dyDescent="0.2">
      <c r="A214" t="s">
        <v>451</v>
      </c>
      <c r="B214" t="s">
        <v>10</v>
      </c>
      <c r="C214" t="s">
        <v>76</v>
      </c>
      <c r="D214" t="s">
        <v>77</v>
      </c>
      <c r="E214" s="1" t="s">
        <v>89</v>
      </c>
      <c r="F214" t="s">
        <v>90</v>
      </c>
      <c r="G214">
        <v>31</v>
      </c>
      <c r="H214">
        <v>333870872</v>
      </c>
      <c r="I214">
        <v>1400400</v>
      </c>
      <c r="J214">
        <v>31</v>
      </c>
      <c r="K214">
        <v>23</v>
      </c>
      <c r="L214">
        <v>-332470472</v>
      </c>
      <c r="M214" s="1" t="s">
        <v>472</v>
      </c>
      <c r="N214">
        <v>4.1769161778942897E-3</v>
      </c>
      <c r="O214" s="1" t="s">
        <v>473</v>
      </c>
      <c r="P214">
        <v>0</v>
      </c>
      <c r="Q214">
        <v>0</v>
      </c>
      <c r="R214">
        <v>0</v>
      </c>
      <c r="S214">
        <v>0</v>
      </c>
      <c r="T214">
        <v>483.10993400000001</v>
      </c>
      <c r="U214">
        <f t="shared" si="6"/>
        <v>0</v>
      </c>
      <c r="V214">
        <f t="shared" si="7"/>
        <v>0</v>
      </c>
    </row>
    <row r="215" spans="1:22" x14ac:dyDescent="0.2">
      <c r="A215" t="s">
        <v>451</v>
      </c>
      <c r="B215" t="s">
        <v>10</v>
      </c>
      <c r="C215" t="s">
        <v>76</v>
      </c>
      <c r="D215" t="s">
        <v>77</v>
      </c>
      <c r="E215">
        <v>15</v>
      </c>
      <c r="F215" t="s">
        <v>88</v>
      </c>
      <c r="G215">
        <v>73</v>
      </c>
      <c r="H215">
        <v>391906683</v>
      </c>
      <c r="I215">
        <v>46598017</v>
      </c>
      <c r="J215">
        <v>7</v>
      </c>
      <c r="K215">
        <v>38</v>
      </c>
      <c r="L215">
        <v>-345308666</v>
      </c>
      <c r="M215" s="1" t="s">
        <v>474</v>
      </c>
      <c r="N215" s="1" t="s">
        <v>475</v>
      </c>
      <c r="O215">
        <v>3.5304414492932798E-2</v>
      </c>
      <c r="P215">
        <v>0</v>
      </c>
      <c r="Q215">
        <v>0</v>
      </c>
      <c r="R215">
        <v>1</v>
      </c>
      <c r="S215">
        <v>0</v>
      </c>
      <c r="T215">
        <v>483.10993400000001</v>
      </c>
      <c r="U215">
        <f t="shared" si="6"/>
        <v>0</v>
      </c>
      <c r="V215">
        <f t="shared" si="7"/>
        <v>1</v>
      </c>
    </row>
    <row r="216" spans="1:22" x14ac:dyDescent="0.2">
      <c r="A216" t="s">
        <v>451</v>
      </c>
      <c r="B216" t="s">
        <v>10</v>
      </c>
      <c r="C216" t="s">
        <v>76</v>
      </c>
      <c r="D216" t="s">
        <v>77</v>
      </c>
      <c r="E216" s="1" t="s">
        <v>138</v>
      </c>
      <c r="F216" t="s">
        <v>139</v>
      </c>
      <c r="G216">
        <v>17</v>
      </c>
      <c r="H216">
        <v>211474457</v>
      </c>
      <c r="I216">
        <v>3126327</v>
      </c>
      <c r="J216">
        <v>4</v>
      </c>
      <c r="K216">
        <v>35</v>
      </c>
      <c r="L216">
        <v>-208348130</v>
      </c>
      <c r="M216" s="1" t="s">
        <v>476</v>
      </c>
      <c r="N216" s="1" t="s">
        <v>477</v>
      </c>
      <c r="O216" s="1" t="s">
        <v>478</v>
      </c>
      <c r="P216">
        <v>1</v>
      </c>
      <c r="Q216">
        <v>0</v>
      </c>
      <c r="R216">
        <v>1</v>
      </c>
      <c r="S216">
        <v>0</v>
      </c>
      <c r="T216">
        <v>483.10993400000001</v>
      </c>
      <c r="U216">
        <f t="shared" si="6"/>
        <v>1</v>
      </c>
      <c r="V216">
        <f t="shared" si="7"/>
        <v>1</v>
      </c>
    </row>
    <row r="217" spans="1:22" x14ac:dyDescent="0.2">
      <c r="A217" t="s">
        <v>451</v>
      </c>
      <c r="B217" t="s">
        <v>10</v>
      </c>
      <c r="C217" t="s">
        <v>76</v>
      </c>
      <c r="D217" t="s">
        <v>77</v>
      </c>
      <c r="E217" s="1" t="s">
        <v>138</v>
      </c>
      <c r="F217" t="s">
        <v>139</v>
      </c>
      <c r="G217">
        <v>18</v>
      </c>
      <c r="H217">
        <v>187767280</v>
      </c>
      <c r="I217">
        <v>9798676</v>
      </c>
      <c r="J217">
        <v>5</v>
      </c>
      <c r="K217">
        <v>31</v>
      </c>
      <c r="L217">
        <v>-177968604</v>
      </c>
      <c r="M217" s="1" t="s">
        <v>479</v>
      </c>
      <c r="N217">
        <v>4.95969862338023E-2</v>
      </c>
      <c r="O217" s="1" t="s">
        <v>480</v>
      </c>
      <c r="P217">
        <v>1</v>
      </c>
      <c r="Q217">
        <v>0</v>
      </c>
      <c r="R217">
        <v>1</v>
      </c>
      <c r="S217">
        <v>0</v>
      </c>
      <c r="T217">
        <v>483.10993400000001</v>
      </c>
      <c r="U217">
        <f t="shared" si="6"/>
        <v>1</v>
      </c>
      <c r="V217">
        <f t="shared" si="7"/>
        <v>1</v>
      </c>
    </row>
    <row r="218" spans="1:22" x14ac:dyDescent="0.2">
      <c r="A218" t="s">
        <v>451</v>
      </c>
      <c r="B218" t="s">
        <v>10</v>
      </c>
      <c r="C218" t="s">
        <v>76</v>
      </c>
      <c r="D218" t="s">
        <v>77</v>
      </c>
      <c r="E218" s="1" t="s">
        <v>89</v>
      </c>
      <c r="F218" t="s">
        <v>90</v>
      </c>
      <c r="G218">
        <v>30</v>
      </c>
      <c r="H218">
        <v>113410437</v>
      </c>
      <c r="I218">
        <v>33351</v>
      </c>
      <c r="J218">
        <v>5</v>
      </c>
      <c r="K218">
        <v>75</v>
      </c>
      <c r="L218">
        <v>-113377086</v>
      </c>
      <c r="M218" s="1" t="s">
        <v>481</v>
      </c>
      <c r="N218" s="1" t="s">
        <v>482</v>
      </c>
      <c r="O218">
        <v>9.1334631377962393E-3</v>
      </c>
      <c r="P218">
        <v>1</v>
      </c>
      <c r="Q218">
        <v>0</v>
      </c>
      <c r="R218">
        <v>1</v>
      </c>
      <c r="S218">
        <v>0</v>
      </c>
      <c r="T218">
        <v>483.10993400000001</v>
      </c>
      <c r="U218">
        <f t="shared" si="6"/>
        <v>1</v>
      </c>
      <c r="V218">
        <f t="shared" si="7"/>
        <v>1</v>
      </c>
    </row>
    <row r="219" spans="1:22" x14ac:dyDescent="0.2">
      <c r="A219" t="s">
        <v>451</v>
      </c>
      <c r="B219" t="s">
        <v>10</v>
      </c>
      <c r="C219" t="s">
        <v>76</v>
      </c>
      <c r="D219" t="s">
        <v>77</v>
      </c>
      <c r="E219" s="1" t="s">
        <v>89</v>
      </c>
      <c r="F219" t="s">
        <v>90</v>
      </c>
      <c r="G219">
        <v>34</v>
      </c>
      <c r="H219">
        <v>86928338</v>
      </c>
      <c r="I219">
        <v>110064</v>
      </c>
      <c r="J219">
        <v>4</v>
      </c>
      <c r="K219">
        <v>59</v>
      </c>
      <c r="L219">
        <v>-86818274</v>
      </c>
      <c r="M219" s="1" t="s">
        <v>483</v>
      </c>
      <c r="N219">
        <v>1.26454527508443E-3</v>
      </c>
      <c r="O219">
        <v>7.0075413581895804E-3</v>
      </c>
      <c r="P219">
        <v>1</v>
      </c>
      <c r="Q219">
        <v>0</v>
      </c>
      <c r="R219">
        <v>1</v>
      </c>
      <c r="S219">
        <v>0</v>
      </c>
      <c r="T219">
        <v>483.10993400000001</v>
      </c>
      <c r="U219">
        <f t="shared" si="6"/>
        <v>1</v>
      </c>
      <c r="V219">
        <f t="shared" si="7"/>
        <v>1</v>
      </c>
    </row>
    <row r="220" spans="1:22" x14ac:dyDescent="0.2">
      <c r="A220" t="s">
        <v>451</v>
      </c>
      <c r="B220" t="s">
        <v>10</v>
      </c>
      <c r="C220" t="s">
        <v>76</v>
      </c>
      <c r="D220" t="s">
        <v>77</v>
      </c>
      <c r="E220">
        <v>16</v>
      </c>
      <c r="F220" t="s">
        <v>95</v>
      </c>
      <c r="G220">
        <v>84</v>
      </c>
      <c r="H220">
        <v>332701691</v>
      </c>
      <c r="I220">
        <v>17598283</v>
      </c>
      <c r="J220">
        <v>15</v>
      </c>
      <c r="K220">
        <v>60</v>
      </c>
      <c r="L220">
        <v>-315103408</v>
      </c>
      <c r="M220">
        <v>0.94976224862637304</v>
      </c>
      <c r="N220" s="1" t="s">
        <v>484</v>
      </c>
      <c r="O220" s="1" t="s">
        <v>485</v>
      </c>
      <c r="P220">
        <v>0</v>
      </c>
      <c r="Q220">
        <v>0</v>
      </c>
      <c r="R220">
        <v>0</v>
      </c>
      <c r="S220">
        <v>0</v>
      </c>
      <c r="T220">
        <v>483.10993400000001</v>
      </c>
      <c r="U220">
        <f t="shared" si="6"/>
        <v>0</v>
      </c>
      <c r="V220">
        <f t="shared" si="7"/>
        <v>0</v>
      </c>
    </row>
    <row r="221" spans="1:22" x14ac:dyDescent="0.2">
      <c r="A221" t="s">
        <v>451</v>
      </c>
      <c r="B221" t="s">
        <v>10</v>
      </c>
      <c r="C221" t="s">
        <v>76</v>
      </c>
      <c r="D221" t="s">
        <v>77</v>
      </c>
      <c r="E221">
        <v>17</v>
      </c>
      <c r="F221" t="s">
        <v>97</v>
      </c>
      <c r="G221">
        <v>87</v>
      </c>
      <c r="H221">
        <v>222263640</v>
      </c>
      <c r="I221">
        <v>555165</v>
      </c>
      <c r="J221">
        <v>8</v>
      </c>
      <c r="K221">
        <v>67</v>
      </c>
      <c r="L221">
        <v>-221708475</v>
      </c>
      <c r="M221" s="1" t="s">
        <v>486</v>
      </c>
      <c r="N221">
        <v>2.49155361909422E-3</v>
      </c>
      <c r="O221" s="1" t="s">
        <v>487</v>
      </c>
      <c r="P221">
        <v>0</v>
      </c>
      <c r="Q221">
        <v>0</v>
      </c>
      <c r="R221">
        <v>1</v>
      </c>
      <c r="S221">
        <v>0</v>
      </c>
      <c r="T221">
        <v>483.10993400000001</v>
      </c>
      <c r="U221">
        <f t="shared" si="6"/>
        <v>0</v>
      </c>
      <c r="V221">
        <f t="shared" si="7"/>
        <v>1</v>
      </c>
    </row>
    <row r="222" spans="1:22" x14ac:dyDescent="0.2">
      <c r="A222" t="s">
        <v>451</v>
      </c>
      <c r="B222" t="s">
        <v>10</v>
      </c>
      <c r="C222" t="s">
        <v>76</v>
      </c>
      <c r="D222" t="s">
        <v>77</v>
      </c>
      <c r="E222" s="1" t="s">
        <v>138</v>
      </c>
      <c r="F222" t="s">
        <v>139</v>
      </c>
      <c r="G222">
        <v>19</v>
      </c>
      <c r="H222">
        <v>159992578</v>
      </c>
      <c r="I222">
        <v>1033608</v>
      </c>
      <c r="J222">
        <v>3</v>
      </c>
      <c r="K222">
        <v>52</v>
      </c>
      <c r="L222">
        <v>-158958970</v>
      </c>
      <c r="M222" s="1" t="s">
        <v>488</v>
      </c>
      <c r="N222">
        <v>6.41888146068366E-3</v>
      </c>
      <c r="O222" s="1" t="s">
        <v>489</v>
      </c>
      <c r="P222">
        <v>1</v>
      </c>
      <c r="Q222">
        <v>0</v>
      </c>
      <c r="R222">
        <v>1</v>
      </c>
      <c r="S222">
        <v>0</v>
      </c>
      <c r="T222">
        <v>483.10993400000001</v>
      </c>
      <c r="U222">
        <f t="shared" si="6"/>
        <v>1</v>
      </c>
      <c r="V222">
        <f t="shared" si="7"/>
        <v>1</v>
      </c>
    </row>
    <row r="223" spans="1:22" x14ac:dyDescent="0.2">
      <c r="A223" t="s">
        <v>451</v>
      </c>
      <c r="B223" t="s">
        <v>10</v>
      </c>
      <c r="C223" t="s">
        <v>76</v>
      </c>
      <c r="D223" t="s">
        <v>77</v>
      </c>
      <c r="E223" s="1" t="s">
        <v>89</v>
      </c>
      <c r="F223" t="s">
        <v>90</v>
      </c>
      <c r="G223">
        <v>28</v>
      </c>
      <c r="H223">
        <v>65763919</v>
      </c>
      <c r="I223">
        <v>9458519</v>
      </c>
      <c r="J223">
        <v>39</v>
      </c>
      <c r="K223">
        <v>35</v>
      </c>
      <c r="L223">
        <v>-56305400</v>
      </c>
      <c r="M223" s="1" t="s">
        <v>490</v>
      </c>
      <c r="N223" s="1" t="s">
        <v>491</v>
      </c>
      <c r="O223">
        <v>6.0562272886036097E-3</v>
      </c>
      <c r="P223">
        <v>0</v>
      </c>
      <c r="Q223">
        <v>0</v>
      </c>
      <c r="R223">
        <v>0</v>
      </c>
      <c r="S223">
        <v>0</v>
      </c>
      <c r="T223">
        <v>483.10993400000001</v>
      </c>
      <c r="U223">
        <f t="shared" si="6"/>
        <v>0</v>
      </c>
      <c r="V223">
        <f t="shared" si="7"/>
        <v>0</v>
      </c>
    </row>
    <row r="224" spans="1:22" x14ac:dyDescent="0.2">
      <c r="A224" t="s">
        <v>451</v>
      </c>
      <c r="B224" t="s">
        <v>10</v>
      </c>
      <c r="C224" t="s">
        <v>76</v>
      </c>
      <c r="D224" t="s">
        <v>77</v>
      </c>
      <c r="E224" s="1" t="s">
        <v>138</v>
      </c>
      <c r="F224" t="s">
        <v>139</v>
      </c>
      <c r="G224">
        <v>21</v>
      </c>
      <c r="H224">
        <v>124136649</v>
      </c>
      <c r="I224">
        <v>2949003</v>
      </c>
      <c r="J224">
        <v>5</v>
      </c>
      <c r="K224">
        <v>53</v>
      </c>
      <c r="L224">
        <v>-121187646</v>
      </c>
      <c r="M224">
        <v>0.97679515386992699</v>
      </c>
      <c r="N224" s="1" t="s">
        <v>492</v>
      </c>
      <c r="O224" s="1" t="s">
        <v>493</v>
      </c>
      <c r="P224">
        <v>1</v>
      </c>
      <c r="Q224">
        <v>0</v>
      </c>
      <c r="R224">
        <v>1</v>
      </c>
      <c r="S224">
        <v>0</v>
      </c>
      <c r="T224">
        <v>483.10993400000001</v>
      </c>
      <c r="U224">
        <f t="shared" si="6"/>
        <v>1</v>
      </c>
      <c r="V224">
        <f t="shared" si="7"/>
        <v>1</v>
      </c>
    </row>
    <row r="225" spans="1:22" x14ac:dyDescent="0.2">
      <c r="A225" t="s">
        <v>451</v>
      </c>
      <c r="B225" t="s">
        <v>10</v>
      </c>
      <c r="C225" t="s">
        <v>76</v>
      </c>
      <c r="D225" t="s">
        <v>77</v>
      </c>
      <c r="E225" s="1" t="s">
        <v>82</v>
      </c>
      <c r="F225" t="s">
        <v>83</v>
      </c>
      <c r="G225">
        <v>11</v>
      </c>
      <c r="H225">
        <v>61778642</v>
      </c>
      <c r="I225">
        <v>2493</v>
      </c>
      <c r="J225">
        <v>8</v>
      </c>
      <c r="K225">
        <v>55</v>
      </c>
      <c r="L225">
        <v>-61776149</v>
      </c>
      <c r="M225" s="1" t="s">
        <v>494</v>
      </c>
      <c r="N225" s="1" t="s">
        <v>495</v>
      </c>
      <c r="O225">
        <v>4.9740556894460599E-3</v>
      </c>
      <c r="P225">
        <v>0</v>
      </c>
      <c r="Q225">
        <v>0</v>
      </c>
      <c r="R225">
        <v>1</v>
      </c>
      <c r="S225">
        <v>0</v>
      </c>
      <c r="T225">
        <v>483.10993400000001</v>
      </c>
      <c r="U225">
        <f t="shared" si="6"/>
        <v>0</v>
      </c>
      <c r="V225">
        <f t="shared" si="7"/>
        <v>1</v>
      </c>
    </row>
    <row r="226" spans="1:22" x14ac:dyDescent="0.2">
      <c r="A226" t="s">
        <v>451</v>
      </c>
      <c r="B226" t="s">
        <v>10</v>
      </c>
      <c r="C226" t="s">
        <v>76</v>
      </c>
      <c r="D226" t="s">
        <v>77</v>
      </c>
      <c r="E226">
        <v>15</v>
      </c>
      <c r="F226" t="s">
        <v>88</v>
      </c>
      <c r="G226">
        <v>74</v>
      </c>
      <c r="H226">
        <v>40241485</v>
      </c>
      <c r="I226">
        <v>3057226</v>
      </c>
      <c r="J226">
        <v>33</v>
      </c>
      <c r="K226">
        <v>46</v>
      </c>
      <c r="L226">
        <v>-37184259</v>
      </c>
      <c r="M226" s="1" t="s">
        <v>496</v>
      </c>
      <c r="N226">
        <v>7.0607783220151696E-2</v>
      </c>
      <c r="O226">
        <v>3.4860188275147499E-3</v>
      </c>
      <c r="P226">
        <v>0</v>
      </c>
      <c r="Q226">
        <v>0</v>
      </c>
      <c r="R226">
        <v>0</v>
      </c>
      <c r="S226">
        <v>0</v>
      </c>
      <c r="T226">
        <v>483.10993400000001</v>
      </c>
      <c r="U226">
        <f t="shared" si="6"/>
        <v>0</v>
      </c>
      <c r="V226">
        <f t="shared" si="7"/>
        <v>0</v>
      </c>
    </row>
    <row r="227" spans="1:22" x14ac:dyDescent="0.2">
      <c r="A227" t="s">
        <v>451</v>
      </c>
      <c r="B227" t="s">
        <v>10</v>
      </c>
      <c r="C227" t="s">
        <v>76</v>
      </c>
      <c r="D227" t="s">
        <v>77</v>
      </c>
      <c r="E227">
        <v>10</v>
      </c>
      <c r="F227" t="s">
        <v>119</v>
      </c>
      <c r="G227">
        <v>48</v>
      </c>
      <c r="H227">
        <v>269267481</v>
      </c>
      <c r="I227">
        <v>2150436</v>
      </c>
      <c r="J227">
        <v>10</v>
      </c>
      <c r="K227">
        <v>50</v>
      </c>
      <c r="L227">
        <v>-267117045</v>
      </c>
      <c r="M227" s="1" t="s">
        <v>497</v>
      </c>
      <c r="N227">
        <v>7.9229699489588197E-3</v>
      </c>
      <c r="O227">
        <v>2.1852104760966998E-2</v>
      </c>
      <c r="P227">
        <v>0</v>
      </c>
      <c r="Q227">
        <v>0</v>
      </c>
      <c r="R227">
        <v>1</v>
      </c>
      <c r="S227">
        <v>0</v>
      </c>
      <c r="T227">
        <v>483.10993400000001</v>
      </c>
      <c r="U227">
        <f t="shared" si="6"/>
        <v>0</v>
      </c>
      <c r="V227">
        <f t="shared" si="7"/>
        <v>1</v>
      </c>
    </row>
    <row r="228" spans="1:22" x14ac:dyDescent="0.2">
      <c r="A228" t="s">
        <v>451</v>
      </c>
      <c r="B228" t="s">
        <v>10</v>
      </c>
      <c r="C228" t="s">
        <v>76</v>
      </c>
      <c r="D228" t="s">
        <v>77</v>
      </c>
      <c r="E228" s="1" t="s">
        <v>85</v>
      </c>
      <c r="F228" t="s">
        <v>86</v>
      </c>
      <c r="G228">
        <v>25</v>
      </c>
      <c r="H228">
        <v>47841654</v>
      </c>
      <c r="I228">
        <v>42571832</v>
      </c>
      <c r="J228">
        <v>22</v>
      </c>
      <c r="K228">
        <v>11</v>
      </c>
      <c r="L228">
        <v>-5269822</v>
      </c>
      <c r="M228" s="1" t="s">
        <v>498</v>
      </c>
      <c r="N228" s="1" t="s">
        <v>499</v>
      </c>
      <c r="O228">
        <v>7.2792724581856897E-3</v>
      </c>
      <c r="P228">
        <v>0</v>
      </c>
      <c r="Q228">
        <v>0</v>
      </c>
      <c r="R228">
        <v>0</v>
      </c>
      <c r="S228">
        <v>0</v>
      </c>
      <c r="T228">
        <v>483.10993400000001</v>
      </c>
      <c r="U228">
        <f t="shared" si="6"/>
        <v>0</v>
      </c>
      <c r="V228">
        <f t="shared" si="7"/>
        <v>0</v>
      </c>
    </row>
    <row r="229" spans="1:22" x14ac:dyDescent="0.2">
      <c r="A229" t="s">
        <v>451</v>
      </c>
      <c r="B229" t="s">
        <v>10</v>
      </c>
      <c r="C229" t="s">
        <v>76</v>
      </c>
      <c r="D229" t="s">
        <v>77</v>
      </c>
      <c r="E229">
        <v>13</v>
      </c>
      <c r="F229" t="s">
        <v>91</v>
      </c>
      <c r="G229">
        <v>68</v>
      </c>
      <c r="H229">
        <v>70479011</v>
      </c>
      <c r="I229">
        <v>128801</v>
      </c>
      <c r="J229">
        <v>7</v>
      </c>
      <c r="K229">
        <v>60</v>
      </c>
      <c r="L229">
        <v>-70350210</v>
      </c>
      <c r="M229" s="1" t="s">
        <v>500</v>
      </c>
      <c r="N229">
        <v>1.8241749227408399E-3</v>
      </c>
      <c r="O229">
        <v>5.6846995283906304E-3</v>
      </c>
      <c r="P229">
        <v>0</v>
      </c>
      <c r="Q229">
        <v>0</v>
      </c>
      <c r="R229">
        <v>1</v>
      </c>
      <c r="S229">
        <v>0</v>
      </c>
      <c r="T229">
        <v>483.10993400000001</v>
      </c>
      <c r="U229">
        <f t="shared" si="6"/>
        <v>0</v>
      </c>
      <c r="V229">
        <f t="shared" si="7"/>
        <v>1</v>
      </c>
    </row>
    <row r="230" spans="1:22" x14ac:dyDescent="0.2">
      <c r="A230" t="s">
        <v>451</v>
      </c>
      <c r="B230" t="s">
        <v>10</v>
      </c>
      <c r="C230" t="s">
        <v>76</v>
      </c>
      <c r="D230" t="s">
        <v>77</v>
      </c>
      <c r="E230" s="1" t="s">
        <v>138</v>
      </c>
      <c r="F230" t="s">
        <v>139</v>
      </c>
      <c r="G230">
        <v>16</v>
      </c>
      <c r="H230">
        <v>83818062</v>
      </c>
      <c r="I230">
        <v>108338</v>
      </c>
      <c r="J230">
        <v>4</v>
      </c>
      <c r="K230">
        <v>49</v>
      </c>
      <c r="L230">
        <v>-83709724</v>
      </c>
      <c r="M230" s="1" t="s">
        <v>501</v>
      </c>
      <c r="N230">
        <v>1.2908691424867501E-3</v>
      </c>
      <c r="O230">
        <v>6.7569912306519797E-3</v>
      </c>
      <c r="P230">
        <v>1</v>
      </c>
      <c r="Q230">
        <v>0</v>
      </c>
      <c r="R230">
        <v>1</v>
      </c>
      <c r="S230">
        <v>0</v>
      </c>
      <c r="T230">
        <v>483.10993400000001</v>
      </c>
      <c r="U230">
        <f t="shared" si="6"/>
        <v>1</v>
      </c>
      <c r="V230">
        <f t="shared" si="7"/>
        <v>1</v>
      </c>
    </row>
    <row r="231" spans="1:22" x14ac:dyDescent="0.2">
      <c r="A231" t="s">
        <v>451</v>
      </c>
      <c r="B231" t="s">
        <v>10</v>
      </c>
      <c r="C231" t="s">
        <v>76</v>
      </c>
      <c r="D231" t="s">
        <v>77</v>
      </c>
      <c r="E231">
        <v>20</v>
      </c>
      <c r="F231" t="s">
        <v>104</v>
      </c>
      <c r="G231">
        <v>96</v>
      </c>
      <c r="H231">
        <v>38147753</v>
      </c>
      <c r="I231">
        <v>38001</v>
      </c>
      <c r="J231">
        <v>5</v>
      </c>
      <c r="K231">
        <v>63</v>
      </c>
      <c r="L231">
        <v>-38109752</v>
      </c>
      <c r="M231" s="1" t="s">
        <v>502</v>
      </c>
      <c r="N231" s="1" t="s">
        <v>503</v>
      </c>
      <c r="O231">
        <v>3.0743699826733099E-3</v>
      </c>
      <c r="P231">
        <v>1</v>
      </c>
      <c r="Q231">
        <v>0</v>
      </c>
      <c r="R231">
        <v>1</v>
      </c>
      <c r="S231">
        <v>0</v>
      </c>
      <c r="T231">
        <v>483.10993400000001</v>
      </c>
      <c r="U231">
        <f t="shared" si="6"/>
        <v>1</v>
      </c>
      <c r="V231">
        <f t="shared" si="7"/>
        <v>1</v>
      </c>
    </row>
    <row r="232" spans="1:22" x14ac:dyDescent="0.2">
      <c r="A232" t="s">
        <v>451</v>
      </c>
      <c r="B232" t="s">
        <v>10</v>
      </c>
      <c r="C232" t="s">
        <v>76</v>
      </c>
      <c r="D232" t="s">
        <v>77</v>
      </c>
      <c r="E232">
        <v>13</v>
      </c>
      <c r="F232" t="s">
        <v>91</v>
      </c>
      <c r="G232">
        <v>69</v>
      </c>
      <c r="H232">
        <v>42338579</v>
      </c>
      <c r="I232">
        <v>133126</v>
      </c>
      <c r="J232">
        <v>7</v>
      </c>
      <c r="K232">
        <v>59</v>
      </c>
      <c r="L232">
        <v>-42205453</v>
      </c>
      <c r="M232" s="1" t="s">
        <v>504</v>
      </c>
      <c r="N232">
        <v>3.1344632856156801E-3</v>
      </c>
      <c r="O232">
        <v>3.4194358180005E-3</v>
      </c>
      <c r="P232">
        <v>0</v>
      </c>
      <c r="Q232">
        <v>0</v>
      </c>
      <c r="R232">
        <v>1</v>
      </c>
      <c r="S232">
        <v>0</v>
      </c>
      <c r="T232">
        <v>483.10993400000001</v>
      </c>
      <c r="U232">
        <f t="shared" si="6"/>
        <v>0</v>
      </c>
      <c r="V232">
        <f t="shared" si="7"/>
        <v>1</v>
      </c>
    </row>
    <row r="233" spans="1:22" x14ac:dyDescent="0.2">
      <c r="A233" t="s">
        <v>451</v>
      </c>
      <c r="B233" t="s">
        <v>10</v>
      </c>
      <c r="C233" t="s">
        <v>76</v>
      </c>
      <c r="D233" t="s">
        <v>77</v>
      </c>
      <c r="E233" s="1" t="s">
        <v>89</v>
      </c>
      <c r="F233" t="s">
        <v>90</v>
      </c>
      <c r="G233">
        <v>33</v>
      </c>
      <c r="H233">
        <v>108174681</v>
      </c>
      <c r="I233">
        <v>49356</v>
      </c>
      <c r="J233">
        <v>5</v>
      </c>
      <c r="K233">
        <v>73</v>
      </c>
      <c r="L233">
        <v>-108125325</v>
      </c>
      <c r="M233" s="1" t="s">
        <v>505</v>
      </c>
      <c r="N233" s="1" t="s">
        <v>506</v>
      </c>
      <c r="O233">
        <v>8.7132162103313801E-3</v>
      </c>
      <c r="P233">
        <v>1</v>
      </c>
      <c r="Q233">
        <v>0</v>
      </c>
      <c r="R233">
        <v>1</v>
      </c>
      <c r="S233">
        <v>0</v>
      </c>
      <c r="T233">
        <v>483.10993400000001</v>
      </c>
      <c r="U233">
        <f t="shared" si="6"/>
        <v>1</v>
      </c>
      <c r="V233">
        <f t="shared" si="7"/>
        <v>1</v>
      </c>
    </row>
    <row r="234" spans="1:22" x14ac:dyDescent="0.2">
      <c r="A234" t="s">
        <v>451</v>
      </c>
      <c r="B234" t="s">
        <v>10</v>
      </c>
      <c r="C234" t="s">
        <v>76</v>
      </c>
      <c r="D234" t="s">
        <v>77</v>
      </c>
      <c r="E234" s="1" t="s">
        <v>138</v>
      </c>
      <c r="F234" t="s">
        <v>139</v>
      </c>
      <c r="G234">
        <v>23</v>
      </c>
      <c r="H234">
        <v>52283535</v>
      </c>
      <c r="I234">
        <v>0</v>
      </c>
      <c r="J234">
        <v>22</v>
      </c>
      <c r="K234">
        <v>61</v>
      </c>
      <c r="L234">
        <v>-52283535</v>
      </c>
      <c r="M234">
        <v>1</v>
      </c>
      <c r="N234">
        <v>0</v>
      </c>
      <c r="O234">
        <v>4.20939522608483E-3</v>
      </c>
      <c r="P234">
        <v>0</v>
      </c>
      <c r="Q234">
        <v>0</v>
      </c>
      <c r="R234">
        <v>0</v>
      </c>
      <c r="S234">
        <v>0</v>
      </c>
      <c r="T234">
        <v>483.10993400000001</v>
      </c>
      <c r="U234">
        <f t="shared" si="6"/>
        <v>0</v>
      </c>
      <c r="V234">
        <f t="shared" si="7"/>
        <v>0</v>
      </c>
    </row>
    <row r="235" spans="1:22" x14ac:dyDescent="0.2">
      <c r="A235" t="s">
        <v>451</v>
      </c>
      <c r="B235" t="s">
        <v>10</v>
      </c>
      <c r="C235" t="s">
        <v>76</v>
      </c>
      <c r="D235" t="s">
        <v>77</v>
      </c>
      <c r="E235" s="1" t="s">
        <v>138</v>
      </c>
      <c r="F235" t="s">
        <v>139</v>
      </c>
      <c r="G235">
        <v>20</v>
      </c>
      <c r="H235">
        <v>45983326</v>
      </c>
      <c r="I235">
        <v>47582775</v>
      </c>
      <c r="J235">
        <v>5</v>
      </c>
      <c r="K235">
        <v>25</v>
      </c>
      <c r="L235">
        <v>1599449</v>
      </c>
      <c r="M235" s="1" t="s">
        <v>507</v>
      </c>
      <c r="N235" s="1" t="s">
        <v>508</v>
      </c>
      <c r="O235">
        <v>7.5330923755016002E-3</v>
      </c>
      <c r="P235">
        <v>1</v>
      </c>
      <c r="Q235">
        <v>0</v>
      </c>
      <c r="R235">
        <v>1</v>
      </c>
      <c r="S235">
        <v>0</v>
      </c>
      <c r="T235">
        <v>483.10993400000001</v>
      </c>
      <c r="U235">
        <f t="shared" si="6"/>
        <v>1</v>
      </c>
      <c r="V235">
        <f t="shared" si="7"/>
        <v>1</v>
      </c>
    </row>
    <row r="236" spans="1:22" x14ac:dyDescent="0.2">
      <c r="A236" t="s">
        <v>451</v>
      </c>
      <c r="B236" t="s">
        <v>10</v>
      </c>
      <c r="C236" t="s">
        <v>76</v>
      </c>
      <c r="D236" t="s">
        <v>77</v>
      </c>
      <c r="E236" s="1" t="s">
        <v>155</v>
      </c>
      <c r="F236" t="s">
        <v>156</v>
      </c>
      <c r="G236" s="1" t="s">
        <v>138</v>
      </c>
      <c r="H236">
        <v>63457959</v>
      </c>
      <c r="I236">
        <v>38821182</v>
      </c>
      <c r="J236">
        <v>3</v>
      </c>
      <c r="K236">
        <v>19</v>
      </c>
      <c r="L236">
        <v>-24636777</v>
      </c>
      <c r="M236" s="1" t="s">
        <v>509</v>
      </c>
      <c r="N236" s="1" t="s">
        <v>510</v>
      </c>
      <c r="O236">
        <v>8.2345871956335196E-3</v>
      </c>
      <c r="P236">
        <v>1</v>
      </c>
      <c r="Q236">
        <v>0</v>
      </c>
      <c r="R236">
        <v>1</v>
      </c>
      <c r="S236">
        <v>0</v>
      </c>
      <c r="T236">
        <v>483.10993400000001</v>
      </c>
      <c r="U236">
        <f t="shared" si="6"/>
        <v>1</v>
      </c>
      <c r="V236">
        <f t="shared" si="7"/>
        <v>1</v>
      </c>
    </row>
    <row r="237" spans="1:22" x14ac:dyDescent="0.2">
      <c r="A237" t="s">
        <v>451</v>
      </c>
      <c r="B237" t="s">
        <v>10</v>
      </c>
      <c r="C237" t="s">
        <v>76</v>
      </c>
      <c r="D237" t="s">
        <v>77</v>
      </c>
      <c r="E237" s="1" t="s">
        <v>99</v>
      </c>
      <c r="F237" t="s">
        <v>100</v>
      </c>
      <c r="G237">
        <v>40</v>
      </c>
      <c r="H237">
        <v>77100859</v>
      </c>
      <c r="I237">
        <v>62222</v>
      </c>
      <c r="J237">
        <v>33</v>
      </c>
      <c r="K237">
        <v>72</v>
      </c>
      <c r="L237">
        <v>-77038637</v>
      </c>
      <c r="M237" s="1" t="s">
        <v>511</v>
      </c>
      <c r="N237" s="1" t="s">
        <v>512</v>
      </c>
      <c r="O237">
        <v>6.2124702316206596E-3</v>
      </c>
      <c r="P237">
        <v>0</v>
      </c>
      <c r="Q237">
        <v>0</v>
      </c>
      <c r="R237">
        <v>0</v>
      </c>
      <c r="S237">
        <v>0</v>
      </c>
      <c r="T237">
        <v>483.10993400000001</v>
      </c>
      <c r="U237">
        <f t="shared" si="6"/>
        <v>0</v>
      </c>
      <c r="V237">
        <f t="shared" si="7"/>
        <v>0</v>
      </c>
    </row>
    <row r="238" spans="1:22" x14ac:dyDescent="0.2">
      <c r="A238" t="s">
        <v>451</v>
      </c>
      <c r="B238" t="s">
        <v>10</v>
      </c>
      <c r="C238" t="s">
        <v>76</v>
      </c>
      <c r="D238" t="s">
        <v>77</v>
      </c>
      <c r="E238">
        <v>15</v>
      </c>
      <c r="F238" t="s">
        <v>88</v>
      </c>
      <c r="G238">
        <v>76</v>
      </c>
      <c r="H238">
        <v>108465085</v>
      </c>
      <c r="I238">
        <v>97801194</v>
      </c>
      <c r="J238">
        <v>39</v>
      </c>
      <c r="K238">
        <v>12</v>
      </c>
      <c r="L238">
        <v>-10663891</v>
      </c>
      <c r="M238" s="1" t="s">
        <v>513</v>
      </c>
      <c r="N238" s="1" t="s">
        <v>514</v>
      </c>
      <c r="O238" s="1" t="s">
        <v>515</v>
      </c>
      <c r="P238">
        <v>0</v>
      </c>
      <c r="Q238">
        <v>0</v>
      </c>
      <c r="R238">
        <v>0</v>
      </c>
      <c r="S238">
        <v>0</v>
      </c>
      <c r="T238">
        <v>483.10993400000001</v>
      </c>
      <c r="U238">
        <f t="shared" si="6"/>
        <v>0</v>
      </c>
      <c r="V238">
        <f t="shared" si="7"/>
        <v>0</v>
      </c>
    </row>
    <row r="239" spans="1:22" x14ac:dyDescent="0.2">
      <c r="A239" t="s">
        <v>451</v>
      </c>
      <c r="B239" t="s">
        <v>10</v>
      </c>
      <c r="C239" t="s">
        <v>76</v>
      </c>
      <c r="D239" t="s">
        <v>77</v>
      </c>
      <c r="E239" s="1" t="s">
        <v>138</v>
      </c>
      <c r="F239" t="s">
        <v>139</v>
      </c>
      <c r="G239">
        <v>22</v>
      </c>
      <c r="H239">
        <v>68981600</v>
      </c>
      <c r="I239">
        <v>67477011</v>
      </c>
      <c r="J239">
        <v>12</v>
      </c>
      <c r="K239">
        <v>22</v>
      </c>
      <c r="L239">
        <v>-1504589</v>
      </c>
      <c r="M239" s="1" t="s">
        <v>516</v>
      </c>
      <c r="N239" s="1" t="s">
        <v>517</v>
      </c>
      <c r="O239" s="1" t="s">
        <v>518</v>
      </c>
      <c r="P239">
        <v>0</v>
      </c>
      <c r="Q239">
        <v>0</v>
      </c>
      <c r="R239">
        <v>0</v>
      </c>
      <c r="S239">
        <v>0</v>
      </c>
      <c r="T239">
        <v>483.10993400000001</v>
      </c>
      <c r="U239">
        <f t="shared" si="6"/>
        <v>0</v>
      </c>
      <c r="V239">
        <f t="shared" si="7"/>
        <v>0</v>
      </c>
    </row>
    <row r="240" spans="1:22" x14ac:dyDescent="0.2">
      <c r="A240" t="s">
        <v>451</v>
      </c>
      <c r="B240" t="s">
        <v>10</v>
      </c>
      <c r="C240" t="s">
        <v>76</v>
      </c>
      <c r="D240" t="s">
        <v>77</v>
      </c>
      <c r="E240" s="1" t="s">
        <v>99</v>
      </c>
      <c r="F240" t="s">
        <v>100</v>
      </c>
      <c r="G240">
        <v>39</v>
      </c>
      <c r="H240">
        <v>146082156</v>
      </c>
      <c r="I240">
        <v>83394494</v>
      </c>
      <c r="J240">
        <v>14</v>
      </c>
      <c r="K240">
        <v>36</v>
      </c>
      <c r="L240">
        <v>-62687662</v>
      </c>
      <c r="M240" s="1" t="s">
        <v>519</v>
      </c>
      <c r="N240" s="1" t="s">
        <v>520</v>
      </c>
      <c r="O240">
        <v>1.84753749915329E-2</v>
      </c>
      <c r="P240">
        <v>0</v>
      </c>
      <c r="Q240">
        <v>0</v>
      </c>
      <c r="R240">
        <v>0</v>
      </c>
      <c r="S240">
        <v>0</v>
      </c>
      <c r="T240">
        <v>483.10993400000001</v>
      </c>
      <c r="U240">
        <f t="shared" si="6"/>
        <v>0</v>
      </c>
      <c r="V240">
        <f t="shared" si="7"/>
        <v>0</v>
      </c>
    </row>
    <row r="241" spans="1:22" x14ac:dyDescent="0.2">
      <c r="A241" t="s">
        <v>451</v>
      </c>
      <c r="B241" t="s">
        <v>10</v>
      </c>
      <c r="C241" t="s">
        <v>76</v>
      </c>
      <c r="D241" t="s">
        <v>77</v>
      </c>
      <c r="E241" s="1" t="s">
        <v>155</v>
      </c>
      <c r="F241" t="s">
        <v>156</v>
      </c>
      <c r="G241" s="1" t="s">
        <v>155</v>
      </c>
      <c r="H241">
        <v>52063718</v>
      </c>
      <c r="I241">
        <v>29536</v>
      </c>
      <c r="J241">
        <v>3</v>
      </c>
      <c r="K241">
        <v>44</v>
      </c>
      <c r="L241">
        <v>-52034182</v>
      </c>
      <c r="M241" s="1" t="s">
        <v>521</v>
      </c>
      <c r="N241" s="1" t="s">
        <v>522</v>
      </c>
      <c r="O241">
        <v>4.1940755287266703E-3</v>
      </c>
      <c r="P241">
        <v>1</v>
      </c>
      <c r="Q241">
        <v>0</v>
      </c>
      <c r="R241">
        <v>1</v>
      </c>
      <c r="S241">
        <v>0</v>
      </c>
      <c r="T241">
        <v>483.10993400000001</v>
      </c>
      <c r="U241">
        <f t="shared" si="6"/>
        <v>1</v>
      </c>
      <c r="V241">
        <f t="shared" si="7"/>
        <v>1</v>
      </c>
    </row>
    <row r="242" spans="1:22" x14ac:dyDescent="0.2">
      <c r="A242" t="s">
        <v>451</v>
      </c>
      <c r="B242" t="s">
        <v>10</v>
      </c>
      <c r="C242" t="s">
        <v>76</v>
      </c>
      <c r="D242" t="s">
        <v>77</v>
      </c>
      <c r="E242" s="1" t="s">
        <v>82</v>
      </c>
      <c r="F242" t="s">
        <v>83</v>
      </c>
      <c r="G242">
        <v>12</v>
      </c>
      <c r="H242">
        <v>32216640</v>
      </c>
      <c r="I242">
        <v>123458</v>
      </c>
      <c r="J242">
        <v>13</v>
      </c>
      <c r="K242">
        <v>70</v>
      </c>
      <c r="L242">
        <v>-32093182</v>
      </c>
      <c r="M242" s="1" t="s">
        <v>523</v>
      </c>
      <c r="N242">
        <v>3.8174899779215201E-3</v>
      </c>
      <c r="O242">
        <v>2.6037308711493101E-3</v>
      </c>
      <c r="P242">
        <v>0</v>
      </c>
      <c r="Q242">
        <v>0</v>
      </c>
      <c r="R242">
        <v>0</v>
      </c>
      <c r="S242">
        <v>0</v>
      </c>
      <c r="T242">
        <v>483.10993400000001</v>
      </c>
      <c r="U242">
        <f t="shared" si="6"/>
        <v>0</v>
      </c>
      <c r="V242">
        <f t="shared" si="7"/>
        <v>0</v>
      </c>
    </row>
    <row r="243" spans="1:22" x14ac:dyDescent="0.2">
      <c r="A243" t="s">
        <v>451</v>
      </c>
      <c r="B243" t="s">
        <v>10</v>
      </c>
      <c r="C243" t="s">
        <v>76</v>
      </c>
      <c r="D243" t="s">
        <v>77</v>
      </c>
      <c r="E243" s="1" t="s">
        <v>89</v>
      </c>
      <c r="F243" t="s">
        <v>90</v>
      </c>
      <c r="G243">
        <v>29</v>
      </c>
      <c r="H243">
        <v>21610382</v>
      </c>
      <c r="I243">
        <v>13452003</v>
      </c>
      <c r="J243">
        <v>42</v>
      </c>
      <c r="K243">
        <v>39</v>
      </c>
      <c r="L243">
        <v>-8158379</v>
      </c>
      <c r="M243">
        <v>0.61634090208067704</v>
      </c>
      <c r="N243" s="1" t="s">
        <v>524</v>
      </c>
      <c r="O243">
        <v>2.8229046875684299E-3</v>
      </c>
      <c r="P243">
        <v>0</v>
      </c>
      <c r="Q243">
        <v>0</v>
      </c>
      <c r="R243">
        <v>0</v>
      </c>
      <c r="S243">
        <v>0</v>
      </c>
      <c r="T243">
        <v>483.10993400000001</v>
      </c>
      <c r="U243">
        <f t="shared" si="6"/>
        <v>0</v>
      </c>
      <c r="V243">
        <f t="shared" si="7"/>
        <v>0</v>
      </c>
    </row>
    <row r="244" spans="1:22" x14ac:dyDescent="0.2">
      <c r="A244" t="s">
        <v>451</v>
      </c>
      <c r="B244" t="s">
        <v>10</v>
      </c>
      <c r="C244" t="s">
        <v>76</v>
      </c>
      <c r="D244" t="s">
        <v>77</v>
      </c>
      <c r="E244" s="1" t="s">
        <v>89</v>
      </c>
      <c r="F244" t="s">
        <v>90</v>
      </c>
      <c r="G244">
        <v>38</v>
      </c>
      <c r="H244">
        <v>59709266</v>
      </c>
      <c r="I244">
        <v>5964452</v>
      </c>
      <c r="J244">
        <v>12</v>
      </c>
      <c r="K244">
        <v>50</v>
      </c>
      <c r="L244">
        <v>-53744814</v>
      </c>
      <c r="M244" s="1" t="s">
        <v>525</v>
      </c>
      <c r="N244">
        <v>9.08194660153092E-2</v>
      </c>
      <c r="O244">
        <v>5.2874511072834203E-3</v>
      </c>
      <c r="P244">
        <v>0</v>
      </c>
      <c r="Q244">
        <v>0</v>
      </c>
      <c r="R244">
        <v>0</v>
      </c>
      <c r="S244">
        <v>0</v>
      </c>
      <c r="T244">
        <v>483.10993400000001</v>
      </c>
      <c r="U244">
        <f t="shared" si="6"/>
        <v>0</v>
      </c>
      <c r="V244">
        <f t="shared" si="7"/>
        <v>0</v>
      </c>
    </row>
    <row r="245" spans="1:22" x14ac:dyDescent="0.2">
      <c r="A245" t="s">
        <v>451</v>
      </c>
      <c r="B245" t="s">
        <v>10</v>
      </c>
      <c r="C245" t="s">
        <v>76</v>
      </c>
      <c r="D245" t="s">
        <v>77</v>
      </c>
      <c r="E245">
        <v>15</v>
      </c>
      <c r="F245" t="s">
        <v>88</v>
      </c>
      <c r="G245">
        <v>82</v>
      </c>
      <c r="H245">
        <v>21843368</v>
      </c>
      <c r="I245">
        <v>1200192</v>
      </c>
      <c r="J245">
        <v>8</v>
      </c>
      <c r="K245">
        <v>51</v>
      </c>
      <c r="L245">
        <v>-20643176</v>
      </c>
      <c r="M245" s="1" t="s">
        <v>526</v>
      </c>
      <c r="N245">
        <v>5.2083619024143803E-2</v>
      </c>
      <c r="O245">
        <v>1.85525809331751E-3</v>
      </c>
      <c r="P245">
        <v>0</v>
      </c>
      <c r="Q245">
        <v>0</v>
      </c>
      <c r="R245">
        <v>1</v>
      </c>
      <c r="S245">
        <v>0</v>
      </c>
      <c r="T245">
        <v>483.10993400000001</v>
      </c>
      <c r="U245">
        <f t="shared" si="6"/>
        <v>0</v>
      </c>
      <c r="V245">
        <f t="shared" si="7"/>
        <v>1</v>
      </c>
    </row>
    <row r="246" spans="1:22" x14ac:dyDescent="0.2">
      <c r="A246" t="s">
        <v>451</v>
      </c>
      <c r="B246" t="s">
        <v>10</v>
      </c>
      <c r="C246" t="s">
        <v>76</v>
      </c>
      <c r="D246" t="s">
        <v>77</v>
      </c>
      <c r="E246" s="1" t="s">
        <v>82</v>
      </c>
      <c r="F246" t="s">
        <v>83</v>
      </c>
      <c r="G246" s="1" t="s">
        <v>99</v>
      </c>
      <c r="H246">
        <v>109393479</v>
      </c>
      <c r="I246">
        <v>1036398406</v>
      </c>
      <c r="J246">
        <v>4</v>
      </c>
      <c r="K246">
        <v>2</v>
      </c>
      <c r="L246">
        <v>927004927</v>
      </c>
      <c r="M246">
        <v>9.5474126176063795E-2</v>
      </c>
      <c r="N246" s="1" t="s">
        <v>527</v>
      </c>
      <c r="O246">
        <v>9.2248752705909001E-2</v>
      </c>
      <c r="P246">
        <v>1</v>
      </c>
      <c r="Q246">
        <v>1</v>
      </c>
      <c r="R246">
        <v>1</v>
      </c>
      <c r="S246">
        <v>1</v>
      </c>
      <c r="T246">
        <v>483.10993400000001</v>
      </c>
      <c r="U246">
        <f t="shared" si="6"/>
        <v>1</v>
      </c>
      <c r="V246">
        <f t="shared" si="7"/>
        <v>1</v>
      </c>
    </row>
    <row r="247" spans="1:22" x14ac:dyDescent="0.2">
      <c r="A247" t="s">
        <v>451</v>
      </c>
      <c r="B247" t="s">
        <v>10</v>
      </c>
      <c r="C247" t="s">
        <v>76</v>
      </c>
      <c r="D247" t="s">
        <v>77</v>
      </c>
      <c r="E247" s="1" t="s">
        <v>89</v>
      </c>
      <c r="F247" t="s">
        <v>90</v>
      </c>
      <c r="G247">
        <v>36</v>
      </c>
      <c r="H247">
        <v>5612141</v>
      </c>
      <c r="I247">
        <v>0</v>
      </c>
      <c r="J247">
        <v>13</v>
      </c>
      <c r="K247">
        <v>37</v>
      </c>
      <c r="L247">
        <v>-5612141</v>
      </c>
      <c r="M247">
        <v>1</v>
      </c>
      <c r="N247">
        <v>0</v>
      </c>
      <c r="O247" s="1" t="s">
        <v>528</v>
      </c>
      <c r="P247">
        <v>0</v>
      </c>
      <c r="Q247">
        <v>0</v>
      </c>
      <c r="R247">
        <v>0</v>
      </c>
      <c r="S247">
        <v>0</v>
      </c>
      <c r="T247">
        <v>483.10993400000001</v>
      </c>
      <c r="U247">
        <f t="shared" si="6"/>
        <v>0</v>
      </c>
      <c r="V247">
        <f t="shared" si="7"/>
        <v>0</v>
      </c>
    </row>
    <row r="248" spans="1:22" x14ac:dyDescent="0.2">
      <c r="A248" t="s">
        <v>451</v>
      </c>
      <c r="B248" t="s">
        <v>10</v>
      </c>
      <c r="C248" t="s">
        <v>76</v>
      </c>
      <c r="D248" t="s">
        <v>77</v>
      </c>
      <c r="E248">
        <v>18</v>
      </c>
      <c r="F248" t="s">
        <v>147</v>
      </c>
      <c r="G248">
        <v>90</v>
      </c>
      <c r="H248">
        <v>26472718</v>
      </c>
      <c r="I248">
        <v>7943383</v>
      </c>
      <c r="J248">
        <v>25</v>
      </c>
      <c r="K248">
        <v>54</v>
      </c>
      <c r="L248">
        <v>-18529335</v>
      </c>
      <c r="M248">
        <v>0.76919573196278102</v>
      </c>
      <c r="N248" s="1" t="s">
        <v>529</v>
      </c>
      <c r="O248">
        <v>2.7708717715788202E-3</v>
      </c>
      <c r="P248">
        <v>0</v>
      </c>
      <c r="Q248">
        <v>0</v>
      </c>
      <c r="R248">
        <v>0</v>
      </c>
      <c r="S248">
        <v>0</v>
      </c>
      <c r="T248">
        <v>483.10993400000001</v>
      </c>
      <c r="U248">
        <f t="shared" si="6"/>
        <v>0</v>
      </c>
      <c r="V248">
        <f t="shared" si="7"/>
        <v>0</v>
      </c>
    </row>
    <row r="249" spans="1:22" x14ac:dyDescent="0.2">
      <c r="A249" t="s">
        <v>451</v>
      </c>
      <c r="B249" t="s">
        <v>10</v>
      </c>
      <c r="C249" t="s">
        <v>76</v>
      </c>
      <c r="D249" t="s">
        <v>77</v>
      </c>
      <c r="E249" s="1" t="s">
        <v>89</v>
      </c>
      <c r="F249" t="s">
        <v>90</v>
      </c>
      <c r="G249">
        <v>32</v>
      </c>
      <c r="H249">
        <v>17430365</v>
      </c>
      <c r="I249">
        <v>832620</v>
      </c>
      <c r="J249">
        <v>13</v>
      </c>
      <c r="K249">
        <v>59</v>
      </c>
      <c r="L249">
        <v>-16597745</v>
      </c>
      <c r="M249" s="1" t="s">
        <v>530</v>
      </c>
      <c r="N249">
        <v>4.5590575691761198E-2</v>
      </c>
      <c r="O249">
        <v>1.4703696273226101E-3</v>
      </c>
      <c r="P249">
        <v>0</v>
      </c>
      <c r="Q249">
        <v>0</v>
      </c>
      <c r="R249">
        <v>0</v>
      </c>
      <c r="S249">
        <v>0</v>
      </c>
      <c r="T249">
        <v>483.10993400000001</v>
      </c>
      <c r="U249">
        <f t="shared" si="6"/>
        <v>0</v>
      </c>
      <c r="V249">
        <f t="shared" si="7"/>
        <v>0</v>
      </c>
    </row>
    <row r="250" spans="1:22" x14ac:dyDescent="0.2">
      <c r="A250" t="s">
        <v>451</v>
      </c>
      <c r="B250" t="s">
        <v>10</v>
      </c>
      <c r="C250" t="s">
        <v>76</v>
      </c>
      <c r="D250" t="s">
        <v>77</v>
      </c>
      <c r="E250">
        <v>15</v>
      </c>
      <c r="F250" t="s">
        <v>88</v>
      </c>
      <c r="G250">
        <v>83</v>
      </c>
      <c r="H250">
        <v>11947942</v>
      </c>
      <c r="I250">
        <v>8737</v>
      </c>
      <c r="J250">
        <v>13</v>
      </c>
      <c r="K250">
        <v>69</v>
      </c>
      <c r="L250">
        <v>-11939205</v>
      </c>
      <c r="M250" s="1" t="s">
        <v>531</v>
      </c>
      <c r="N250" s="1" t="s">
        <v>532</v>
      </c>
      <c r="O250" s="1" t="s">
        <v>533</v>
      </c>
      <c r="P250">
        <v>0</v>
      </c>
      <c r="Q250">
        <v>0</v>
      </c>
      <c r="R250">
        <v>0</v>
      </c>
      <c r="S250">
        <v>0</v>
      </c>
      <c r="T250">
        <v>483.10993400000001</v>
      </c>
      <c r="U250">
        <f t="shared" si="6"/>
        <v>0</v>
      </c>
      <c r="V250">
        <f t="shared" si="7"/>
        <v>0</v>
      </c>
    </row>
    <row r="251" spans="1:22" x14ac:dyDescent="0.2">
      <c r="A251" t="s">
        <v>451</v>
      </c>
      <c r="B251" t="s">
        <v>10</v>
      </c>
      <c r="C251" t="s">
        <v>76</v>
      </c>
      <c r="D251" t="s">
        <v>77</v>
      </c>
      <c r="E251">
        <v>20</v>
      </c>
      <c r="F251" t="s">
        <v>104</v>
      </c>
      <c r="G251">
        <v>94</v>
      </c>
      <c r="H251">
        <v>17563369</v>
      </c>
      <c r="I251">
        <v>1366574</v>
      </c>
      <c r="J251">
        <v>27</v>
      </c>
      <c r="K251">
        <v>53</v>
      </c>
      <c r="L251">
        <v>-16196795</v>
      </c>
      <c r="M251" s="1" t="s">
        <v>534</v>
      </c>
      <c r="N251">
        <v>7.2191131267537303E-2</v>
      </c>
      <c r="O251">
        <v>1.5240670259625299E-3</v>
      </c>
      <c r="P251">
        <v>0</v>
      </c>
      <c r="Q251">
        <v>0</v>
      </c>
      <c r="R251">
        <v>0</v>
      </c>
      <c r="S251">
        <v>0</v>
      </c>
      <c r="T251">
        <v>483.10993400000001</v>
      </c>
      <c r="U251">
        <f t="shared" si="6"/>
        <v>0</v>
      </c>
      <c r="V251">
        <f t="shared" si="7"/>
        <v>0</v>
      </c>
    </row>
    <row r="252" spans="1:22" x14ac:dyDescent="0.2">
      <c r="A252" t="s">
        <v>451</v>
      </c>
      <c r="B252" t="s">
        <v>10</v>
      </c>
      <c r="C252" t="s">
        <v>76</v>
      </c>
      <c r="D252" t="s">
        <v>77</v>
      </c>
      <c r="E252" s="1" t="s">
        <v>85</v>
      </c>
      <c r="F252" t="s">
        <v>86</v>
      </c>
      <c r="G252">
        <v>26</v>
      </c>
      <c r="H252">
        <v>3502427</v>
      </c>
      <c r="I252">
        <v>12780</v>
      </c>
      <c r="J252">
        <v>37</v>
      </c>
      <c r="K252">
        <v>52</v>
      </c>
      <c r="L252">
        <v>-3489647</v>
      </c>
      <c r="M252" s="1" t="s">
        <v>535</v>
      </c>
      <c r="N252">
        <v>3.6356322685975502E-3</v>
      </c>
      <c r="O252" s="1" t="s">
        <v>536</v>
      </c>
      <c r="P252">
        <v>0</v>
      </c>
      <c r="Q252">
        <v>0</v>
      </c>
      <c r="R252">
        <v>0</v>
      </c>
      <c r="S252">
        <v>0</v>
      </c>
      <c r="T252">
        <v>483.10993400000001</v>
      </c>
      <c r="U252">
        <f t="shared" si="6"/>
        <v>0</v>
      </c>
      <c r="V252">
        <f t="shared" si="7"/>
        <v>0</v>
      </c>
    </row>
    <row r="253" spans="1:22" x14ac:dyDescent="0.2">
      <c r="A253" t="s">
        <v>451</v>
      </c>
      <c r="B253" t="s">
        <v>10</v>
      </c>
      <c r="C253" t="s">
        <v>76</v>
      </c>
      <c r="D253" t="s">
        <v>77</v>
      </c>
      <c r="E253">
        <v>10</v>
      </c>
      <c r="F253" t="s">
        <v>119</v>
      </c>
      <c r="G253">
        <v>49</v>
      </c>
      <c r="H253">
        <v>6084560</v>
      </c>
      <c r="I253">
        <v>2617706</v>
      </c>
      <c r="J253">
        <v>20</v>
      </c>
      <c r="K253">
        <v>33</v>
      </c>
      <c r="L253">
        <v>-3466854</v>
      </c>
      <c r="M253" s="1" t="s">
        <v>537</v>
      </c>
      <c r="N253" s="1" t="s">
        <v>538</v>
      </c>
      <c r="O253" s="1" t="s">
        <v>539</v>
      </c>
      <c r="P253">
        <v>0</v>
      </c>
      <c r="Q253">
        <v>0</v>
      </c>
      <c r="R253">
        <v>0</v>
      </c>
      <c r="S253">
        <v>0</v>
      </c>
      <c r="T253">
        <v>483.10993400000001</v>
      </c>
      <c r="U253">
        <f t="shared" si="6"/>
        <v>0</v>
      </c>
      <c r="V253">
        <f t="shared" si="7"/>
        <v>0</v>
      </c>
    </row>
    <row r="254" spans="1:22" x14ac:dyDescent="0.2">
      <c r="A254" t="s">
        <v>451</v>
      </c>
      <c r="B254" t="s">
        <v>10</v>
      </c>
      <c r="C254" t="s">
        <v>76</v>
      </c>
      <c r="D254" t="s">
        <v>77</v>
      </c>
      <c r="E254" s="1" t="s">
        <v>82</v>
      </c>
      <c r="F254" t="s">
        <v>83</v>
      </c>
      <c r="G254" s="1" t="s">
        <v>93</v>
      </c>
      <c r="H254">
        <v>19893940</v>
      </c>
      <c r="I254">
        <v>16323424</v>
      </c>
      <c r="J254">
        <v>8</v>
      </c>
      <c r="K254">
        <v>31</v>
      </c>
      <c r="L254">
        <v>-3570516</v>
      </c>
      <c r="M254" s="1" t="s">
        <v>540</v>
      </c>
      <c r="N254" s="1" t="s">
        <v>541</v>
      </c>
      <c r="O254">
        <v>2.9158931033063502E-3</v>
      </c>
      <c r="P254">
        <v>0</v>
      </c>
      <c r="Q254">
        <v>0</v>
      </c>
      <c r="R254">
        <v>1</v>
      </c>
      <c r="S254">
        <v>0</v>
      </c>
      <c r="T254">
        <v>483.10993400000001</v>
      </c>
      <c r="U254">
        <f t="shared" si="6"/>
        <v>0</v>
      </c>
      <c r="V254">
        <f t="shared" si="7"/>
        <v>1</v>
      </c>
    </row>
    <row r="255" spans="1:22" x14ac:dyDescent="0.2">
      <c r="A255" t="s">
        <v>451</v>
      </c>
      <c r="B255" t="s">
        <v>10</v>
      </c>
      <c r="C255" t="s">
        <v>76</v>
      </c>
      <c r="D255" t="s">
        <v>77</v>
      </c>
      <c r="E255">
        <v>12</v>
      </c>
      <c r="F255" t="s">
        <v>194</v>
      </c>
      <c r="G255">
        <v>64</v>
      </c>
      <c r="H255">
        <v>1658564</v>
      </c>
      <c r="I255">
        <v>519487</v>
      </c>
      <c r="J255">
        <v>19</v>
      </c>
      <c r="K255">
        <v>55</v>
      </c>
      <c r="L255">
        <v>-1139077</v>
      </c>
      <c r="M255" s="1" t="s">
        <v>542</v>
      </c>
      <c r="N255" s="1" t="s">
        <v>543</v>
      </c>
      <c r="O255" s="1" t="s">
        <v>544</v>
      </c>
      <c r="P255">
        <v>0</v>
      </c>
      <c r="Q255">
        <v>0</v>
      </c>
      <c r="R255">
        <v>0</v>
      </c>
      <c r="S255">
        <v>0</v>
      </c>
      <c r="T255">
        <v>483.10993400000001</v>
      </c>
      <c r="U255">
        <f t="shared" si="6"/>
        <v>0</v>
      </c>
      <c r="V255">
        <f t="shared" si="7"/>
        <v>0</v>
      </c>
    </row>
    <row r="256" spans="1:22" x14ac:dyDescent="0.2">
      <c r="A256" t="s">
        <v>451</v>
      </c>
      <c r="B256" t="s">
        <v>10</v>
      </c>
      <c r="C256" t="s">
        <v>76</v>
      </c>
      <c r="D256" t="s">
        <v>77</v>
      </c>
      <c r="E256" s="1" t="s">
        <v>89</v>
      </c>
      <c r="F256" t="s">
        <v>90</v>
      </c>
      <c r="G256">
        <v>35</v>
      </c>
      <c r="H256">
        <v>2743387</v>
      </c>
      <c r="I256">
        <v>4859</v>
      </c>
      <c r="J256">
        <v>7</v>
      </c>
      <c r="K256">
        <v>64</v>
      </c>
      <c r="L256">
        <v>-2738528</v>
      </c>
      <c r="M256" s="1" t="s">
        <v>545</v>
      </c>
      <c r="N256">
        <v>1.7680367769115201E-3</v>
      </c>
      <c r="O256" s="1" t="s">
        <v>546</v>
      </c>
      <c r="P256">
        <v>0</v>
      </c>
      <c r="Q256">
        <v>0</v>
      </c>
      <c r="R256">
        <v>1</v>
      </c>
      <c r="S256">
        <v>0</v>
      </c>
      <c r="T256">
        <v>483.10993400000001</v>
      </c>
      <c r="U256">
        <f t="shared" si="6"/>
        <v>0</v>
      </c>
      <c r="V256">
        <f t="shared" si="7"/>
        <v>1</v>
      </c>
    </row>
    <row r="257" spans="1:22" x14ac:dyDescent="0.2">
      <c r="A257" t="s">
        <v>451</v>
      </c>
      <c r="B257" t="s">
        <v>10</v>
      </c>
      <c r="C257" t="s">
        <v>76</v>
      </c>
      <c r="D257" t="s">
        <v>77</v>
      </c>
      <c r="E257" s="1" t="s">
        <v>155</v>
      </c>
      <c r="F257" t="s">
        <v>156</v>
      </c>
      <c r="G257" s="1" t="s">
        <v>110</v>
      </c>
      <c r="H257">
        <v>17641197</v>
      </c>
      <c r="I257">
        <v>2942043</v>
      </c>
      <c r="J257">
        <v>30</v>
      </c>
      <c r="K257">
        <v>32</v>
      </c>
      <c r="L257">
        <v>-14699154</v>
      </c>
      <c r="M257" s="1" t="s">
        <v>547</v>
      </c>
      <c r="N257" s="1" t="s">
        <v>548</v>
      </c>
      <c r="O257">
        <v>1.65717547968702E-3</v>
      </c>
      <c r="P257">
        <v>0</v>
      </c>
      <c r="Q257">
        <v>0</v>
      </c>
      <c r="R257">
        <v>0</v>
      </c>
      <c r="S257">
        <v>0</v>
      </c>
      <c r="T257">
        <v>483.10993400000001</v>
      </c>
      <c r="U257">
        <f t="shared" si="6"/>
        <v>0</v>
      </c>
      <c r="V257">
        <f t="shared" si="7"/>
        <v>0</v>
      </c>
    </row>
    <row r="258" spans="1:22" x14ac:dyDescent="0.2">
      <c r="A258" t="s">
        <v>451</v>
      </c>
      <c r="B258" t="s">
        <v>10</v>
      </c>
      <c r="C258" t="s">
        <v>76</v>
      </c>
      <c r="D258" t="s">
        <v>77</v>
      </c>
      <c r="E258">
        <v>15</v>
      </c>
      <c r="F258" t="s">
        <v>88</v>
      </c>
      <c r="G258">
        <v>78</v>
      </c>
      <c r="H258">
        <v>882773</v>
      </c>
      <c r="I258">
        <v>0</v>
      </c>
      <c r="J258">
        <v>35</v>
      </c>
      <c r="K258">
        <v>44</v>
      </c>
      <c r="L258">
        <v>-882773</v>
      </c>
      <c r="M258">
        <v>1</v>
      </c>
      <c r="N258">
        <v>0</v>
      </c>
      <c r="O258" s="1" t="s">
        <v>549</v>
      </c>
      <c r="P258">
        <v>0</v>
      </c>
      <c r="Q258">
        <v>0</v>
      </c>
      <c r="R258">
        <v>0</v>
      </c>
      <c r="S258">
        <v>0</v>
      </c>
      <c r="T258">
        <v>483.10993400000001</v>
      </c>
      <c r="U258">
        <f t="shared" si="6"/>
        <v>0</v>
      </c>
      <c r="V258">
        <f t="shared" si="7"/>
        <v>0</v>
      </c>
    </row>
    <row r="259" spans="1:22" x14ac:dyDescent="0.2">
      <c r="A259" t="s">
        <v>451</v>
      </c>
      <c r="B259" t="s">
        <v>10</v>
      </c>
      <c r="C259" t="s">
        <v>76</v>
      </c>
      <c r="D259" t="s">
        <v>77</v>
      </c>
      <c r="E259">
        <v>11</v>
      </c>
      <c r="F259" t="s">
        <v>127</v>
      </c>
      <c r="G259">
        <v>59</v>
      </c>
      <c r="H259">
        <v>2838202</v>
      </c>
      <c r="I259">
        <v>318</v>
      </c>
      <c r="J259">
        <v>9</v>
      </c>
      <c r="K259">
        <v>63</v>
      </c>
      <c r="L259">
        <v>-2837884</v>
      </c>
      <c r="M259" s="1" t="s">
        <v>550</v>
      </c>
      <c r="N259" s="1" t="s">
        <v>551</v>
      </c>
      <c r="O259" s="1" t="s">
        <v>552</v>
      </c>
      <c r="P259">
        <v>0</v>
      </c>
      <c r="Q259">
        <v>0</v>
      </c>
      <c r="R259">
        <v>1</v>
      </c>
      <c r="S259">
        <v>0</v>
      </c>
      <c r="T259">
        <v>483.10993400000001</v>
      </c>
      <c r="U259">
        <f t="shared" ref="U259:U322" si="8">IF(OR(P259=1,Q259=1),1,0)</f>
        <v>0</v>
      </c>
      <c r="V259">
        <f t="shared" ref="V259:V322" si="9">IF(OR(R259=1,S259=1),1,0)</f>
        <v>1</v>
      </c>
    </row>
    <row r="260" spans="1:22" x14ac:dyDescent="0.2">
      <c r="A260" t="s">
        <v>451</v>
      </c>
      <c r="B260" t="s">
        <v>10</v>
      </c>
      <c r="C260" t="s">
        <v>76</v>
      </c>
      <c r="D260" t="s">
        <v>77</v>
      </c>
      <c r="E260">
        <v>11</v>
      </c>
      <c r="F260" t="s">
        <v>127</v>
      </c>
      <c r="G260">
        <v>63</v>
      </c>
      <c r="H260">
        <v>3927209</v>
      </c>
      <c r="I260">
        <v>50952364</v>
      </c>
      <c r="J260">
        <v>17</v>
      </c>
      <c r="K260">
        <v>13</v>
      </c>
      <c r="L260">
        <v>47025155</v>
      </c>
      <c r="M260">
        <v>7.1560487542423099E-2</v>
      </c>
      <c r="N260" s="1" t="s">
        <v>553</v>
      </c>
      <c r="O260">
        <v>4.4184046200352297E-3</v>
      </c>
      <c r="P260">
        <v>0</v>
      </c>
      <c r="Q260">
        <v>0</v>
      </c>
      <c r="R260">
        <v>0</v>
      </c>
      <c r="S260">
        <v>0</v>
      </c>
      <c r="T260">
        <v>483.10993400000001</v>
      </c>
      <c r="U260">
        <f t="shared" si="8"/>
        <v>0</v>
      </c>
      <c r="V260">
        <f t="shared" si="9"/>
        <v>0</v>
      </c>
    </row>
    <row r="261" spans="1:22" x14ac:dyDescent="0.2">
      <c r="A261" t="s">
        <v>451</v>
      </c>
      <c r="B261" t="s">
        <v>10</v>
      </c>
      <c r="C261" t="s">
        <v>76</v>
      </c>
      <c r="D261" t="s">
        <v>77</v>
      </c>
      <c r="E261">
        <v>11</v>
      </c>
      <c r="F261" t="s">
        <v>127</v>
      </c>
      <c r="G261">
        <v>62</v>
      </c>
      <c r="H261">
        <v>3489320</v>
      </c>
      <c r="I261">
        <v>355540</v>
      </c>
      <c r="J261">
        <v>25</v>
      </c>
      <c r="K261">
        <v>63</v>
      </c>
      <c r="L261">
        <v>-3133780</v>
      </c>
      <c r="M261" s="1" t="s">
        <v>554</v>
      </c>
      <c r="N261">
        <v>9.2471507415094398E-2</v>
      </c>
      <c r="O261" s="1" t="s">
        <v>555</v>
      </c>
      <c r="P261">
        <v>0</v>
      </c>
      <c r="Q261">
        <v>0</v>
      </c>
      <c r="R261">
        <v>0</v>
      </c>
      <c r="S261">
        <v>0</v>
      </c>
      <c r="T261">
        <v>483.10993400000001</v>
      </c>
      <c r="U261">
        <f t="shared" si="8"/>
        <v>0</v>
      </c>
      <c r="V261">
        <f t="shared" si="9"/>
        <v>0</v>
      </c>
    </row>
    <row r="262" spans="1:22" x14ac:dyDescent="0.2">
      <c r="A262" t="s">
        <v>451</v>
      </c>
      <c r="B262" t="s">
        <v>10</v>
      </c>
      <c r="C262" t="s">
        <v>76</v>
      </c>
      <c r="D262" t="s">
        <v>77</v>
      </c>
      <c r="E262" s="1" t="s">
        <v>82</v>
      </c>
      <c r="F262" t="s">
        <v>83</v>
      </c>
      <c r="G262" s="1" t="s">
        <v>163</v>
      </c>
      <c r="H262">
        <v>1537881</v>
      </c>
      <c r="I262">
        <v>1178190034</v>
      </c>
      <c r="J262">
        <v>22</v>
      </c>
      <c r="K262">
        <v>4</v>
      </c>
      <c r="L262">
        <v>1176652153</v>
      </c>
      <c r="M262">
        <v>1.3035895653956699E-3</v>
      </c>
      <c r="N262" s="1" t="s">
        <v>556</v>
      </c>
      <c r="O262">
        <v>9.4980973522161602E-2</v>
      </c>
      <c r="P262">
        <v>0</v>
      </c>
      <c r="Q262">
        <v>1</v>
      </c>
      <c r="R262">
        <v>0</v>
      </c>
      <c r="S262">
        <v>1</v>
      </c>
      <c r="T262">
        <v>483.10993400000001</v>
      </c>
      <c r="U262">
        <f t="shared" si="8"/>
        <v>1</v>
      </c>
      <c r="V262">
        <f t="shared" si="9"/>
        <v>1</v>
      </c>
    </row>
    <row r="263" spans="1:22" x14ac:dyDescent="0.2">
      <c r="A263" t="s">
        <v>451</v>
      </c>
      <c r="B263" t="s">
        <v>10</v>
      </c>
      <c r="C263" t="s">
        <v>76</v>
      </c>
      <c r="D263" t="s">
        <v>77</v>
      </c>
      <c r="E263">
        <v>11</v>
      </c>
      <c r="F263" t="s">
        <v>127</v>
      </c>
      <c r="G263">
        <v>56</v>
      </c>
      <c r="H263">
        <v>5052502</v>
      </c>
      <c r="I263">
        <v>13499</v>
      </c>
      <c r="J263">
        <v>21</v>
      </c>
      <c r="K263">
        <v>66</v>
      </c>
      <c r="L263">
        <v>-5039003</v>
      </c>
      <c r="M263">
        <v>0.99733537360138702</v>
      </c>
      <c r="N263">
        <v>2.66462639861302E-3</v>
      </c>
      <c r="O263" s="1" t="s">
        <v>557</v>
      </c>
      <c r="P263">
        <v>0</v>
      </c>
      <c r="Q263">
        <v>0</v>
      </c>
      <c r="R263">
        <v>0</v>
      </c>
      <c r="S263">
        <v>0</v>
      </c>
      <c r="T263">
        <v>483.10993400000001</v>
      </c>
      <c r="U263">
        <f t="shared" si="8"/>
        <v>0</v>
      </c>
      <c r="V263">
        <f t="shared" si="9"/>
        <v>0</v>
      </c>
    </row>
    <row r="264" spans="1:22" x14ac:dyDescent="0.2">
      <c r="A264" t="s">
        <v>451</v>
      </c>
      <c r="B264" t="s">
        <v>10</v>
      </c>
      <c r="C264" t="s">
        <v>76</v>
      </c>
      <c r="D264" t="s">
        <v>77</v>
      </c>
      <c r="E264" s="1" t="s">
        <v>155</v>
      </c>
      <c r="F264" t="s">
        <v>156</v>
      </c>
      <c r="G264" s="1" t="s">
        <v>82</v>
      </c>
      <c r="H264">
        <v>26197586</v>
      </c>
      <c r="I264">
        <v>55357</v>
      </c>
      <c r="J264">
        <v>10</v>
      </c>
      <c r="K264">
        <v>37</v>
      </c>
      <c r="L264">
        <v>-26142229</v>
      </c>
      <c r="M264" s="1" t="s">
        <v>558</v>
      </c>
      <c r="N264">
        <v>2.1086016908656601E-3</v>
      </c>
      <c r="O264">
        <v>2.1136484542385501E-3</v>
      </c>
      <c r="P264">
        <v>0</v>
      </c>
      <c r="Q264">
        <v>0</v>
      </c>
      <c r="R264">
        <v>1</v>
      </c>
      <c r="S264">
        <v>0</v>
      </c>
      <c r="T264">
        <v>483.10993400000001</v>
      </c>
      <c r="U264">
        <f t="shared" si="8"/>
        <v>0</v>
      </c>
      <c r="V264">
        <f t="shared" si="9"/>
        <v>1</v>
      </c>
    </row>
    <row r="265" spans="1:22" x14ac:dyDescent="0.2">
      <c r="A265" t="s">
        <v>451</v>
      </c>
      <c r="B265" t="s">
        <v>10</v>
      </c>
      <c r="C265" t="s">
        <v>76</v>
      </c>
      <c r="D265" t="s">
        <v>77</v>
      </c>
      <c r="E265">
        <v>20</v>
      </c>
      <c r="F265" t="s">
        <v>104</v>
      </c>
      <c r="G265">
        <v>95</v>
      </c>
      <c r="H265">
        <v>3725104</v>
      </c>
      <c r="I265">
        <v>19870</v>
      </c>
      <c r="J265">
        <v>17</v>
      </c>
      <c r="K265">
        <v>70</v>
      </c>
      <c r="L265">
        <v>-3705234</v>
      </c>
      <c r="M265" s="1" t="s">
        <v>559</v>
      </c>
      <c r="N265">
        <v>5.3057778238246702E-3</v>
      </c>
      <c r="O265" s="1" t="s">
        <v>560</v>
      </c>
      <c r="P265">
        <v>0</v>
      </c>
      <c r="Q265">
        <v>0</v>
      </c>
      <c r="R265">
        <v>0</v>
      </c>
      <c r="S265">
        <v>0</v>
      </c>
      <c r="T265">
        <v>483.10993400000001</v>
      </c>
      <c r="U265">
        <f t="shared" si="8"/>
        <v>0</v>
      </c>
      <c r="V265">
        <f t="shared" si="9"/>
        <v>0</v>
      </c>
    </row>
    <row r="266" spans="1:22" x14ac:dyDescent="0.2">
      <c r="A266" t="s">
        <v>451</v>
      </c>
      <c r="B266" t="s">
        <v>10</v>
      </c>
      <c r="C266" t="s">
        <v>76</v>
      </c>
      <c r="D266" t="s">
        <v>77</v>
      </c>
      <c r="E266">
        <v>11</v>
      </c>
      <c r="F266" t="s">
        <v>127</v>
      </c>
      <c r="G266">
        <v>52</v>
      </c>
      <c r="H266">
        <v>2320219</v>
      </c>
      <c r="I266">
        <v>64677991</v>
      </c>
      <c r="J266">
        <v>12</v>
      </c>
      <c r="K266">
        <v>7</v>
      </c>
      <c r="L266">
        <v>62357772</v>
      </c>
      <c r="M266">
        <v>3.4631059546217702E-2</v>
      </c>
      <c r="N266" s="1" t="s">
        <v>561</v>
      </c>
      <c r="O266">
        <v>5.3940871697032104E-3</v>
      </c>
      <c r="P266">
        <v>0</v>
      </c>
      <c r="Q266">
        <v>0</v>
      </c>
      <c r="R266">
        <v>0</v>
      </c>
      <c r="S266">
        <v>1</v>
      </c>
      <c r="T266">
        <v>483.10993400000001</v>
      </c>
      <c r="U266">
        <f t="shared" si="8"/>
        <v>0</v>
      </c>
      <c r="V266">
        <f t="shared" si="9"/>
        <v>1</v>
      </c>
    </row>
    <row r="267" spans="1:22" x14ac:dyDescent="0.2">
      <c r="A267" t="s">
        <v>451</v>
      </c>
      <c r="B267" t="s">
        <v>10</v>
      </c>
      <c r="C267" t="s">
        <v>76</v>
      </c>
      <c r="D267" t="s">
        <v>77</v>
      </c>
      <c r="E267">
        <v>10</v>
      </c>
      <c r="F267" t="s">
        <v>119</v>
      </c>
      <c r="G267">
        <v>47</v>
      </c>
      <c r="H267">
        <v>185015</v>
      </c>
      <c r="I267">
        <v>0</v>
      </c>
      <c r="J267">
        <v>63</v>
      </c>
      <c r="K267">
        <v>37</v>
      </c>
      <c r="L267">
        <v>-185015</v>
      </c>
      <c r="M267">
        <v>1</v>
      </c>
      <c r="N267">
        <v>0</v>
      </c>
      <c r="O267" s="1" t="s">
        <v>562</v>
      </c>
      <c r="P267">
        <v>0</v>
      </c>
      <c r="Q267">
        <v>0</v>
      </c>
      <c r="R267">
        <v>0</v>
      </c>
      <c r="S267">
        <v>0</v>
      </c>
      <c r="T267">
        <v>483.10993400000001</v>
      </c>
      <c r="U267">
        <f t="shared" si="8"/>
        <v>0</v>
      </c>
      <c r="V267">
        <f t="shared" si="9"/>
        <v>0</v>
      </c>
    </row>
    <row r="268" spans="1:22" x14ac:dyDescent="0.2">
      <c r="A268" t="s">
        <v>451</v>
      </c>
      <c r="B268" t="s">
        <v>10</v>
      </c>
      <c r="C268" t="s">
        <v>76</v>
      </c>
      <c r="D268" t="s">
        <v>77</v>
      </c>
      <c r="E268" s="1" t="s">
        <v>163</v>
      </c>
      <c r="F268" t="s">
        <v>224</v>
      </c>
      <c r="G268">
        <v>41</v>
      </c>
      <c r="H268">
        <v>187829</v>
      </c>
      <c r="I268">
        <v>310817</v>
      </c>
      <c r="J268">
        <v>33</v>
      </c>
      <c r="K268">
        <v>36</v>
      </c>
      <c r="L268">
        <v>122988</v>
      </c>
      <c r="M268" s="1" t="s">
        <v>563</v>
      </c>
      <c r="N268" s="1" t="s">
        <v>564</v>
      </c>
      <c r="O268" s="1" t="s">
        <v>565</v>
      </c>
      <c r="P268">
        <v>0</v>
      </c>
      <c r="Q268">
        <v>0</v>
      </c>
      <c r="R268">
        <v>0</v>
      </c>
      <c r="S268">
        <v>0</v>
      </c>
      <c r="T268">
        <v>483.10993400000001</v>
      </c>
      <c r="U268">
        <f t="shared" si="8"/>
        <v>0</v>
      </c>
      <c r="V268">
        <f t="shared" si="9"/>
        <v>0</v>
      </c>
    </row>
    <row r="269" spans="1:22" x14ac:dyDescent="0.2">
      <c r="A269" t="s">
        <v>451</v>
      </c>
      <c r="B269" t="s">
        <v>10</v>
      </c>
      <c r="C269" t="s">
        <v>76</v>
      </c>
      <c r="D269" t="s">
        <v>77</v>
      </c>
      <c r="E269">
        <v>11</v>
      </c>
      <c r="F269" t="s">
        <v>127</v>
      </c>
      <c r="G269">
        <v>57</v>
      </c>
      <c r="H269">
        <v>199828</v>
      </c>
      <c r="I269">
        <v>30903</v>
      </c>
      <c r="J269">
        <v>16</v>
      </c>
      <c r="K269">
        <v>56</v>
      </c>
      <c r="L269">
        <v>-168925</v>
      </c>
      <c r="M269" s="1" t="s">
        <v>566</v>
      </c>
      <c r="N269" s="1" t="s">
        <v>567</v>
      </c>
      <c r="O269" s="1" t="s">
        <v>568</v>
      </c>
      <c r="P269">
        <v>0</v>
      </c>
      <c r="Q269">
        <v>0</v>
      </c>
      <c r="R269">
        <v>0</v>
      </c>
      <c r="S269">
        <v>0</v>
      </c>
      <c r="T269">
        <v>483.10993400000001</v>
      </c>
      <c r="U269">
        <f t="shared" si="8"/>
        <v>0</v>
      </c>
      <c r="V269">
        <f t="shared" si="9"/>
        <v>0</v>
      </c>
    </row>
    <row r="270" spans="1:22" x14ac:dyDescent="0.2">
      <c r="A270" t="s">
        <v>451</v>
      </c>
      <c r="B270" t="s">
        <v>10</v>
      </c>
      <c r="C270" t="s">
        <v>76</v>
      </c>
      <c r="D270" t="s">
        <v>77</v>
      </c>
      <c r="E270">
        <v>11</v>
      </c>
      <c r="F270" t="s">
        <v>127</v>
      </c>
      <c r="G270">
        <v>53</v>
      </c>
      <c r="H270">
        <v>318339</v>
      </c>
      <c r="I270">
        <v>0</v>
      </c>
      <c r="J270">
        <v>23</v>
      </c>
      <c r="K270">
        <v>49</v>
      </c>
      <c r="L270">
        <v>-318339</v>
      </c>
      <c r="M270">
        <v>1</v>
      </c>
      <c r="N270">
        <v>0</v>
      </c>
      <c r="O270" s="1" t="s">
        <v>569</v>
      </c>
      <c r="P270">
        <v>0</v>
      </c>
      <c r="Q270">
        <v>0</v>
      </c>
      <c r="R270">
        <v>0</v>
      </c>
      <c r="S270">
        <v>0</v>
      </c>
      <c r="T270">
        <v>483.10993400000001</v>
      </c>
      <c r="U270">
        <f t="shared" si="8"/>
        <v>0</v>
      </c>
      <c r="V270">
        <f t="shared" si="9"/>
        <v>0</v>
      </c>
    </row>
    <row r="271" spans="1:22" x14ac:dyDescent="0.2">
      <c r="A271" t="s">
        <v>451</v>
      </c>
      <c r="B271" t="s">
        <v>10</v>
      </c>
      <c r="C271" t="s">
        <v>76</v>
      </c>
      <c r="D271" t="s">
        <v>77</v>
      </c>
      <c r="E271">
        <v>14</v>
      </c>
      <c r="F271" t="s">
        <v>261</v>
      </c>
      <c r="G271">
        <v>71</v>
      </c>
      <c r="H271">
        <v>312008</v>
      </c>
      <c r="I271">
        <v>3994</v>
      </c>
      <c r="J271">
        <v>55</v>
      </c>
      <c r="K271">
        <v>72</v>
      </c>
      <c r="L271">
        <v>-308014</v>
      </c>
      <c r="M271" s="1" t="s">
        <v>570</v>
      </c>
      <c r="N271" s="1" t="s">
        <v>571</v>
      </c>
      <c r="O271" s="1" t="s">
        <v>572</v>
      </c>
      <c r="P271">
        <v>0</v>
      </c>
      <c r="Q271">
        <v>0</v>
      </c>
      <c r="R271">
        <v>0</v>
      </c>
      <c r="S271">
        <v>0</v>
      </c>
      <c r="T271">
        <v>483.10993400000001</v>
      </c>
      <c r="U271">
        <f t="shared" si="8"/>
        <v>0</v>
      </c>
      <c r="V271">
        <f t="shared" si="9"/>
        <v>0</v>
      </c>
    </row>
    <row r="272" spans="1:22" x14ac:dyDescent="0.2">
      <c r="A272" t="s">
        <v>451</v>
      </c>
      <c r="B272" t="s">
        <v>10</v>
      </c>
      <c r="C272" t="s">
        <v>76</v>
      </c>
      <c r="D272" t="s">
        <v>77</v>
      </c>
      <c r="E272">
        <v>15</v>
      </c>
      <c r="F272" t="s">
        <v>88</v>
      </c>
      <c r="G272">
        <v>79</v>
      </c>
      <c r="H272">
        <v>83219</v>
      </c>
      <c r="I272">
        <v>0</v>
      </c>
      <c r="J272">
        <v>47</v>
      </c>
      <c r="K272">
        <v>54</v>
      </c>
      <c r="L272">
        <v>-83219</v>
      </c>
      <c r="M272">
        <v>1</v>
      </c>
      <c r="N272">
        <v>0</v>
      </c>
      <c r="O272" s="1" t="s">
        <v>573</v>
      </c>
      <c r="P272">
        <v>0</v>
      </c>
      <c r="Q272">
        <v>0</v>
      </c>
      <c r="R272">
        <v>0</v>
      </c>
      <c r="S272">
        <v>0</v>
      </c>
      <c r="T272">
        <v>483.10993400000001</v>
      </c>
      <c r="U272">
        <f t="shared" si="8"/>
        <v>0</v>
      </c>
      <c r="V272">
        <f t="shared" si="9"/>
        <v>0</v>
      </c>
    </row>
    <row r="273" spans="1:22" x14ac:dyDescent="0.2">
      <c r="A273" t="s">
        <v>451</v>
      </c>
      <c r="B273" t="s">
        <v>10</v>
      </c>
      <c r="C273" t="s">
        <v>76</v>
      </c>
      <c r="D273" t="s">
        <v>77</v>
      </c>
      <c r="E273">
        <v>15</v>
      </c>
      <c r="F273" t="s">
        <v>88</v>
      </c>
      <c r="G273">
        <v>75</v>
      </c>
      <c r="H273">
        <v>1655301</v>
      </c>
      <c r="I273">
        <v>55062</v>
      </c>
      <c r="J273">
        <v>41</v>
      </c>
      <c r="K273">
        <v>35</v>
      </c>
      <c r="L273">
        <v>-1600239</v>
      </c>
      <c r="M273" s="1" t="s">
        <v>574</v>
      </c>
      <c r="N273">
        <v>3.2193166012127197E-2</v>
      </c>
      <c r="O273" s="1" t="s">
        <v>575</v>
      </c>
      <c r="P273">
        <v>0</v>
      </c>
      <c r="Q273">
        <v>0</v>
      </c>
      <c r="R273">
        <v>0</v>
      </c>
      <c r="S273">
        <v>0</v>
      </c>
      <c r="T273">
        <v>483.10993400000001</v>
      </c>
      <c r="U273">
        <f t="shared" si="8"/>
        <v>0</v>
      </c>
      <c r="V273">
        <f t="shared" si="9"/>
        <v>0</v>
      </c>
    </row>
    <row r="274" spans="1:22" x14ac:dyDescent="0.2">
      <c r="A274" t="s">
        <v>451</v>
      </c>
      <c r="B274" t="s">
        <v>10</v>
      </c>
      <c r="C274" t="s">
        <v>76</v>
      </c>
      <c r="D274" t="s">
        <v>77</v>
      </c>
      <c r="E274">
        <v>12</v>
      </c>
      <c r="F274" t="s">
        <v>194</v>
      </c>
      <c r="G274">
        <v>65</v>
      </c>
      <c r="H274">
        <v>530037</v>
      </c>
      <c r="I274">
        <v>1969</v>
      </c>
      <c r="J274">
        <v>7</v>
      </c>
      <c r="K274">
        <v>68</v>
      </c>
      <c r="L274">
        <v>-528068</v>
      </c>
      <c r="M274" s="1" t="s">
        <v>576</v>
      </c>
      <c r="N274">
        <v>3.7010860779765598E-3</v>
      </c>
      <c r="O274" s="1" t="s">
        <v>577</v>
      </c>
      <c r="P274">
        <v>0</v>
      </c>
      <c r="Q274">
        <v>0</v>
      </c>
      <c r="R274">
        <v>1</v>
      </c>
      <c r="S274">
        <v>0</v>
      </c>
      <c r="T274">
        <v>483.10993400000001</v>
      </c>
      <c r="U274">
        <f t="shared" si="8"/>
        <v>0</v>
      </c>
      <c r="V274">
        <f t="shared" si="9"/>
        <v>1</v>
      </c>
    </row>
    <row r="275" spans="1:22" x14ac:dyDescent="0.2">
      <c r="A275" t="s">
        <v>451</v>
      </c>
      <c r="B275" t="s">
        <v>10</v>
      </c>
      <c r="C275" t="s">
        <v>76</v>
      </c>
      <c r="D275" t="s">
        <v>77</v>
      </c>
      <c r="E275" s="1" t="s">
        <v>155</v>
      </c>
      <c r="F275" t="s">
        <v>156</v>
      </c>
      <c r="G275" s="1" t="s">
        <v>85</v>
      </c>
      <c r="H275">
        <v>827571</v>
      </c>
      <c r="I275">
        <v>58261</v>
      </c>
      <c r="J275">
        <v>24</v>
      </c>
      <c r="K275">
        <v>44</v>
      </c>
      <c r="L275">
        <v>-769310</v>
      </c>
      <c r="M275">
        <v>0.93423019263246299</v>
      </c>
      <c r="N275">
        <v>6.5769807367536903E-2</v>
      </c>
      <c r="O275" s="1" t="s">
        <v>578</v>
      </c>
      <c r="P275">
        <v>0</v>
      </c>
      <c r="Q275">
        <v>0</v>
      </c>
      <c r="R275">
        <v>0</v>
      </c>
      <c r="S275">
        <v>0</v>
      </c>
      <c r="T275">
        <v>483.10993400000001</v>
      </c>
      <c r="U275">
        <f t="shared" si="8"/>
        <v>0</v>
      </c>
      <c r="V275">
        <f t="shared" si="9"/>
        <v>0</v>
      </c>
    </row>
    <row r="276" spans="1:22" x14ac:dyDescent="0.2">
      <c r="A276" t="s">
        <v>451</v>
      </c>
      <c r="B276" t="s">
        <v>10</v>
      </c>
      <c r="C276" t="s">
        <v>76</v>
      </c>
      <c r="D276" t="s">
        <v>77</v>
      </c>
      <c r="E276" s="1" t="s">
        <v>82</v>
      </c>
      <c r="F276" t="s">
        <v>83</v>
      </c>
      <c r="G276">
        <v>13</v>
      </c>
      <c r="H276">
        <v>157081</v>
      </c>
      <c r="I276">
        <v>0</v>
      </c>
      <c r="J276">
        <v>16</v>
      </c>
      <c r="K276">
        <v>59</v>
      </c>
      <c r="L276">
        <v>-157081</v>
      </c>
      <c r="M276">
        <v>1</v>
      </c>
      <c r="N276">
        <v>0</v>
      </c>
      <c r="O276" s="1" t="s">
        <v>579</v>
      </c>
      <c r="P276">
        <v>0</v>
      </c>
      <c r="Q276">
        <v>0</v>
      </c>
      <c r="R276">
        <v>0</v>
      </c>
      <c r="S276">
        <v>0</v>
      </c>
      <c r="T276">
        <v>483.10993400000001</v>
      </c>
      <c r="U276">
        <f t="shared" si="8"/>
        <v>0</v>
      </c>
      <c r="V276">
        <f t="shared" si="9"/>
        <v>0</v>
      </c>
    </row>
    <row r="277" spans="1:22" x14ac:dyDescent="0.2">
      <c r="A277" t="s">
        <v>451</v>
      </c>
      <c r="B277" t="s">
        <v>10</v>
      </c>
      <c r="C277" t="s">
        <v>76</v>
      </c>
      <c r="D277" t="s">
        <v>77</v>
      </c>
      <c r="E277">
        <v>15</v>
      </c>
      <c r="F277" t="s">
        <v>88</v>
      </c>
      <c r="G277">
        <v>80</v>
      </c>
      <c r="H277">
        <v>35404</v>
      </c>
      <c r="I277">
        <v>0</v>
      </c>
      <c r="J277">
        <v>31</v>
      </c>
      <c r="K277">
        <v>42</v>
      </c>
      <c r="L277">
        <v>-35404</v>
      </c>
      <c r="M277">
        <v>1</v>
      </c>
      <c r="N277">
        <v>0</v>
      </c>
      <c r="O277" s="1" t="s">
        <v>580</v>
      </c>
      <c r="P277">
        <v>0</v>
      </c>
      <c r="Q277">
        <v>0</v>
      </c>
      <c r="R277">
        <v>0</v>
      </c>
      <c r="S277">
        <v>0</v>
      </c>
      <c r="T277">
        <v>483.10993400000001</v>
      </c>
      <c r="U277">
        <f t="shared" si="8"/>
        <v>0</v>
      </c>
      <c r="V277">
        <f t="shared" si="9"/>
        <v>0</v>
      </c>
    </row>
    <row r="278" spans="1:22" x14ac:dyDescent="0.2">
      <c r="A278" t="s">
        <v>451</v>
      </c>
      <c r="B278" t="s">
        <v>10</v>
      </c>
      <c r="C278" t="s">
        <v>76</v>
      </c>
      <c r="D278" t="s">
        <v>77</v>
      </c>
      <c r="E278">
        <v>11</v>
      </c>
      <c r="F278" t="s">
        <v>127</v>
      </c>
      <c r="G278">
        <v>61</v>
      </c>
      <c r="H278">
        <v>1710381</v>
      </c>
      <c r="I278">
        <v>520165</v>
      </c>
      <c r="J278">
        <v>23</v>
      </c>
      <c r="K278">
        <v>62</v>
      </c>
      <c r="L278">
        <v>-1190216</v>
      </c>
      <c r="M278" s="1" t="s">
        <v>581</v>
      </c>
      <c r="N278" s="1" t="s">
        <v>582</v>
      </c>
      <c r="O278" s="1" t="s">
        <v>583</v>
      </c>
      <c r="P278">
        <v>0</v>
      </c>
      <c r="Q278">
        <v>0</v>
      </c>
      <c r="R278">
        <v>0</v>
      </c>
      <c r="S278">
        <v>0</v>
      </c>
      <c r="T278">
        <v>483.10993400000001</v>
      </c>
      <c r="U278">
        <f t="shared" si="8"/>
        <v>0</v>
      </c>
      <c r="V278">
        <f t="shared" si="9"/>
        <v>0</v>
      </c>
    </row>
    <row r="279" spans="1:22" x14ac:dyDescent="0.2">
      <c r="A279" t="s">
        <v>451</v>
      </c>
      <c r="B279" t="s">
        <v>10</v>
      </c>
      <c r="C279" t="s">
        <v>76</v>
      </c>
      <c r="D279" t="s">
        <v>77</v>
      </c>
      <c r="E279">
        <v>11</v>
      </c>
      <c r="F279" t="s">
        <v>127</v>
      </c>
      <c r="G279">
        <v>60</v>
      </c>
      <c r="H279">
        <v>340549</v>
      </c>
      <c r="I279">
        <v>16480</v>
      </c>
      <c r="J279">
        <v>8</v>
      </c>
      <c r="K279">
        <v>50</v>
      </c>
      <c r="L279">
        <v>-324069</v>
      </c>
      <c r="M279">
        <v>0.95384128460153095</v>
      </c>
      <c r="N279">
        <v>4.6158715398468997E-2</v>
      </c>
      <c r="O279" s="1" t="s">
        <v>584</v>
      </c>
      <c r="P279">
        <v>0</v>
      </c>
      <c r="Q279">
        <v>0</v>
      </c>
      <c r="R279">
        <v>1</v>
      </c>
      <c r="S279">
        <v>0</v>
      </c>
      <c r="T279">
        <v>483.10993400000001</v>
      </c>
      <c r="U279">
        <f t="shared" si="8"/>
        <v>0</v>
      </c>
      <c r="V279">
        <f t="shared" si="9"/>
        <v>1</v>
      </c>
    </row>
    <row r="280" spans="1:22" x14ac:dyDescent="0.2">
      <c r="A280" t="s">
        <v>451</v>
      </c>
      <c r="B280" t="s">
        <v>10</v>
      </c>
      <c r="C280" t="s">
        <v>76</v>
      </c>
      <c r="D280" t="s">
        <v>77</v>
      </c>
      <c r="E280">
        <v>15</v>
      </c>
      <c r="F280" t="s">
        <v>88</v>
      </c>
      <c r="G280">
        <v>81</v>
      </c>
      <c r="H280">
        <v>516261</v>
      </c>
      <c r="I280">
        <v>6082</v>
      </c>
      <c r="J280">
        <v>51</v>
      </c>
      <c r="K280">
        <v>50</v>
      </c>
      <c r="L280">
        <v>-510179</v>
      </c>
      <c r="M280" s="1" t="s">
        <v>585</v>
      </c>
      <c r="N280" s="1" t="s">
        <v>586</v>
      </c>
      <c r="O280" s="1" t="s">
        <v>587</v>
      </c>
      <c r="P280">
        <v>0</v>
      </c>
      <c r="Q280">
        <v>0</v>
      </c>
      <c r="R280">
        <v>0</v>
      </c>
      <c r="S280">
        <v>0</v>
      </c>
      <c r="T280">
        <v>483.10993400000001</v>
      </c>
      <c r="U280">
        <f t="shared" si="8"/>
        <v>0</v>
      </c>
      <c r="V280">
        <f t="shared" si="9"/>
        <v>0</v>
      </c>
    </row>
    <row r="281" spans="1:22" x14ac:dyDescent="0.2">
      <c r="A281" t="s">
        <v>451</v>
      </c>
      <c r="B281" t="s">
        <v>10</v>
      </c>
      <c r="C281" t="s">
        <v>76</v>
      </c>
      <c r="D281" t="s">
        <v>77</v>
      </c>
      <c r="E281" s="1" t="s">
        <v>82</v>
      </c>
      <c r="F281" t="s">
        <v>83</v>
      </c>
      <c r="G281">
        <v>14</v>
      </c>
      <c r="H281">
        <v>162667</v>
      </c>
      <c r="I281">
        <v>46894</v>
      </c>
      <c r="J281">
        <v>18</v>
      </c>
      <c r="K281">
        <v>19</v>
      </c>
      <c r="L281">
        <v>-115773</v>
      </c>
      <c r="M281" s="1" t="s">
        <v>588</v>
      </c>
      <c r="N281" s="1" t="s">
        <v>589</v>
      </c>
      <c r="O281" s="1" t="s">
        <v>590</v>
      </c>
      <c r="P281">
        <v>0</v>
      </c>
      <c r="Q281">
        <v>0</v>
      </c>
      <c r="R281">
        <v>0</v>
      </c>
      <c r="S281">
        <v>0</v>
      </c>
      <c r="T281">
        <v>483.10993400000001</v>
      </c>
      <c r="U281">
        <f t="shared" si="8"/>
        <v>0</v>
      </c>
      <c r="V281">
        <f t="shared" si="9"/>
        <v>0</v>
      </c>
    </row>
    <row r="282" spans="1:22" x14ac:dyDescent="0.2">
      <c r="A282" t="s">
        <v>451</v>
      </c>
      <c r="B282" t="s">
        <v>10</v>
      </c>
      <c r="C282" t="s">
        <v>76</v>
      </c>
      <c r="D282" t="s">
        <v>77</v>
      </c>
      <c r="E282" s="1" t="s">
        <v>89</v>
      </c>
      <c r="F282" t="s">
        <v>90</v>
      </c>
      <c r="G282">
        <v>37</v>
      </c>
      <c r="H282">
        <v>56178</v>
      </c>
      <c r="I282">
        <v>0</v>
      </c>
      <c r="J282">
        <v>15</v>
      </c>
      <c r="K282">
        <v>50</v>
      </c>
      <c r="L282">
        <v>-56178</v>
      </c>
      <c r="M282">
        <v>1</v>
      </c>
      <c r="N282">
        <v>0</v>
      </c>
      <c r="O282" s="1" t="s">
        <v>591</v>
      </c>
      <c r="P282">
        <v>0</v>
      </c>
      <c r="Q282">
        <v>0</v>
      </c>
      <c r="R282">
        <v>0</v>
      </c>
      <c r="S282">
        <v>0</v>
      </c>
      <c r="T282">
        <v>483.10993400000001</v>
      </c>
      <c r="U282">
        <f t="shared" si="8"/>
        <v>0</v>
      </c>
      <c r="V282">
        <f t="shared" si="9"/>
        <v>0</v>
      </c>
    </row>
    <row r="283" spans="1:22" x14ac:dyDescent="0.2">
      <c r="A283" t="s">
        <v>451</v>
      </c>
      <c r="B283" t="s">
        <v>10</v>
      </c>
      <c r="C283" t="s">
        <v>76</v>
      </c>
      <c r="D283" t="s">
        <v>77</v>
      </c>
      <c r="E283" s="1" t="s">
        <v>163</v>
      </c>
      <c r="F283" t="s">
        <v>224</v>
      </c>
      <c r="G283">
        <v>42</v>
      </c>
      <c r="H283">
        <v>309578</v>
      </c>
      <c r="I283">
        <v>1041</v>
      </c>
      <c r="J283">
        <v>21</v>
      </c>
      <c r="K283">
        <v>79</v>
      </c>
      <c r="L283">
        <v>-308537</v>
      </c>
      <c r="M283" s="1" t="s">
        <v>592</v>
      </c>
      <c r="N283">
        <v>3.3513725818446298E-3</v>
      </c>
      <c r="O283" s="1" t="s">
        <v>593</v>
      </c>
      <c r="P283">
        <v>0</v>
      </c>
      <c r="Q283">
        <v>0</v>
      </c>
      <c r="R283">
        <v>0</v>
      </c>
      <c r="S283">
        <v>0</v>
      </c>
      <c r="T283">
        <v>483.10993400000001</v>
      </c>
      <c r="U283">
        <f t="shared" si="8"/>
        <v>0</v>
      </c>
      <c r="V283">
        <f t="shared" si="9"/>
        <v>0</v>
      </c>
    </row>
    <row r="284" spans="1:22" x14ac:dyDescent="0.2">
      <c r="A284" t="s">
        <v>451</v>
      </c>
      <c r="B284" t="s">
        <v>10</v>
      </c>
      <c r="C284" t="s">
        <v>76</v>
      </c>
      <c r="D284" t="s">
        <v>77</v>
      </c>
      <c r="E284">
        <v>12</v>
      </c>
      <c r="F284" t="s">
        <v>194</v>
      </c>
      <c r="G284">
        <v>66</v>
      </c>
      <c r="H284">
        <v>9753</v>
      </c>
      <c r="I284">
        <v>2</v>
      </c>
      <c r="J284">
        <v>8</v>
      </c>
      <c r="K284">
        <v>56</v>
      </c>
      <c r="L284">
        <v>-9751</v>
      </c>
      <c r="M284" s="1" t="s">
        <v>594</v>
      </c>
      <c r="N284" s="1" t="s">
        <v>595</v>
      </c>
      <c r="O284" s="1" t="s">
        <v>596</v>
      </c>
      <c r="P284">
        <v>0</v>
      </c>
      <c r="Q284">
        <v>0</v>
      </c>
      <c r="R284">
        <v>1</v>
      </c>
      <c r="S284">
        <v>0</v>
      </c>
      <c r="T284">
        <v>483.10993400000001</v>
      </c>
      <c r="U284">
        <f t="shared" si="8"/>
        <v>0</v>
      </c>
      <c r="V284">
        <f t="shared" si="9"/>
        <v>1</v>
      </c>
    </row>
    <row r="285" spans="1:22" x14ac:dyDescent="0.2">
      <c r="A285" t="s">
        <v>451</v>
      </c>
      <c r="B285" t="s">
        <v>10</v>
      </c>
      <c r="C285" t="s">
        <v>76</v>
      </c>
      <c r="D285" t="s">
        <v>77</v>
      </c>
      <c r="E285">
        <v>12</v>
      </c>
      <c r="F285" t="s">
        <v>194</v>
      </c>
      <c r="G285">
        <v>67</v>
      </c>
      <c r="H285">
        <v>20744</v>
      </c>
      <c r="I285">
        <v>0</v>
      </c>
      <c r="J285">
        <v>30</v>
      </c>
      <c r="K285">
        <v>62</v>
      </c>
      <c r="L285">
        <v>-20744</v>
      </c>
      <c r="M285">
        <v>1</v>
      </c>
      <c r="N285">
        <v>0</v>
      </c>
      <c r="O285" s="1" t="s">
        <v>597</v>
      </c>
      <c r="P285">
        <v>0</v>
      </c>
      <c r="Q285">
        <v>0</v>
      </c>
      <c r="R285">
        <v>0</v>
      </c>
      <c r="S285">
        <v>0</v>
      </c>
      <c r="T285">
        <v>483.10993400000001</v>
      </c>
      <c r="U285">
        <f t="shared" si="8"/>
        <v>0</v>
      </c>
      <c r="V285">
        <f t="shared" si="9"/>
        <v>0</v>
      </c>
    </row>
    <row r="286" spans="1:22" x14ac:dyDescent="0.2">
      <c r="A286" t="s">
        <v>451</v>
      </c>
      <c r="B286" t="s">
        <v>10</v>
      </c>
      <c r="C286" t="s">
        <v>76</v>
      </c>
      <c r="D286" t="s">
        <v>77</v>
      </c>
      <c r="E286" s="1" t="s">
        <v>93</v>
      </c>
      <c r="F286" t="s">
        <v>94</v>
      </c>
      <c r="G286">
        <v>46</v>
      </c>
      <c r="H286">
        <v>6157</v>
      </c>
      <c r="I286">
        <v>0</v>
      </c>
      <c r="J286">
        <v>12</v>
      </c>
      <c r="K286">
        <v>58</v>
      </c>
      <c r="L286">
        <v>-6157</v>
      </c>
      <c r="M286">
        <v>1</v>
      </c>
      <c r="N286">
        <v>0</v>
      </c>
      <c r="O286" s="1" t="s">
        <v>598</v>
      </c>
      <c r="P286">
        <v>0</v>
      </c>
      <c r="Q286">
        <v>0</v>
      </c>
      <c r="R286">
        <v>0</v>
      </c>
      <c r="S286">
        <v>0</v>
      </c>
      <c r="T286">
        <v>483.10993400000001</v>
      </c>
      <c r="U286">
        <f t="shared" si="8"/>
        <v>0</v>
      </c>
      <c r="V286">
        <f t="shared" si="9"/>
        <v>0</v>
      </c>
    </row>
    <row r="287" spans="1:22" x14ac:dyDescent="0.2">
      <c r="A287" t="s">
        <v>451</v>
      </c>
      <c r="B287" t="s">
        <v>10</v>
      </c>
      <c r="C287" t="s">
        <v>76</v>
      </c>
      <c r="D287" t="s">
        <v>77</v>
      </c>
      <c r="E287">
        <v>18</v>
      </c>
      <c r="F287" t="s">
        <v>147</v>
      </c>
      <c r="G287">
        <v>91</v>
      </c>
      <c r="H287">
        <v>91790</v>
      </c>
      <c r="I287">
        <v>14289</v>
      </c>
      <c r="J287">
        <v>37</v>
      </c>
      <c r="K287">
        <v>52</v>
      </c>
      <c r="L287">
        <v>-77501</v>
      </c>
      <c r="M287" s="1" t="s">
        <v>599</v>
      </c>
      <c r="N287" s="1" t="s">
        <v>600</v>
      </c>
      <c r="O287" s="1" t="s">
        <v>601</v>
      </c>
      <c r="P287">
        <v>0</v>
      </c>
      <c r="Q287">
        <v>0</v>
      </c>
      <c r="R287">
        <v>0</v>
      </c>
      <c r="S287">
        <v>0</v>
      </c>
      <c r="T287">
        <v>483.10993400000001</v>
      </c>
      <c r="U287">
        <f t="shared" si="8"/>
        <v>0</v>
      </c>
      <c r="V287">
        <f t="shared" si="9"/>
        <v>0</v>
      </c>
    </row>
    <row r="288" spans="1:22" x14ac:dyDescent="0.2">
      <c r="A288" t="s">
        <v>451</v>
      </c>
      <c r="B288" t="s">
        <v>10</v>
      </c>
      <c r="C288" t="s">
        <v>76</v>
      </c>
      <c r="D288" t="s">
        <v>77</v>
      </c>
      <c r="E288">
        <v>11</v>
      </c>
      <c r="F288" t="s">
        <v>127</v>
      </c>
      <c r="G288">
        <v>54</v>
      </c>
      <c r="H288">
        <v>1612224</v>
      </c>
      <c r="I288">
        <v>2615927</v>
      </c>
      <c r="J288">
        <v>23</v>
      </c>
      <c r="K288">
        <v>33</v>
      </c>
      <c r="L288">
        <v>1003703</v>
      </c>
      <c r="M288" s="1" t="s">
        <v>602</v>
      </c>
      <c r="N288" s="1" t="s">
        <v>603</v>
      </c>
      <c r="O288" s="1" t="s">
        <v>604</v>
      </c>
      <c r="P288">
        <v>0</v>
      </c>
      <c r="Q288">
        <v>0</v>
      </c>
      <c r="R288">
        <v>0</v>
      </c>
      <c r="S288">
        <v>0</v>
      </c>
      <c r="T288">
        <v>483.10993400000001</v>
      </c>
      <c r="U288">
        <f t="shared" si="8"/>
        <v>0</v>
      </c>
      <c r="V288">
        <f t="shared" si="9"/>
        <v>0</v>
      </c>
    </row>
    <row r="289" spans="1:22" x14ac:dyDescent="0.2">
      <c r="A289" t="s">
        <v>451</v>
      </c>
      <c r="B289" t="s">
        <v>10</v>
      </c>
      <c r="C289" t="s">
        <v>76</v>
      </c>
      <c r="D289" t="s">
        <v>77</v>
      </c>
      <c r="E289">
        <v>11</v>
      </c>
      <c r="F289" t="s">
        <v>127</v>
      </c>
      <c r="G289">
        <v>55</v>
      </c>
      <c r="H289">
        <v>1956233</v>
      </c>
      <c r="I289">
        <v>219534</v>
      </c>
      <c r="J289">
        <v>14</v>
      </c>
      <c r="K289">
        <v>46</v>
      </c>
      <c r="L289">
        <v>-1736699</v>
      </c>
      <c r="M289" s="1" t="s">
        <v>605</v>
      </c>
      <c r="N289" s="1" t="s">
        <v>606</v>
      </c>
      <c r="O289" s="1" t="s">
        <v>607</v>
      </c>
      <c r="P289">
        <v>0</v>
      </c>
      <c r="Q289">
        <v>0</v>
      </c>
      <c r="R289">
        <v>0</v>
      </c>
      <c r="S289">
        <v>0</v>
      </c>
      <c r="T289">
        <v>483.10993400000001</v>
      </c>
      <c r="U289">
        <f t="shared" si="8"/>
        <v>0</v>
      </c>
      <c r="V289">
        <f t="shared" si="9"/>
        <v>0</v>
      </c>
    </row>
    <row r="290" spans="1:22" x14ac:dyDescent="0.2">
      <c r="A290" t="s">
        <v>451</v>
      </c>
      <c r="B290" t="s">
        <v>10</v>
      </c>
      <c r="C290" t="s">
        <v>76</v>
      </c>
      <c r="D290" t="s">
        <v>77</v>
      </c>
      <c r="E290">
        <v>11</v>
      </c>
      <c r="F290" t="s">
        <v>127</v>
      </c>
      <c r="G290">
        <v>58</v>
      </c>
      <c r="H290">
        <v>119602</v>
      </c>
      <c r="I290">
        <v>1290348</v>
      </c>
      <c r="J290">
        <v>10</v>
      </c>
      <c r="K290">
        <v>30</v>
      </c>
      <c r="L290">
        <v>1170746</v>
      </c>
      <c r="M290">
        <v>8.4827121529132202E-2</v>
      </c>
      <c r="N290" s="1" t="s">
        <v>608</v>
      </c>
      <c r="O290" s="1" t="s">
        <v>609</v>
      </c>
      <c r="P290">
        <v>0</v>
      </c>
      <c r="Q290">
        <v>0</v>
      </c>
      <c r="R290">
        <v>1</v>
      </c>
      <c r="S290">
        <v>0</v>
      </c>
      <c r="T290">
        <v>483.10993400000001</v>
      </c>
      <c r="U290">
        <f t="shared" si="8"/>
        <v>0</v>
      </c>
      <c r="V290">
        <f t="shared" si="9"/>
        <v>1</v>
      </c>
    </row>
    <row r="291" spans="1:22" x14ac:dyDescent="0.2">
      <c r="A291" t="s">
        <v>451</v>
      </c>
      <c r="B291" t="s">
        <v>10</v>
      </c>
      <c r="C291" t="s">
        <v>76</v>
      </c>
      <c r="D291" t="s">
        <v>77</v>
      </c>
      <c r="E291">
        <v>21</v>
      </c>
      <c r="F291" t="s">
        <v>212</v>
      </c>
      <c r="G291">
        <v>97</v>
      </c>
      <c r="H291">
        <v>44611</v>
      </c>
      <c r="I291">
        <v>421472</v>
      </c>
      <c r="J291">
        <v>46</v>
      </c>
      <c r="K291">
        <v>28</v>
      </c>
      <c r="L291">
        <v>376861</v>
      </c>
      <c r="M291">
        <v>9.5714711757347901E-2</v>
      </c>
      <c r="N291" s="1" t="s">
        <v>610</v>
      </c>
      <c r="O291" s="1" t="s">
        <v>611</v>
      </c>
      <c r="P291">
        <v>0</v>
      </c>
      <c r="Q291">
        <v>0</v>
      </c>
      <c r="R291">
        <v>0</v>
      </c>
      <c r="S291">
        <v>0</v>
      </c>
      <c r="T291">
        <v>483.10993400000001</v>
      </c>
      <c r="U291">
        <f t="shared" si="8"/>
        <v>0</v>
      </c>
      <c r="V291">
        <f t="shared" si="9"/>
        <v>0</v>
      </c>
    </row>
    <row r="292" spans="1:22" x14ac:dyDescent="0.2">
      <c r="A292" t="s">
        <v>451</v>
      </c>
      <c r="B292" t="s">
        <v>10</v>
      </c>
      <c r="C292" t="s">
        <v>76</v>
      </c>
      <c r="D292" t="s">
        <v>77</v>
      </c>
      <c r="E292">
        <v>18</v>
      </c>
      <c r="F292" t="s">
        <v>147</v>
      </c>
      <c r="G292">
        <v>92</v>
      </c>
      <c r="H292">
        <v>3059</v>
      </c>
      <c r="I292">
        <v>4997</v>
      </c>
      <c r="J292">
        <v>68</v>
      </c>
      <c r="K292">
        <v>52</v>
      </c>
      <c r="L292">
        <v>1938</v>
      </c>
      <c r="M292" s="1" t="s">
        <v>612</v>
      </c>
      <c r="N292" s="1" t="s">
        <v>613</v>
      </c>
      <c r="O292" s="1" t="s">
        <v>614</v>
      </c>
      <c r="P292">
        <v>0</v>
      </c>
      <c r="Q292">
        <v>0</v>
      </c>
      <c r="R292">
        <v>0</v>
      </c>
      <c r="S292">
        <v>0</v>
      </c>
      <c r="T292">
        <v>483.10993400000001</v>
      </c>
      <c r="U292">
        <f t="shared" si="8"/>
        <v>0</v>
      </c>
      <c r="V292">
        <f t="shared" si="9"/>
        <v>0</v>
      </c>
    </row>
    <row r="293" spans="1:22" x14ac:dyDescent="0.2">
      <c r="A293" t="s">
        <v>451</v>
      </c>
      <c r="B293" t="s">
        <v>10</v>
      </c>
      <c r="C293" t="s">
        <v>76</v>
      </c>
      <c r="D293" t="s">
        <v>77</v>
      </c>
      <c r="E293" s="1" t="s">
        <v>82</v>
      </c>
      <c r="F293" t="s">
        <v>83</v>
      </c>
      <c r="G293" s="1" t="s">
        <v>89</v>
      </c>
      <c r="H293">
        <v>223977</v>
      </c>
      <c r="I293">
        <v>1134526</v>
      </c>
      <c r="J293">
        <v>12</v>
      </c>
      <c r="K293">
        <v>32</v>
      </c>
      <c r="L293">
        <v>910549</v>
      </c>
      <c r="M293" s="1" t="s">
        <v>615</v>
      </c>
      <c r="N293" s="1" t="s">
        <v>616</v>
      </c>
      <c r="O293" s="1" t="s">
        <v>617</v>
      </c>
      <c r="P293">
        <v>0</v>
      </c>
      <c r="Q293">
        <v>0</v>
      </c>
      <c r="R293">
        <v>0</v>
      </c>
      <c r="S293">
        <v>0</v>
      </c>
      <c r="T293">
        <v>483.10993400000001</v>
      </c>
      <c r="U293">
        <f t="shared" si="8"/>
        <v>0</v>
      </c>
      <c r="V293">
        <f t="shared" si="9"/>
        <v>0</v>
      </c>
    </row>
    <row r="294" spans="1:22" x14ac:dyDescent="0.2">
      <c r="A294" t="s">
        <v>451</v>
      </c>
      <c r="B294" t="s">
        <v>10</v>
      </c>
      <c r="C294" t="s">
        <v>76</v>
      </c>
      <c r="D294" t="s">
        <v>77</v>
      </c>
      <c r="E294">
        <v>99</v>
      </c>
      <c r="F294" t="s">
        <v>78</v>
      </c>
      <c r="G294">
        <v>99</v>
      </c>
      <c r="H294">
        <v>17247676</v>
      </c>
      <c r="I294">
        <v>6012494</v>
      </c>
      <c r="J294">
        <v>34</v>
      </c>
      <c r="K294">
        <v>35</v>
      </c>
      <c r="L294">
        <v>-11235182</v>
      </c>
      <c r="M294" s="1" t="s">
        <v>618</v>
      </c>
      <c r="N294" s="1" t="s">
        <v>619</v>
      </c>
      <c r="O294">
        <v>1.8726975625485401E-3</v>
      </c>
      <c r="P294">
        <v>0</v>
      </c>
      <c r="Q294">
        <v>0</v>
      </c>
      <c r="R294">
        <v>0</v>
      </c>
      <c r="S294">
        <v>0</v>
      </c>
      <c r="T294">
        <v>483.10993400000001</v>
      </c>
      <c r="U294">
        <f t="shared" si="8"/>
        <v>0</v>
      </c>
      <c r="V294">
        <f t="shared" si="9"/>
        <v>0</v>
      </c>
    </row>
    <row r="295" spans="1:22" x14ac:dyDescent="0.2">
      <c r="A295" t="s">
        <v>620</v>
      </c>
      <c r="B295" t="s">
        <v>11</v>
      </c>
      <c r="C295" t="s">
        <v>76</v>
      </c>
      <c r="D295" t="s">
        <v>77</v>
      </c>
      <c r="E295" s="1" t="s">
        <v>85</v>
      </c>
      <c r="F295" t="s">
        <v>86</v>
      </c>
      <c r="G295">
        <v>27</v>
      </c>
      <c r="H295">
        <v>43498679400</v>
      </c>
      <c r="I295">
        <v>615508600</v>
      </c>
      <c r="J295">
        <v>9</v>
      </c>
      <c r="K295">
        <v>6</v>
      </c>
      <c r="L295">
        <v>-42883170800</v>
      </c>
      <c r="M295" s="1" t="s">
        <v>621</v>
      </c>
      <c r="N295" s="1" t="s">
        <v>622</v>
      </c>
      <c r="O295" s="1" t="s">
        <v>623</v>
      </c>
      <c r="P295">
        <v>0</v>
      </c>
      <c r="Q295">
        <v>0</v>
      </c>
      <c r="R295">
        <v>1</v>
      </c>
      <c r="S295">
        <v>1</v>
      </c>
      <c r="T295">
        <v>238.2333423</v>
      </c>
      <c r="U295">
        <f t="shared" si="8"/>
        <v>0</v>
      </c>
      <c r="V295">
        <f t="shared" si="9"/>
        <v>1</v>
      </c>
    </row>
    <row r="296" spans="1:22" x14ac:dyDescent="0.2">
      <c r="A296" t="s">
        <v>620</v>
      </c>
      <c r="B296" t="s">
        <v>11</v>
      </c>
      <c r="C296" t="s">
        <v>76</v>
      </c>
      <c r="D296" t="s">
        <v>77</v>
      </c>
      <c r="E296">
        <v>15</v>
      </c>
      <c r="F296" t="s">
        <v>88</v>
      </c>
      <c r="G296">
        <v>72</v>
      </c>
      <c r="H296">
        <v>6162528700</v>
      </c>
      <c r="I296">
        <v>748784300</v>
      </c>
      <c r="J296">
        <v>3</v>
      </c>
      <c r="K296">
        <v>6</v>
      </c>
      <c r="L296">
        <v>-5413744400</v>
      </c>
      <c r="M296">
        <v>0.89165816972838596</v>
      </c>
      <c r="N296" s="1" t="s">
        <v>624</v>
      </c>
      <c r="O296">
        <v>4.3780175699986199E-2</v>
      </c>
      <c r="P296">
        <v>1</v>
      </c>
      <c r="Q296">
        <v>0</v>
      </c>
      <c r="R296">
        <v>1</v>
      </c>
      <c r="S296">
        <v>1</v>
      </c>
      <c r="T296">
        <v>238.2333423</v>
      </c>
      <c r="U296">
        <f t="shared" si="8"/>
        <v>1</v>
      </c>
      <c r="V296">
        <f t="shared" si="9"/>
        <v>1</v>
      </c>
    </row>
    <row r="297" spans="1:22" x14ac:dyDescent="0.2">
      <c r="A297" t="s">
        <v>620</v>
      </c>
      <c r="B297" t="s">
        <v>11</v>
      </c>
      <c r="C297" t="s">
        <v>76</v>
      </c>
      <c r="D297" t="s">
        <v>77</v>
      </c>
      <c r="E297">
        <v>17</v>
      </c>
      <c r="F297" t="s">
        <v>97</v>
      </c>
      <c r="G297">
        <v>87</v>
      </c>
      <c r="H297">
        <v>3425157400</v>
      </c>
      <c r="I297">
        <v>7159290000</v>
      </c>
      <c r="J297">
        <v>2</v>
      </c>
      <c r="K297">
        <v>5</v>
      </c>
      <c r="L297">
        <v>3734132600</v>
      </c>
      <c r="M297" s="1" t="s">
        <v>625</v>
      </c>
      <c r="N297" s="1" t="s">
        <v>626</v>
      </c>
      <c r="O297">
        <v>6.7047891892504805E-2</v>
      </c>
      <c r="P297">
        <v>1</v>
      </c>
      <c r="Q297">
        <v>1</v>
      </c>
      <c r="R297">
        <v>1</v>
      </c>
      <c r="S297">
        <v>1</v>
      </c>
      <c r="T297">
        <v>238.2333423</v>
      </c>
      <c r="U297">
        <f t="shared" si="8"/>
        <v>1</v>
      </c>
      <c r="V297">
        <f t="shared" si="9"/>
        <v>1</v>
      </c>
    </row>
    <row r="298" spans="1:22" x14ac:dyDescent="0.2">
      <c r="A298" t="s">
        <v>620</v>
      </c>
      <c r="B298" t="s">
        <v>11</v>
      </c>
      <c r="C298" t="s">
        <v>76</v>
      </c>
      <c r="D298" t="s">
        <v>77</v>
      </c>
      <c r="E298">
        <v>16</v>
      </c>
      <c r="F298" t="s">
        <v>95</v>
      </c>
      <c r="G298">
        <v>84</v>
      </c>
      <c r="H298">
        <v>5007681600</v>
      </c>
      <c r="I298">
        <v>5287225300</v>
      </c>
      <c r="J298">
        <v>2</v>
      </c>
      <c r="K298">
        <v>10</v>
      </c>
      <c r="L298">
        <v>279543700</v>
      </c>
      <c r="M298" s="1" t="s">
        <v>627</v>
      </c>
      <c r="N298" s="1" t="s">
        <v>628</v>
      </c>
      <c r="O298">
        <v>6.5213778177460796E-2</v>
      </c>
      <c r="P298">
        <v>1</v>
      </c>
      <c r="Q298">
        <v>0</v>
      </c>
      <c r="R298">
        <v>1</v>
      </c>
      <c r="S298">
        <v>1</v>
      </c>
      <c r="T298">
        <v>238.2333423</v>
      </c>
      <c r="U298">
        <f t="shared" si="8"/>
        <v>1</v>
      </c>
      <c r="V298">
        <f t="shared" si="9"/>
        <v>1</v>
      </c>
    </row>
    <row r="299" spans="1:22" x14ac:dyDescent="0.2">
      <c r="A299" t="s">
        <v>620</v>
      </c>
      <c r="B299" t="s">
        <v>11</v>
      </c>
      <c r="C299" t="s">
        <v>76</v>
      </c>
      <c r="D299" t="s">
        <v>77</v>
      </c>
      <c r="E299">
        <v>16</v>
      </c>
      <c r="F299" t="s">
        <v>95</v>
      </c>
      <c r="G299">
        <v>85</v>
      </c>
      <c r="H299">
        <v>4631724600</v>
      </c>
      <c r="I299">
        <v>3314246000</v>
      </c>
      <c r="J299">
        <v>1</v>
      </c>
      <c r="K299">
        <v>6</v>
      </c>
      <c r="L299">
        <v>-1317478600</v>
      </c>
      <c r="M299" s="1" t="s">
        <v>629</v>
      </c>
      <c r="N299" s="1" t="s">
        <v>630</v>
      </c>
      <c r="O299">
        <v>5.0334283655641902E-2</v>
      </c>
      <c r="P299">
        <v>1</v>
      </c>
      <c r="Q299">
        <v>0</v>
      </c>
      <c r="R299">
        <v>1</v>
      </c>
      <c r="S299">
        <v>1</v>
      </c>
      <c r="T299">
        <v>238.2333423</v>
      </c>
      <c r="U299">
        <f t="shared" si="8"/>
        <v>1</v>
      </c>
      <c r="V299">
        <f t="shared" si="9"/>
        <v>1</v>
      </c>
    </row>
    <row r="300" spans="1:22" x14ac:dyDescent="0.2">
      <c r="A300" t="s">
        <v>620</v>
      </c>
      <c r="B300" t="s">
        <v>11</v>
      </c>
      <c r="C300" t="s">
        <v>76</v>
      </c>
      <c r="D300" t="s">
        <v>77</v>
      </c>
      <c r="E300" s="1" t="s">
        <v>85</v>
      </c>
      <c r="F300" t="s">
        <v>86</v>
      </c>
      <c r="G300">
        <v>25</v>
      </c>
      <c r="H300">
        <v>728768400</v>
      </c>
      <c r="I300">
        <v>849451900</v>
      </c>
      <c r="J300">
        <v>1</v>
      </c>
      <c r="K300">
        <v>1</v>
      </c>
      <c r="L300">
        <v>120683500</v>
      </c>
      <c r="M300" s="1" t="s">
        <v>631</v>
      </c>
      <c r="N300" s="1" t="s">
        <v>632</v>
      </c>
      <c r="O300">
        <v>9.9973423323882205E-3</v>
      </c>
      <c r="P300">
        <v>1</v>
      </c>
      <c r="Q300">
        <v>1</v>
      </c>
      <c r="R300">
        <v>1</v>
      </c>
      <c r="S300">
        <v>1</v>
      </c>
      <c r="T300">
        <v>238.2333423</v>
      </c>
      <c r="U300">
        <f t="shared" si="8"/>
        <v>1</v>
      </c>
      <c r="V300">
        <f t="shared" si="9"/>
        <v>1</v>
      </c>
    </row>
    <row r="301" spans="1:22" x14ac:dyDescent="0.2">
      <c r="A301" t="s">
        <v>620</v>
      </c>
      <c r="B301" t="s">
        <v>11</v>
      </c>
      <c r="C301" t="s">
        <v>76</v>
      </c>
      <c r="D301" t="s">
        <v>77</v>
      </c>
      <c r="E301" s="1" t="s">
        <v>99</v>
      </c>
      <c r="F301" t="s">
        <v>100</v>
      </c>
      <c r="G301">
        <v>39</v>
      </c>
      <c r="H301">
        <v>3741971300</v>
      </c>
      <c r="I301">
        <v>3646493100</v>
      </c>
      <c r="J301">
        <v>1</v>
      </c>
      <c r="K301">
        <v>3</v>
      </c>
      <c r="L301">
        <v>-95478200</v>
      </c>
      <c r="M301">
        <v>0.50646130202644002</v>
      </c>
      <c r="N301">
        <v>0.49353869797355998</v>
      </c>
      <c r="O301">
        <v>4.6802723243050001E-2</v>
      </c>
      <c r="P301">
        <v>1</v>
      </c>
      <c r="Q301">
        <v>1</v>
      </c>
      <c r="R301">
        <v>1</v>
      </c>
      <c r="S301">
        <v>1</v>
      </c>
      <c r="T301">
        <v>238.2333423</v>
      </c>
      <c r="U301">
        <f t="shared" si="8"/>
        <v>1</v>
      </c>
      <c r="V301">
        <f t="shared" si="9"/>
        <v>1</v>
      </c>
    </row>
    <row r="302" spans="1:22" x14ac:dyDescent="0.2">
      <c r="A302" t="s">
        <v>620</v>
      </c>
      <c r="B302" t="s">
        <v>11</v>
      </c>
      <c r="C302" t="s">
        <v>76</v>
      </c>
      <c r="D302" t="s">
        <v>77</v>
      </c>
      <c r="E302">
        <v>15</v>
      </c>
      <c r="F302" t="s">
        <v>88</v>
      </c>
      <c r="G302">
        <v>74</v>
      </c>
      <c r="H302">
        <v>725225200</v>
      </c>
      <c r="I302">
        <v>64608100</v>
      </c>
      <c r="J302">
        <v>6</v>
      </c>
      <c r="K302">
        <v>16</v>
      </c>
      <c r="L302">
        <v>-660617100</v>
      </c>
      <c r="M302" s="1" t="s">
        <v>633</v>
      </c>
      <c r="N302">
        <v>8.1799665828219695E-2</v>
      </c>
      <c r="O302">
        <v>5.0032520083665597E-3</v>
      </c>
      <c r="P302">
        <v>0</v>
      </c>
      <c r="Q302">
        <v>0</v>
      </c>
      <c r="R302">
        <v>1</v>
      </c>
      <c r="S302">
        <v>0</v>
      </c>
      <c r="T302">
        <v>238.2333423</v>
      </c>
      <c r="U302">
        <f t="shared" si="8"/>
        <v>0</v>
      </c>
      <c r="V302">
        <f t="shared" si="9"/>
        <v>1</v>
      </c>
    </row>
    <row r="303" spans="1:22" x14ac:dyDescent="0.2">
      <c r="A303" t="s">
        <v>620</v>
      </c>
      <c r="B303" t="s">
        <v>11</v>
      </c>
      <c r="C303" t="s">
        <v>76</v>
      </c>
      <c r="D303" t="s">
        <v>77</v>
      </c>
      <c r="E303">
        <v>20</v>
      </c>
      <c r="F303" t="s">
        <v>104</v>
      </c>
      <c r="G303">
        <v>96</v>
      </c>
      <c r="H303">
        <v>506467400</v>
      </c>
      <c r="I303">
        <v>133650000</v>
      </c>
      <c r="J303">
        <v>1</v>
      </c>
      <c r="K303">
        <v>7</v>
      </c>
      <c r="L303">
        <v>-372817400</v>
      </c>
      <c r="M303" s="1" t="s">
        <v>634</v>
      </c>
      <c r="N303" s="1" t="s">
        <v>635</v>
      </c>
      <c r="O303">
        <v>4.0548665992436398E-3</v>
      </c>
      <c r="P303">
        <v>1</v>
      </c>
      <c r="Q303">
        <v>0</v>
      </c>
      <c r="R303">
        <v>1</v>
      </c>
      <c r="S303">
        <v>1</v>
      </c>
      <c r="T303">
        <v>238.2333423</v>
      </c>
      <c r="U303">
        <f t="shared" si="8"/>
        <v>1</v>
      </c>
      <c r="V303">
        <f t="shared" si="9"/>
        <v>1</v>
      </c>
    </row>
    <row r="304" spans="1:22" x14ac:dyDescent="0.2">
      <c r="A304" t="s">
        <v>620</v>
      </c>
      <c r="B304" t="s">
        <v>11</v>
      </c>
      <c r="C304" t="s">
        <v>76</v>
      </c>
      <c r="D304" t="s">
        <v>77</v>
      </c>
      <c r="E304" s="1" t="s">
        <v>89</v>
      </c>
      <c r="F304" t="s">
        <v>90</v>
      </c>
      <c r="G304">
        <v>29</v>
      </c>
      <c r="H304">
        <v>1290720200</v>
      </c>
      <c r="I304">
        <v>216894200</v>
      </c>
      <c r="J304">
        <v>3</v>
      </c>
      <c r="K304">
        <v>12</v>
      </c>
      <c r="L304">
        <v>-1073826000</v>
      </c>
      <c r="M304" s="1" t="s">
        <v>636</v>
      </c>
      <c r="N304" s="1" t="s">
        <v>637</v>
      </c>
      <c r="O304">
        <v>9.55008452371197E-3</v>
      </c>
      <c r="P304">
        <v>1</v>
      </c>
      <c r="Q304">
        <v>0</v>
      </c>
      <c r="R304">
        <v>1</v>
      </c>
      <c r="S304">
        <v>0</v>
      </c>
      <c r="T304">
        <v>238.2333423</v>
      </c>
      <c r="U304">
        <f t="shared" si="8"/>
        <v>1</v>
      </c>
      <c r="V304">
        <f t="shared" si="9"/>
        <v>1</v>
      </c>
    </row>
    <row r="305" spans="1:22" x14ac:dyDescent="0.2">
      <c r="A305" t="s">
        <v>620</v>
      </c>
      <c r="B305" t="s">
        <v>11</v>
      </c>
      <c r="C305" t="s">
        <v>76</v>
      </c>
      <c r="D305" t="s">
        <v>77</v>
      </c>
      <c r="E305" s="1" t="s">
        <v>110</v>
      </c>
      <c r="F305" t="s">
        <v>111</v>
      </c>
      <c r="G305">
        <v>15</v>
      </c>
      <c r="H305">
        <v>510304400</v>
      </c>
      <c r="I305">
        <v>450884900</v>
      </c>
      <c r="J305">
        <v>8</v>
      </c>
      <c r="K305">
        <v>2</v>
      </c>
      <c r="L305">
        <v>-59419500</v>
      </c>
      <c r="M305" s="1" t="s">
        <v>638</v>
      </c>
      <c r="N305" s="1" t="s">
        <v>639</v>
      </c>
      <c r="O305">
        <v>6.0887180822148798E-3</v>
      </c>
      <c r="P305">
        <v>0</v>
      </c>
      <c r="Q305">
        <v>1</v>
      </c>
      <c r="R305">
        <v>1</v>
      </c>
      <c r="S305">
        <v>1</v>
      </c>
      <c r="T305">
        <v>238.2333423</v>
      </c>
      <c r="U305">
        <f t="shared" si="8"/>
        <v>1</v>
      </c>
      <c r="V305">
        <f t="shared" si="9"/>
        <v>1</v>
      </c>
    </row>
    <row r="306" spans="1:22" x14ac:dyDescent="0.2">
      <c r="A306" t="s">
        <v>620</v>
      </c>
      <c r="B306" t="s">
        <v>11</v>
      </c>
      <c r="C306" t="s">
        <v>76</v>
      </c>
      <c r="D306" t="s">
        <v>77</v>
      </c>
      <c r="E306">
        <v>99</v>
      </c>
      <c r="F306" t="s">
        <v>78</v>
      </c>
      <c r="G306">
        <v>99</v>
      </c>
      <c r="H306">
        <v>1784290000</v>
      </c>
      <c r="I306">
        <v>1632524800</v>
      </c>
      <c r="J306">
        <v>7</v>
      </c>
      <c r="K306">
        <v>3</v>
      </c>
      <c r="L306">
        <v>-151765200</v>
      </c>
      <c r="M306" s="1" t="s">
        <v>640</v>
      </c>
      <c r="N306" s="1" t="s">
        <v>641</v>
      </c>
      <c r="O306">
        <v>2.16440424964566E-2</v>
      </c>
      <c r="P306">
        <v>0</v>
      </c>
      <c r="Q306">
        <v>1</v>
      </c>
      <c r="R306">
        <v>1</v>
      </c>
      <c r="S306">
        <v>1</v>
      </c>
      <c r="T306">
        <v>238.2333423</v>
      </c>
      <c r="U306">
        <f t="shared" si="8"/>
        <v>1</v>
      </c>
      <c r="V306">
        <f t="shared" si="9"/>
        <v>1</v>
      </c>
    </row>
    <row r="307" spans="1:22" x14ac:dyDescent="0.2">
      <c r="A307" t="s">
        <v>620</v>
      </c>
      <c r="B307" t="s">
        <v>11</v>
      </c>
      <c r="C307" t="s">
        <v>76</v>
      </c>
      <c r="D307" t="s">
        <v>77</v>
      </c>
      <c r="E307" s="1" t="s">
        <v>89</v>
      </c>
      <c r="F307" t="s">
        <v>90</v>
      </c>
      <c r="G307">
        <v>34</v>
      </c>
      <c r="H307">
        <v>592792700</v>
      </c>
      <c r="I307">
        <v>185033700</v>
      </c>
      <c r="J307">
        <v>2</v>
      </c>
      <c r="K307">
        <v>11</v>
      </c>
      <c r="L307">
        <v>-407759000</v>
      </c>
      <c r="M307" s="1" t="s">
        <v>642</v>
      </c>
      <c r="N307" s="1" t="s">
        <v>643</v>
      </c>
      <c r="O307">
        <v>4.9271934950837499E-3</v>
      </c>
      <c r="P307">
        <v>1</v>
      </c>
      <c r="Q307">
        <v>0</v>
      </c>
      <c r="R307">
        <v>1</v>
      </c>
      <c r="S307">
        <v>0</v>
      </c>
      <c r="T307">
        <v>238.2333423</v>
      </c>
      <c r="U307">
        <f t="shared" si="8"/>
        <v>1</v>
      </c>
      <c r="V307">
        <f t="shared" si="9"/>
        <v>1</v>
      </c>
    </row>
    <row r="308" spans="1:22" x14ac:dyDescent="0.2">
      <c r="A308" t="s">
        <v>620</v>
      </c>
      <c r="B308" t="s">
        <v>11</v>
      </c>
      <c r="C308" t="s">
        <v>76</v>
      </c>
      <c r="D308" t="s">
        <v>77</v>
      </c>
      <c r="E308">
        <v>15</v>
      </c>
      <c r="F308" t="s">
        <v>88</v>
      </c>
      <c r="G308">
        <v>76</v>
      </c>
      <c r="H308">
        <v>1101780400</v>
      </c>
      <c r="I308">
        <v>571247900</v>
      </c>
      <c r="J308">
        <v>13</v>
      </c>
      <c r="K308">
        <v>2</v>
      </c>
      <c r="L308">
        <v>-530532500</v>
      </c>
      <c r="M308" s="1" t="s">
        <v>644</v>
      </c>
      <c r="N308" s="1" t="s">
        <v>645</v>
      </c>
      <c r="O308">
        <v>1.0597909966608201E-2</v>
      </c>
      <c r="P308">
        <v>0</v>
      </c>
      <c r="Q308">
        <v>1</v>
      </c>
      <c r="R308">
        <v>0</v>
      </c>
      <c r="S308">
        <v>1</v>
      </c>
      <c r="T308">
        <v>238.2333423</v>
      </c>
      <c r="U308">
        <f t="shared" si="8"/>
        <v>1</v>
      </c>
      <c r="V308">
        <f t="shared" si="9"/>
        <v>1</v>
      </c>
    </row>
    <row r="309" spans="1:22" x14ac:dyDescent="0.2">
      <c r="A309" t="s">
        <v>620</v>
      </c>
      <c r="B309" t="s">
        <v>11</v>
      </c>
      <c r="C309" t="s">
        <v>76</v>
      </c>
      <c r="D309" t="s">
        <v>77</v>
      </c>
      <c r="E309" s="1" t="s">
        <v>138</v>
      </c>
      <c r="F309" t="s">
        <v>139</v>
      </c>
      <c r="G309">
        <v>23</v>
      </c>
      <c r="H309">
        <v>517092600</v>
      </c>
      <c r="I309">
        <v>539465400</v>
      </c>
      <c r="J309">
        <v>3</v>
      </c>
      <c r="K309">
        <v>1</v>
      </c>
      <c r="L309">
        <v>22372800</v>
      </c>
      <c r="M309">
        <v>0.48941241275916703</v>
      </c>
      <c r="N309">
        <v>0.51058758724083297</v>
      </c>
      <c r="O309">
        <v>6.69283750818782E-3</v>
      </c>
      <c r="P309">
        <v>1</v>
      </c>
      <c r="Q309">
        <v>1</v>
      </c>
      <c r="R309">
        <v>1</v>
      </c>
      <c r="S309">
        <v>1</v>
      </c>
      <c r="T309">
        <v>238.2333423</v>
      </c>
      <c r="U309">
        <f t="shared" si="8"/>
        <v>1</v>
      </c>
      <c r="V309">
        <f t="shared" si="9"/>
        <v>1</v>
      </c>
    </row>
    <row r="310" spans="1:22" x14ac:dyDescent="0.2">
      <c r="A310" t="s">
        <v>620</v>
      </c>
      <c r="B310" t="s">
        <v>11</v>
      </c>
      <c r="C310" t="s">
        <v>76</v>
      </c>
      <c r="D310" t="s">
        <v>77</v>
      </c>
      <c r="E310" s="1" t="s">
        <v>99</v>
      </c>
      <c r="F310" t="s">
        <v>100</v>
      </c>
      <c r="G310">
        <v>40</v>
      </c>
      <c r="H310">
        <v>1155866000</v>
      </c>
      <c r="I310">
        <v>856972900</v>
      </c>
      <c r="J310">
        <v>5</v>
      </c>
      <c r="K310">
        <v>5</v>
      </c>
      <c r="L310">
        <v>-298893100</v>
      </c>
      <c r="M310" s="1" t="s">
        <v>646</v>
      </c>
      <c r="N310" s="1" t="s">
        <v>647</v>
      </c>
      <c r="O310">
        <v>1.27504630014249E-2</v>
      </c>
      <c r="P310">
        <v>1</v>
      </c>
      <c r="Q310">
        <v>1</v>
      </c>
      <c r="R310">
        <v>1</v>
      </c>
      <c r="S310">
        <v>1</v>
      </c>
      <c r="T310">
        <v>238.2333423</v>
      </c>
      <c r="U310">
        <f t="shared" si="8"/>
        <v>1</v>
      </c>
      <c r="V310">
        <f t="shared" si="9"/>
        <v>1</v>
      </c>
    </row>
    <row r="311" spans="1:22" x14ac:dyDescent="0.2">
      <c r="A311" t="s">
        <v>620</v>
      </c>
      <c r="B311" t="s">
        <v>11</v>
      </c>
      <c r="C311" t="s">
        <v>76</v>
      </c>
      <c r="D311" t="s">
        <v>77</v>
      </c>
      <c r="E311" s="1" t="s">
        <v>138</v>
      </c>
      <c r="F311" t="s">
        <v>139</v>
      </c>
      <c r="G311">
        <v>21</v>
      </c>
      <c r="H311">
        <v>722467400</v>
      </c>
      <c r="I311">
        <v>252668900</v>
      </c>
      <c r="J311">
        <v>2</v>
      </c>
      <c r="K311">
        <v>10</v>
      </c>
      <c r="L311">
        <v>-469798500</v>
      </c>
      <c r="M311">
        <v>0.74088863269678296</v>
      </c>
      <c r="N311">
        <v>0.25911136730321699</v>
      </c>
      <c r="O311">
        <v>6.1770662890589002E-3</v>
      </c>
      <c r="P311">
        <v>1</v>
      </c>
      <c r="Q311">
        <v>0</v>
      </c>
      <c r="R311">
        <v>1</v>
      </c>
      <c r="S311">
        <v>1</v>
      </c>
      <c r="T311">
        <v>238.2333423</v>
      </c>
      <c r="U311">
        <f t="shared" si="8"/>
        <v>1</v>
      </c>
      <c r="V311">
        <f t="shared" si="9"/>
        <v>1</v>
      </c>
    </row>
    <row r="312" spans="1:22" x14ac:dyDescent="0.2">
      <c r="A312" t="s">
        <v>620</v>
      </c>
      <c r="B312" t="s">
        <v>11</v>
      </c>
      <c r="C312" t="s">
        <v>76</v>
      </c>
      <c r="D312" t="s">
        <v>77</v>
      </c>
      <c r="E312" s="1" t="s">
        <v>89</v>
      </c>
      <c r="F312" t="s">
        <v>90</v>
      </c>
      <c r="G312">
        <v>28</v>
      </c>
      <c r="H312">
        <v>794834100</v>
      </c>
      <c r="I312">
        <v>149662100</v>
      </c>
      <c r="J312">
        <v>12</v>
      </c>
      <c r="K312">
        <v>11</v>
      </c>
      <c r="L312">
        <v>-645172000</v>
      </c>
      <c r="M312" s="1" t="s">
        <v>648</v>
      </c>
      <c r="N312" s="1" t="s">
        <v>649</v>
      </c>
      <c r="O312">
        <v>5.9829745207559499E-3</v>
      </c>
      <c r="P312">
        <v>0</v>
      </c>
      <c r="Q312">
        <v>0</v>
      </c>
      <c r="R312">
        <v>0</v>
      </c>
      <c r="S312">
        <v>0</v>
      </c>
      <c r="T312">
        <v>238.2333423</v>
      </c>
      <c r="U312">
        <f t="shared" si="8"/>
        <v>0</v>
      </c>
      <c r="V312">
        <f t="shared" si="9"/>
        <v>0</v>
      </c>
    </row>
    <row r="313" spans="1:22" x14ac:dyDescent="0.2">
      <c r="A313" t="s">
        <v>620</v>
      </c>
      <c r="B313" t="s">
        <v>11</v>
      </c>
      <c r="C313" t="s">
        <v>76</v>
      </c>
      <c r="D313" t="s">
        <v>77</v>
      </c>
      <c r="E313">
        <v>15</v>
      </c>
      <c r="F313" t="s">
        <v>88</v>
      </c>
      <c r="G313">
        <v>73</v>
      </c>
      <c r="H313">
        <v>2568045200</v>
      </c>
      <c r="I313">
        <v>2543080500</v>
      </c>
      <c r="J313">
        <v>2</v>
      </c>
      <c r="K313">
        <v>3</v>
      </c>
      <c r="L313">
        <v>-24964700</v>
      </c>
      <c r="M313" s="1" t="s">
        <v>650</v>
      </c>
      <c r="N313" s="1" t="s">
        <v>651</v>
      </c>
      <c r="O313" s="1" t="s">
        <v>652</v>
      </c>
      <c r="P313">
        <v>1</v>
      </c>
      <c r="Q313">
        <v>1</v>
      </c>
      <c r="R313">
        <v>1</v>
      </c>
      <c r="S313">
        <v>1</v>
      </c>
      <c r="T313">
        <v>238.2333423</v>
      </c>
      <c r="U313">
        <f t="shared" si="8"/>
        <v>1</v>
      </c>
      <c r="V313">
        <f t="shared" si="9"/>
        <v>1</v>
      </c>
    </row>
    <row r="314" spans="1:22" x14ac:dyDescent="0.2">
      <c r="A314" t="s">
        <v>620</v>
      </c>
      <c r="B314" t="s">
        <v>11</v>
      </c>
      <c r="C314" t="s">
        <v>76</v>
      </c>
      <c r="D314" t="s">
        <v>77</v>
      </c>
      <c r="E314" s="1" t="s">
        <v>138</v>
      </c>
      <c r="F314" t="s">
        <v>139</v>
      </c>
      <c r="G314">
        <v>18</v>
      </c>
      <c r="H314">
        <v>371110700</v>
      </c>
      <c r="I314">
        <v>268684800</v>
      </c>
      <c r="J314">
        <v>2</v>
      </c>
      <c r="K314">
        <v>5</v>
      </c>
      <c r="L314">
        <v>-102425900</v>
      </c>
      <c r="M314" s="1" t="s">
        <v>653</v>
      </c>
      <c r="N314" s="1" t="s">
        <v>654</v>
      </c>
      <c r="O314">
        <v>4.0528275021056897E-3</v>
      </c>
      <c r="P314">
        <v>1</v>
      </c>
      <c r="Q314">
        <v>1</v>
      </c>
      <c r="R314">
        <v>1</v>
      </c>
      <c r="S314">
        <v>1</v>
      </c>
      <c r="T314">
        <v>238.2333423</v>
      </c>
      <c r="U314">
        <f t="shared" si="8"/>
        <v>1</v>
      </c>
      <c r="V314">
        <f t="shared" si="9"/>
        <v>1</v>
      </c>
    </row>
    <row r="315" spans="1:22" x14ac:dyDescent="0.2">
      <c r="A315" t="s">
        <v>620</v>
      </c>
      <c r="B315" t="s">
        <v>11</v>
      </c>
      <c r="C315" t="s">
        <v>76</v>
      </c>
      <c r="D315" t="s">
        <v>77</v>
      </c>
      <c r="E315">
        <v>10</v>
      </c>
      <c r="F315" t="s">
        <v>119</v>
      </c>
      <c r="G315">
        <v>48</v>
      </c>
      <c r="H315">
        <v>1252116300</v>
      </c>
      <c r="I315">
        <v>562464900</v>
      </c>
      <c r="J315">
        <v>2</v>
      </c>
      <c r="K315">
        <v>6</v>
      </c>
      <c r="L315">
        <v>-689651400</v>
      </c>
      <c r="M315">
        <v>0.69003045992099998</v>
      </c>
      <c r="N315" s="1" t="s">
        <v>655</v>
      </c>
      <c r="O315" s="1" t="s">
        <v>656</v>
      </c>
      <c r="P315">
        <v>1</v>
      </c>
      <c r="Q315">
        <v>0</v>
      </c>
      <c r="R315">
        <v>1</v>
      </c>
      <c r="S315">
        <v>1</v>
      </c>
      <c r="T315">
        <v>238.2333423</v>
      </c>
      <c r="U315">
        <f t="shared" si="8"/>
        <v>1</v>
      </c>
      <c r="V315">
        <f t="shared" si="9"/>
        <v>1</v>
      </c>
    </row>
    <row r="316" spans="1:22" x14ac:dyDescent="0.2">
      <c r="A316" t="s">
        <v>620</v>
      </c>
      <c r="B316" t="s">
        <v>11</v>
      </c>
      <c r="C316" t="s">
        <v>76</v>
      </c>
      <c r="D316" t="s">
        <v>77</v>
      </c>
      <c r="E316" s="1" t="s">
        <v>89</v>
      </c>
      <c r="F316" t="s">
        <v>90</v>
      </c>
      <c r="G316">
        <v>31</v>
      </c>
      <c r="H316">
        <v>314106500</v>
      </c>
      <c r="I316">
        <v>195801000</v>
      </c>
      <c r="J316">
        <v>33</v>
      </c>
      <c r="K316">
        <v>1</v>
      </c>
      <c r="L316">
        <v>-118305500</v>
      </c>
      <c r="M316" s="1" t="s">
        <v>657</v>
      </c>
      <c r="N316" s="1" t="s">
        <v>658</v>
      </c>
      <c r="O316">
        <v>3.2300432552744601E-3</v>
      </c>
      <c r="P316">
        <v>0</v>
      </c>
      <c r="Q316">
        <v>1</v>
      </c>
      <c r="R316">
        <v>0</v>
      </c>
      <c r="S316">
        <v>1</v>
      </c>
      <c r="T316">
        <v>238.2333423</v>
      </c>
      <c r="U316">
        <f t="shared" si="8"/>
        <v>1</v>
      </c>
      <c r="V316">
        <f t="shared" si="9"/>
        <v>1</v>
      </c>
    </row>
    <row r="317" spans="1:22" x14ac:dyDescent="0.2">
      <c r="A317" t="s">
        <v>620</v>
      </c>
      <c r="B317" t="s">
        <v>11</v>
      </c>
      <c r="C317" t="s">
        <v>76</v>
      </c>
      <c r="D317" t="s">
        <v>77</v>
      </c>
      <c r="E317" s="1" t="s">
        <v>82</v>
      </c>
      <c r="F317" t="s">
        <v>83</v>
      </c>
      <c r="G317" s="1" t="s">
        <v>93</v>
      </c>
      <c r="H317">
        <v>253457700</v>
      </c>
      <c r="I317">
        <v>12324100</v>
      </c>
      <c r="J317">
        <v>1</v>
      </c>
      <c r="K317">
        <v>35</v>
      </c>
      <c r="L317">
        <v>-241133600</v>
      </c>
      <c r="M317" s="1" t="s">
        <v>659</v>
      </c>
      <c r="N317">
        <v>4.63692397297331E-2</v>
      </c>
      <c r="O317">
        <v>1.68361263653644E-3</v>
      </c>
      <c r="P317">
        <v>1</v>
      </c>
      <c r="Q317">
        <v>0</v>
      </c>
      <c r="R317">
        <v>1</v>
      </c>
      <c r="S317">
        <v>0</v>
      </c>
      <c r="T317">
        <v>238.2333423</v>
      </c>
      <c r="U317">
        <f t="shared" si="8"/>
        <v>1</v>
      </c>
      <c r="V317">
        <f t="shared" si="9"/>
        <v>1</v>
      </c>
    </row>
    <row r="318" spans="1:22" x14ac:dyDescent="0.2">
      <c r="A318" t="s">
        <v>620</v>
      </c>
      <c r="B318" t="s">
        <v>11</v>
      </c>
      <c r="C318" t="s">
        <v>76</v>
      </c>
      <c r="D318" t="s">
        <v>77</v>
      </c>
      <c r="E318">
        <v>13</v>
      </c>
      <c r="F318" t="s">
        <v>91</v>
      </c>
      <c r="G318">
        <v>70</v>
      </c>
      <c r="H318">
        <v>409175400</v>
      </c>
      <c r="I318">
        <v>447172700</v>
      </c>
      <c r="J318">
        <v>2</v>
      </c>
      <c r="K318">
        <v>3</v>
      </c>
      <c r="L318">
        <v>37997300</v>
      </c>
      <c r="M318" s="1" t="s">
        <v>660</v>
      </c>
      <c r="N318" s="1" t="s">
        <v>661</v>
      </c>
      <c r="O318">
        <v>5.4245944697265801E-3</v>
      </c>
      <c r="P318">
        <v>1</v>
      </c>
      <c r="Q318">
        <v>1</v>
      </c>
      <c r="R318">
        <v>1</v>
      </c>
      <c r="S318">
        <v>1</v>
      </c>
      <c r="T318">
        <v>238.2333423</v>
      </c>
      <c r="U318">
        <f t="shared" si="8"/>
        <v>1</v>
      </c>
      <c r="V318">
        <f t="shared" si="9"/>
        <v>1</v>
      </c>
    </row>
    <row r="319" spans="1:22" x14ac:dyDescent="0.2">
      <c r="A319" t="s">
        <v>620</v>
      </c>
      <c r="B319" t="s">
        <v>11</v>
      </c>
      <c r="C319" t="s">
        <v>76</v>
      </c>
      <c r="D319" t="s">
        <v>77</v>
      </c>
      <c r="E319" s="1" t="s">
        <v>138</v>
      </c>
      <c r="F319" t="s">
        <v>139</v>
      </c>
      <c r="G319">
        <v>17</v>
      </c>
      <c r="H319">
        <v>304348300</v>
      </c>
      <c r="I319">
        <v>571782300</v>
      </c>
      <c r="J319">
        <v>3</v>
      </c>
      <c r="K319">
        <v>2</v>
      </c>
      <c r="L319">
        <v>267434000</v>
      </c>
      <c r="M319" s="1" t="s">
        <v>662</v>
      </c>
      <c r="N319" s="1" t="s">
        <v>663</v>
      </c>
      <c r="O319">
        <v>5.5499080426735696E-3</v>
      </c>
      <c r="P319">
        <v>1</v>
      </c>
      <c r="Q319">
        <v>1</v>
      </c>
      <c r="R319">
        <v>1</v>
      </c>
      <c r="S319">
        <v>1</v>
      </c>
      <c r="T319">
        <v>238.2333423</v>
      </c>
      <c r="U319">
        <f t="shared" si="8"/>
        <v>1</v>
      </c>
      <c r="V319">
        <f t="shared" si="9"/>
        <v>1</v>
      </c>
    </row>
    <row r="320" spans="1:22" x14ac:dyDescent="0.2">
      <c r="A320" t="s">
        <v>620</v>
      </c>
      <c r="B320" t="s">
        <v>11</v>
      </c>
      <c r="C320" t="s">
        <v>76</v>
      </c>
      <c r="D320" t="s">
        <v>77</v>
      </c>
      <c r="E320" s="1" t="s">
        <v>82</v>
      </c>
      <c r="F320" t="s">
        <v>83</v>
      </c>
      <c r="G320">
        <v>12</v>
      </c>
      <c r="H320">
        <v>572823100</v>
      </c>
      <c r="I320">
        <v>40466300</v>
      </c>
      <c r="J320">
        <v>3</v>
      </c>
      <c r="K320">
        <v>24</v>
      </c>
      <c r="L320">
        <v>-532356800</v>
      </c>
      <c r="M320" s="1" t="s">
        <v>664</v>
      </c>
      <c r="N320">
        <v>6.5982389390718293E-2</v>
      </c>
      <c r="O320">
        <v>3.88492283404603E-3</v>
      </c>
      <c r="P320">
        <v>1</v>
      </c>
      <c r="Q320">
        <v>0</v>
      </c>
      <c r="R320">
        <v>1</v>
      </c>
      <c r="S320">
        <v>0</v>
      </c>
      <c r="T320">
        <v>238.2333423</v>
      </c>
      <c r="U320">
        <f t="shared" si="8"/>
        <v>1</v>
      </c>
      <c r="V320">
        <f t="shared" si="9"/>
        <v>1</v>
      </c>
    </row>
    <row r="321" spans="1:22" x14ac:dyDescent="0.2">
      <c r="A321" t="s">
        <v>620</v>
      </c>
      <c r="B321" t="s">
        <v>11</v>
      </c>
      <c r="C321" t="s">
        <v>76</v>
      </c>
      <c r="D321" t="s">
        <v>77</v>
      </c>
      <c r="E321" s="1" t="s">
        <v>82</v>
      </c>
      <c r="F321" t="s">
        <v>83</v>
      </c>
      <c r="G321" s="1" t="s">
        <v>163</v>
      </c>
      <c r="H321">
        <v>164940400</v>
      </c>
      <c r="I321">
        <v>478954400</v>
      </c>
      <c r="J321">
        <v>2</v>
      </c>
      <c r="K321">
        <v>11</v>
      </c>
      <c r="L321">
        <v>314014000</v>
      </c>
      <c r="M321" s="1" t="s">
        <v>665</v>
      </c>
      <c r="N321" s="1" t="s">
        <v>666</v>
      </c>
      <c r="O321">
        <v>4.0787947928718499E-3</v>
      </c>
      <c r="P321">
        <v>1</v>
      </c>
      <c r="Q321">
        <v>0</v>
      </c>
      <c r="R321">
        <v>1</v>
      </c>
      <c r="S321">
        <v>0</v>
      </c>
      <c r="T321">
        <v>238.2333423</v>
      </c>
      <c r="U321">
        <f t="shared" si="8"/>
        <v>1</v>
      </c>
      <c r="V321">
        <f t="shared" si="9"/>
        <v>1</v>
      </c>
    </row>
    <row r="322" spans="1:22" x14ac:dyDescent="0.2">
      <c r="A322" t="s">
        <v>620</v>
      </c>
      <c r="B322" t="s">
        <v>11</v>
      </c>
      <c r="C322" t="s">
        <v>76</v>
      </c>
      <c r="D322" t="s">
        <v>77</v>
      </c>
      <c r="E322" s="1" t="s">
        <v>155</v>
      </c>
      <c r="F322" t="s">
        <v>156</v>
      </c>
      <c r="G322" s="1" t="s">
        <v>110</v>
      </c>
      <c r="H322">
        <v>321095900</v>
      </c>
      <c r="I322">
        <v>597124700</v>
      </c>
      <c r="J322">
        <v>14</v>
      </c>
      <c r="K322">
        <v>3</v>
      </c>
      <c r="L322">
        <v>276028800</v>
      </c>
      <c r="M322" s="1" t="s">
        <v>667</v>
      </c>
      <c r="N322" s="1" t="s">
        <v>668</v>
      </c>
      <c r="O322">
        <v>5.8165299704045796E-3</v>
      </c>
      <c r="P322">
        <v>0</v>
      </c>
      <c r="Q322">
        <v>1</v>
      </c>
      <c r="R322">
        <v>0</v>
      </c>
      <c r="S322">
        <v>1</v>
      </c>
      <c r="T322">
        <v>238.2333423</v>
      </c>
      <c r="U322">
        <f t="shared" si="8"/>
        <v>1</v>
      </c>
      <c r="V322">
        <f t="shared" si="9"/>
        <v>1</v>
      </c>
    </row>
    <row r="323" spans="1:22" x14ac:dyDescent="0.2">
      <c r="A323" t="s">
        <v>620</v>
      </c>
      <c r="B323" t="s">
        <v>11</v>
      </c>
      <c r="C323" t="s">
        <v>76</v>
      </c>
      <c r="D323" t="s">
        <v>77</v>
      </c>
      <c r="E323" s="1" t="s">
        <v>138</v>
      </c>
      <c r="F323" t="s">
        <v>139</v>
      </c>
      <c r="G323">
        <v>19</v>
      </c>
      <c r="H323">
        <v>625291400</v>
      </c>
      <c r="I323">
        <v>484014300</v>
      </c>
      <c r="J323">
        <v>2</v>
      </c>
      <c r="K323">
        <v>2</v>
      </c>
      <c r="L323">
        <v>-141277100</v>
      </c>
      <c r="M323" s="1" t="s">
        <v>669</v>
      </c>
      <c r="N323" s="1" t="s">
        <v>670</v>
      </c>
      <c r="O323">
        <v>7.0269713513186598E-3</v>
      </c>
      <c r="P323">
        <v>1</v>
      </c>
      <c r="Q323">
        <v>1</v>
      </c>
      <c r="R323">
        <v>1</v>
      </c>
      <c r="S323">
        <v>1</v>
      </c>
      <c r="T323">
        <v>238.2333423</v>
      </c>
      <c r="U323">
        <f t="shared" ref="U323:U386" si="10">IF(OR(P323=1,Q323=1),1,0)</f>
        <v>1</v>
      </c>
      <c r="V323">
        <f t="shared" ref="V323:V386" si="11">IF(OR(R323=1,S323=1),1,0)</f>
        <v>1</v>
      </c>
    </row>
    <row r="324" spans="1:22" x14ac:dyDescent="0.2">
      <c r="A324" t="s">
        <v>620</v>
      </c>
      <c r="B324" t="s">
        <v>11</v>
      </c>
      <c r="C324" t="s">
        <v>76</v>
      </c>
      <c r="D324" t="s">
        <v>77</v>
      </c>
      <c r="E324" s="1" t="s">
        <v>89</v>
      </c>
      <c r="F324" t="s">
        <v>90</v>
      </c>
      <c r="G324">
        <v>30</v>
      </c>
      <c r="H324">
        <v>549044200</v>
      </c>
      <c r="I324">
        <v>923220000</v>
      </c>
      <c r="J324">
        <v>2</v>
      </c>
      <c r="K324">
        <v>15</v>
      </c>
      <c r="L324">
        <v>374175800</v>
      </c>
      <c r="M324" s="1" t="s">
        <v>671</v>
      </c>
      <c r="N324" s="1" t="s">
        <v>672</v>
      </c>
      <c r="O324">
        <v>9.3261563110800701E-3</v>
      </c>
      <c r="P324">
        <v>1</v>
      </c>
      <c r="Q324">
        <v>0</v>
      </c>
      <c r="R324">
        <v>1</v>
      </c>
      <c r="S324">
        <v>0</v>
      </c>
      <c r="T324">
        <v>238.2333423</v>
      </c>
      <c r="U324">
        <f t="shared" si="10"/>
        <v>1</v>
      </c>
      <c r="V324">
        <f t="shared" si="11"/>
        <v>1</v>
      </c>
    </row>
    <row r="325" spans="1:22" x14ac:dyDescent="0.2">
      <c r="A325" t="s">
        <v>620</v>
      </c>
      <c r="B325" t="s">
        <v>11</v>
      </c>
      <c r="C325" t="s">
        <v>76</v>
      </c>
      <c r="D325" t="s">
        <v>77</v>
      </c>
      <c r="E325" s="1" t="s">
        <v>138</v>
      </c>
      <c r="F325" t="s">
        <v>139</v>
      </c>
      <c r="G325">
        <v>20</v>
      </c>
      <c r="H325">
        <v>351734000</v>
      </c>
      <c r="I325">
        <v>342555600</v>
      </c>
      <c r="J325">
        <v>2</v>
      </c>
      <c r="K325">
        <v>4</v>
      </c>
      <c r="L325">
        <v>-9178400</v>
      </c>
      <c r="M325" s="1" t="s">
        <v>673</v>
      </c>
      <c r="N325" s="1" t="s">
        <v>674</v>
      </c>
      <c r="O325">
        <v>4.3980240331573999E-3</v>
      </c>
      <c r="P325">
        <v>1</v>
      </c>
      <c r="Q325">
        <v>1</v>
      </c>
      <c r="R325">
        <v>1</v>
      </c>
      <c r="S325">
        <v>1</v>
      </c>
      <c r="T325">
        <v>238.2333423</v>
      </c>
      <c r="U325">
        <f t="shared" si="10"/>
        <v>1</v>
      </c>
      <c r="V325">
        <f t="shared" si="11"/>
        <v>1</v>
      </c>
    </row>
    <row r="326" spans="1:22" x14ac:dyDescent="0.2">
      <c r="A326" t="s">
        <v>620</v>
      </c>
      <c r="B326" t="s">
        <v>11</v>
      </c>
      <c r="C326" t="s">
        <v>76</v>
      </c>
      <c r="D326" t="s">
        <v>77</v>
      </c>
      <c r="E326" s="1" t="s">
        <v>89</v>
      </c>
      <c r="F326" t="s">
        <v>90</v>
      </c>
      <c r="G326">
        <v>33</v>
      </c>
      <c r="H326">
        <v>813716200</v>
      </c>
      <c r="I326">
        <v>394736600</v>
      </c>
      <c r="J326">
        <v>1</v>
      </c>
      <c r="K326">
        <v>10</v>
      </c>
      <c r="L326">
        <v>-418979600</v>
      </c>
      <c r="M326">
        <v>0.67335372966159701</v>
      </c>
      <c r="N326" s="1" t="s">
        <v>675</v>
      </c>
      <c r="O326">
        <v>7.6550253054868704E-3</v>
      </c>
      <c r="P326">
        <v>1</v>
      </c>
      <c r="Q326">
        <v>0</v>
      </c>
      <c r="R326">
        <v>1</v>
      </c>
      <c r="S326">
        <v>1</v>
      </c>
      <c r="T326">
        <v>238.2333423</v>
      </c>
      <c r="U326">
        <f t="shared" si="10"/>
        <v>1</v>
      </c>
      <c r="V326">
        <f t="shared" si="11"/>
        <v>1</v>
      </c>
    </row>
    <row r="327" spans="1:22" x14ac:dyDescent="0.2">
      <c r="A327" t="s">
        <v>620</v>
      </c>
      <c r="B327" t="s">
        <v>11</v>
      </c>
      <c r="C327" t="s">
        <v>76</v>
      </c>
      <c r="D327" t="s">
        <v>77</v>
      </c>
      <c r="E327">
        <v>17</v>
      </c>
      <c r="F327" t="s">
        <v>97</v>
      </c>
      <c r="G327">
        <v>86</v>
      </c>
      <c r="H327">
        <v>541811900</v>
      </c>
      <c r="I327">
        <v>647296600</v>
      </c>
      <c r="J327">
        <v>2</v>
      </c>
      <c r="K327">
        <v>2</v>
      </c>
      <c r="L327">
        <v>105484700</v>
      </c>
      <c r="M327" s="1" t="s">
        <v>676</v>
      </c>
      <c r="N327" s="1" t="s">
        <v>677</v>
      </c>
      <c r="O327">
        <v>7.5324875398273998E-3</v>
      </c>
      <c r="P327">
        <v>1</v>
      </c>
      <c r="Q327">
        <v>1</v>
      </c>
      <c r="R327">
        <v>1</v>
      </c>
      <c r="S327">
        <v>1</v>
      </c>
      <c r="T327">
        <v>238.2333423</v>
      </c>
      <c r="U327">
        <f t="shared" si="10"/>
        <v>1</v>
      </c>
      <c r="V327">
        <f t="shared" si="11"/>
        <v>1</v>
      </c>
    </row>
    <row r="328" spans="1:22" x14ac:dyDescent="0.2">
      <c r="A328" t="s">
        <v>620</v>
      </c>
      <c r="B328" t="s">
        <v>11</v>
      </c>
      <c r="C328" t="s">
        <v>76</v>
      </c>
      <c r="D328" t="s">
        <v>77</v>
      </c>
      <c r="E328">
        <v>12</v>
      </c>
      <c r="F328" t="s">
        <v>194</v>
      </c>
      <c r="G328">
        <v>64</v>
      </c>
      <c r="H328">
        <v>435257000</v>
      </c>
      <c r="I328">
        <v>448590300</v>
      </c>
      <c r="J328">
        <v>1</v>
      </c>
      <c r="K328">
        <v>6</v>
      </c>
      <c r="L328">
        <v>13333300</v>
      </c>
      <c r="M328" s="1" t="s">
        <v>678</v>
      </c>
      <c r="N328" s="1" t="s">
        <v>679</v>
      </c>
      <c r="O328">
        <v>5.5987899963376702E-3</v>
      </c>
      <c r="P328">
        <v>1</v>
      </c>
      <c r="Q328">
        <v>0</v>
      </c>
      <c r="R328">
        <v>1</v>
      </c>
      <c r="S328">
        <v>1</v>
      </c>
      <c r="T328">
        <v>238.2333423</v>
      </c>
      <c r="U328">
        <f t="shared" si="10"/>
        <v>1</v>
      </c>
      <c r="V328">
        <f t="shared" si="11"/>
        <v>1</v>
      </c>
    </row>
    <row r="329" spans="1:22" x14ac:dyDescent="0.2">
      <c r="A329" t="s">
        <v>620</v>
      </c>
      <c r="B329" t="s">
        <v>11</v>
      </c>
      <c r="C329" t="s">
        <v>76</v>
      </c>
      <c r="D329" t="s">
        <v>77</v>
      </c>
      <c r="E329">
        <v>10</v>
      </c>
      <c r="F329" t="s">
        <v>119</v>
      </c>
      <c r="G329">
        <v>49</v>
      </c>
      <c r="H329">
        <v>129010800</v>
      </c>
      <c r="I329">
        <v>65984500</v>
      </c>
      <c r="J329">
        <v>3</v>
      </c>
      <c r="K329">
        <v>6</v>
      </c>
      <c r="L329">
        <v>-63026300</v>
      </c>
      <c r="M329" s="1" t="s">
        <v>680</v>
      </c>
      <c r="N329" s="1" t="s">
        <v>681</v>
      </c>
      <c r="O329">
        <v>1.2352108050483999E-3</v>
      </c>
      <c r="P329">
        <v>1</v>
      </c>
      <c r="Q329">
        <v>0</v>
      </c>
      <c r="R329">
        <v>1</v>
      </c>
      <c r="S329">
        <v>1</v>
      </c>
      <c r="T329">
        <v>238.2333423</v>
      </c>
      <c r="U329">
        <f t="shared" si="10"/>
        <v>1</v>
      </c>
      <c r="V329">
        <f t="shared" si="11"/>
        <v>1</v>
      </c>
    </row>
    <row r="330" spans="1:22" x14ac:dyDescent="0.2">
      <c r="A330" t="s">
        <v>620</v>
      </c>
      <c r="B330" t="s">
        <v>11</v>
      </c>
      <c r="C330" t="s">
        <v>76</v>
      </c>
      <c r="D330" t="s">
        <v>77</v>
      </c>
      <c r="E330">
        <v>13</v>
      </c>
      <c r="F330" t="s">
        <v>91</v>
      </c>
      <c r="G330">
        <v>68</v>
      </c>
      <c r="H330">
        <v>366020800</v>
      </c>
      <c r="I330">
        <v>476063500</v>
      </c>
      <c r="J330">
        <v>2</v>
      </c>
      <c r="K330">
        <v>2</v>
      </c>
      <c r="L330">
        <v>110042700</v>
      </c>
      <c r="M330">
        <v>0.43466052033032798</v>
      </c>
      <c r="N330">
        <v>0.56533947966967202</v>
      </c>
      <c r="O330">
        <v>5.33423947203664E-3</v>
      </c>
      <c r="P330">
        <v>1</v>
      </c>
      <c r="Q330">
        <v>1</v>
      </c>
      <c r="R330">
        <v>1</v>
      </c>
      <c r="S330">
        <v>1</v>
      </c>
      <c r="T330">
        <v>238.2333423</v>
      </c>
      <c r="U330">
        <f t="shared" si="10"/>
        <v>1</v>
      </c>
      <c r="V330">
        <f t="shared" si="11"/>
        <v>1</v>
      </c>
    </row>
    <row r="331" spans="1:22" x14ac:dyDescent="0.2">
      <c r="A331" t="s">
        <v>620</v>
      </c>
      <c r="B331" t="s">
        <v>11</v>
      </c>
      <c r="C331" t="s">
        <v>76</v>
      </c>
      <c r="D331" t="s">
        <v>77</v>
      </c>
      <c r="E331">
        <v>15</v>
      </c>
      <c r="F331" t="s">
        <v>88</v>
      </c>
      <c r="G331">
        <v>79</v>
      </c>
      <c r="H331">
        <v>51581600</v>
      </c>
      <c r="I331">
        <v>3995100</v>
      </c>
      <c r="J331">
        <v>3</v>
      </c>
      <c r="K331">
        <v>7</v>
      </c>
      <c r="L331">
        <v>-47586500</v>
      </c>
      <c r="M331" s="1" t="s">
        <v>682</v>
      </c>
      <c r="N331">
        <v>7.1884440781838393E-2</v>
      </c>
      <c r="O331" s="1" t="s">
        <v>683</v>
      </c>
      <c r="P331">
        <v>1</v>
      </c>
      <c r="Q331">
        <v>0</v>
      </c>
      <c r="R331">
        <v>1</v>
      </c>
      <c r="S331">
        <v>1</v>
      </c>
      <c r="T331">
        <v>238.2333423</v>
      </c>
      <c r="U331">
        <f t="shared" si="10"/>
        <v>1</v>
      </c>
      <c r="V331">
        <f t="shared" si="11"/>
        <v>1</v>
      </c>
    </row>
    <row r="332" spans="1:22" x14ac:dyDescent="0.2">
      <c r="A332" t="s">
        <v>620</v>
      </c>
      <c r="B332" t="s">
        <v>11</v>
      </c>
      <c r="C332" t="s">
        <v>76</v>
      </c>
      <c r="D332" t="s">
        <v>77</v>
      </c>
      <c r="E332" s="1" t="s">
        <v>82</v>
      </c>
      <c r="F332" t="s">
        <v>83</v>
      </c>
      <c r="G332">
        <v>10</v>
      </c>
      <c r="H332">
        <v>313512700</v>
      </c>
      <c r="I332">
        <v>23195600</v>
      </c>
      <c r="J332">
        <v>23</v>
      </c>
      <c r="K332">
        <v>12</v>
      </c>
      <c r="L332">
        <v>-290317100</v>
      </c>
      <c r="M332" s="1" t="s">
        <v>684</v>
      </c>
      <c r="N332">
        <v>6.8889302699101804E-2</v>
      </c>
      <c r="O332">
        <v>2.1329013074134601E-3</v>
      </c>
      <c r="P332">
        <v>0</v>
      </c>
      <c r="Q332">
        <v>0</v>
      </c>
      <c r="R332">
        <v>0</v>
      </c>
      <c r="S332">
        <v>0</v>
      </c>
      <c r="T332">
        <v>238.2333423</v>
      </c>
      <c r="U332">
        <f t="shared" si="10"/>
        <v>0</v>
      </c>
      <c r="V332">
        <f t="shared" si="11"/>
        <v>0</v>
      </c>
    </row>
    <row r="333" spans="1:22" x14ac:dyDescent="0.2">
      <c r="A333" t="s">
        <v>620</v>
      </c>
      <c r="B333" t="s">
        <v>11</v>
      </c>
      <c r="C333" t="s">
        <v>76</v>
      </c>
      <c r="D333" t="s">
        <v>77</v>
      </c>
      <c r="E333" s="1" t="s">
        <v>82</v>
      </c>
      <c r="F333" t="s">
        <v>83</v>
      </c>
      <c r="G333">
        <v>11</v>
      </c>
      <c r="H333">
        <v>137202200</v>
      </c>
      <c r="I333">
        <v>175351500</v>
      </c>
      <c r="J333">
        <v>1</v>
      </c>
      <c r="K333">
        <v>1</v>
      </c>
      <c r="L333">
        <v>38149300</v>
      </c>
      <c r="M333" s="1" t="s">
        <v>685</v>
      </c>
      <c r="N333" s="1" t="s">
        <v>686</v>
      </c>
      <c r="O333">
        <v>1.9798923738051999E-3</v>
      </c>
      <c r="P333">
        <v>1</v>
      </c>
      <c r="Q333">
        <v>1</v>
      </c>
      <c r="R333">
        <v>1</v>
      </c>
      <c r="S333">
        <v>1</v>
      </c>
      <c r="T333">
        <v>238.2333423</v>
      </c>
      <c r="U333">
        <f t="shared" si="10"/>
        <v>1</v>
      </c>
      <c r="V333">
        <f t="shared" si="11"/>
        <v>1</v>
      </c>
    </row>
    <row r="334" spans="1:22" x14ac:dyDescent="0.2">
      <c r="A334" t="s">
        <v>620</v>
      </c>
      <c r="B334" t="s">
        <v>11</v>
      </c>
      <c r="C334" t="s">
        <v>76</v>
      </c>
      <c r="D334" t="s">
        <v>77</v>
      </c>
      <c r="E334" s="1" t="s">
        <v>163</v>
      </c>
      <c r="F334" t="s">
        <v>224</v>
      </c>
      <c r="G334">
        <v>43</v>
      </c>
      <c r="H334">
        <v>64191600</v>
      </c>
      <c r="I334">
        <v>71783300</v>
      </c>
      <c r="J334">
        <v>2</v>
      </c>
      <c r="K334">
        <v>7</v>
      </c>
      <c r="L334">
        <v>7591700</v>
      </c>
      <c r="M334" s="1" t="s">
        <v>687</v>
      </c>
      <c r="N334" s="1" t="s">
        <v>688</v>
      </c>
      <c r="O334" s="1" t="s">
        <v>689</v>
      </c>
      <c r="P334">
        <v>1</v>
      </c>
      <c r="Q334">
        <v>0</v>
      </c>
      <c r="R334">
        <v>1</v>
      </c>
      <c r="S334">
        <v>1</v>
      </c>
      <c r="T334">
        <v>238.2333423</v>
      </c>
      <c r="U334">
        <f t="shared" si="10"/>
        <v>1</v>
      </c>
      <c r="V334">
        <f t="shared" si="11"/>
        <v>1</v>
      </c>
    </row>
    <row r="335" spans="1:22" x14ac:dyDescent="0.2">
      <c r="A335" t="s">
        <v>620</v>
      </c>
      <c r="B335" t="s">
        <v>11</v>
      </c>
      <c r="C335" t="s">
        <v>76</v>
      </c>
      <c r="D335" t="s">
        <v>77</v>
      </c>
      <c r="E335">
        <v>11</v>
      </c>
      <c r="F335" t="s">
        <v>127</v>
      </c>
      <c r="G335">
        <v>51</v>
      </c>
      <c r="H335">
        <v>100951500</v>
      </c>
      <c r="I335">
        <v>68829300</v>
      </c>
      <c r="J335">
        <v>1</v>
      </c>
      <c r="K335">
        <v>3</v>
      </c>
      <c r="L335">
        <v>-32122200</v>
      </c>
      <c r="M335" s="1" t="s">
        <v>690</v>
      </c>
      <c r="N335" s="1" t="s">
        <v>691</v>
      </c>
      <c r="O335">
        <v>1.07548786380883E-3</v>
      </c>
      <c r="P335">
        <v>1</v>
      </c>
      <c r="Q335">
        <v>1</v>
      </c>
      <c r="R335">
        <v>1</v>
      </c>
      <c r="S335">
        <v>1</v>
      </c>
      <c r="T335">
        <v>238.2333423</v>
      </c>
      <c r="U335">
        <f t="shared" si="10"/>
        <v>1</v>
      </c>
      <c r="V335">
        <f t="shared" si="11"/>
        <v>1</v>
      </c>
    </row>
    <row r="336" spans="1:22" x14ac:dyDescent="0.2">
      <c r="A336" t="s">
        <v>620</v>
      </c>
      <c r="B336" t="s">
        <v>11</v>
      </c>
      <c r="C336" t="s">
        <v>76</v>
      </c>
      <c r="D336" t="s">
        <v>77</v>
      </c>
      <c r="E336" s="1" t="s">
        <v>163</v>
      </c>
      <c r="F336" t="s">
        <v>224</v>
      </c>
      <c r="G336">
        <v>41</v>
      </c>
      <c r="H336">
        <v>120921600</v>
      </c>
      <c r="I336">
        <v>66494200</v>
      </c>
      <c r="J336">
        <v>2</v>
      </c>
      <c r="K336">
        <v>1</v>
      </c>
      <c r="L336">
        <v>-54427400</v>
      </c>
      <c r="M336" s="1" t="s">
        <v>692</v>
      </c>
      <c r="N336" s="1" t="s">
        <v>693</v>
      </c>
      <c r="O336">
        <v>1.18719795398551E-3</v>
      </c>
      <c r="P336">
        <v>1</v>
      </c>
      <c r="Q336">
        <v>1</v>
      </c>
      <c r="R336">
        <v>1</v>
      </c>
      <c r="S336">
        <v>1</v>
      </c>
      <c r="T336">
        <v>238.2333423</v>
      </c>
      <c r="U336">
        <f t="shared" si="10"/>
        <v>1</v>
      </c>
      <c r="V336">
        <f t="shared" si="11"/>
        <v>1</v>
      </c>
    </row>
    <row r="337" spans="1:22" x14ac:dyDescent="0.2">
      <c r="A337" t="s">
        <v>620</v>
      </c>
      <c r="B337" t="s">
        <v>11</v>
      </c>
      <c r="C337" t="s">
        <v>76</v>
      </c>
      <c r="D337" t="s">
        <v>77</v>
      </c>
      <c r="E337">
        <v>18</v>
      </c>
      <c r="F337" t="s">
        <v>147</v>
      </c>
      <c r="G337">
        <v>90</v>
      </c>
      <c r="H337">
        <v>873753500</v>
      </c>
      <c r="I337">
        <v>1039688400</v>
      </c>
      <c r="J337">
        <v>2</v>
      </c>
      <c r="K337">
        <v>7</v>
      </c>
      <c r="L337">
        <v>165934900</v>
      </c>
      <c r="M337" s="1" t="s">
        <v>694</v>
      </c>
      <c r="N337" s="1" t="s">
        <v>695</v>
      </c>
      <c r="O337" s="1" t="s">
        <v>696</v>
      </c>
      <c r="P337">
        <v>1</v>
      </c>
      <c r="Q337">
        <v>0</v>
      </c>
      <c r="R337">
        <v>1</v>
      </c>
      <c r="S337">
        <v>1</v>
      </c>
      <c r="T337">
        <v>238.2333423</v>
      </c>
      <c r="U337">
        <f t="shared" si="10"/>
        <v>1</v>
      </c>
      <c r="V337">
        <f t="shared" si="11"/>
        <v>1</v>
      </c>
    </row>
    <row r="338" spans="1:22" x14ac:dyDescent="0.2">
      <c r="A338" t="s">
        <v>620</v>
      </c>
      <c r="B338" t="s">
        <v>11</v>
      </c>
      <c r="C338" t="s">
        <v>76</v>
      </c>
      <c r="D338" t="s">
        <v>77</v>
      </c>
      <c r="E338" s="1" t="s">
        <v>93</v>
      </c>
      <c r="F338" t="s">
        <v>94</v>
      </c>
      <c r="G338">
        <v>44</v>
      </c>
      <c r="H338">
        <v>504373500</v>
      </c>
      <c r="I338">
        <v>1149223300</v>
      </c>
      <c r="J338">
        <v>18</v>
      </c>
      <c r="K338">
        <v>1</v>
      </c>
      <c r="L338">
        <v>644849800</v>
      </c>
      <c r="M338" s="1" t="s">
        <v>697</v>
      </c>
      <c r="N338" s="1" t="s">
        <v>698</v>
      </c>
      <c r="O338" s="1" t="s">
        <v>699</v>
      </c>
      <c r="P338">
        <v>0</v>
      </c>
      <c r="Q338">
        <v>1</v>
      </c>
      <c r="R338">
        <v>0</v>
      </c>
      <c r="S338">
        <v>1</v>
      </c>
      <c r="T338">
        <v>238.2333423</v>
      </c>
      <c r="U338">
        <f t="shared" si="10"/>
        <v>1</v>
      </c>
      <c r="V338">
        <f t="shared" si="11"/>
        <v>1</v>
      </c>
    </row>
    <row r="339" spans="1:22" x14ac:dyDescent="0.2">
      <c r="A339" t="s">
        <v>620</v>
      </c>
      <c r="B339" t="s">
        <v>11</v>
      </c>
      <c r="C339" t="s">
        <v>76</v>
      </c>
      <c r="D339" t="s">
        <v>77</v>
      </c>
      <c r="E339">
        <v>15</v>
      </c>
      <c r="F339" t="s">
        <v>88</v>
      </c>
      <c r="G339">
        <v>82</v>
      </c>
      <c r="H339">
        <v>217108300</v>
      </c>
      <c r="I339">
        <v>205442800</v>
      </c>
      <c r="J339">
        <v>2</v>
      </c>
      <c r="K339">
        <v>6</v>
      </c>
      <c r="L339">
        <v>-11665500</v>
      </c>
      <c r="M339" s="1" t="s">
        <v>700</v>
      </c>
      <c r="N339" s="1" t="s">
        <v>701</v>
      </c>
      <c r="O339">
        <v>2.6766782809898E-3</v>
      </c>
      <c r="P339">
        <v>1</v>
      </c>
      <c r="Q339">
        <v>0</v>
      </c>
      <c r="R339">
        <v>1</v>
      </c>
      <c r="S339">
        <v>1</v>
      </c>
      <c r="T339">
        <v>238.2333423</v>
      </c>
      <c r="U339">
        <f t="shared" si="10"/>
        <v>1</v>
      </c>
      <c r="V339">
        <f t="shared" si="11"/>
        <v>1</v>
      </c>
    </row>
    <row r="340" spans="1:22" x14ac:dyDescent="0.2">
      <c r="A340" t="s">
        <v>620</v>
      </c>
      <c r="B340" t="s">
        <v>11</v>
      </c>
      <c r="C340" t="s">
        <v>76</v>
      </c>
      <c r="D340" t="s">
        <v>77</v>
      </c>
      <c r="E340" s="1" t="s">
        <v>138</v>
      </c>
      <c r="F340" t="s">
        <v>139</v>
      </c>
      <c r="G340">
        <v>16</v>
      </c>
      <c r="H340">
        <v>214798700</v>
      </c>
      <c r="I340">
        <v>1527477100</v>
      </c>
      <c r="J340">
        <v>2</v>
      </c>
      <c r="K340">
        <v>1</v>
      </c>
      <c r="L340">
        <v>1312678400</v>
      </c>
      <c r="M340" s="1" t="s">
        <v>702</v>
      </c>
      <c r="N340" s="1" t="s">
        <v>703</v>
      </c>
      <c r="O340" s="1" t="s">
        <v>704</v>
      </c>
      <c r="P340">
        <v>1</v>
      </c>
      <c r="Q340">
        <v>1</v>
      </c>
      <c r="R340">
        <v>1</v>
      </c>
      <c r="S340">
        <v>1</v>
      </c>
      <c r="T340">
        <v>238.2333423</v>
      </c>
      <c r="U340">
        <f t="shared" si="10"/>
        <v>1</v>
      </c>
      <c r="V340">
        <f t="shared" si="11"/>
        <v>1</v>
      </c>
    </row>
    <row r="341" spans="1:22" x14ac:dyDescent="0.2">
      <c r="A341" t="s">
        <v>620</v>
      </c>
      <c r="B341" t="s">
        <v>11</v>
      </c>
      <c r="C341" t="s">
        <v>76</v>
      </c>
      <c r="D341" t="s">
        <v>77</v>
      </c>
      <c r="E341">
        <v>11</v>
      </c>
      <c r="F341" t="s">
        <v>127</v>
      </c>
      <c r="G341">
        <v>55</v>
      </c>
      <c r="H341">
        <v>140403000</v>
      </c>
      <c r="I341">
        <v>499444100</v>
      </c>
      <c r="J341">
        <v>1</v>
      </c>
      <c r="K341">
        <v>2</v>
      </c>
      <c r="L341">
        <v>359041100</v>
      </c>
      <c r="M341" s="1" t="s">
        <v>705</v>
      </c>
      <c r="N341">
        <v>0.78056788879718297</v>
      </c>
      <c r="O341">
        <v>4.0531543657662001E-3</v>
      </c>
      <c r="P341">
        <v>1</v>
      </c>
      <c r="Q341">
        <v>1</v>
      </c>
      <c r="R341">
        <v>1</v>
      </c>
      <c r="S341">
        <v>1</v>
      </c>
      <c r="T341">
        <v>238.2333423</v>
      </c>
      <c r="U341">
        <f t="shared" si="10"/>
        <v>1</v>
      </c>
      <c r="V341">
        <f t="shared" si="11"/>
        <v>1</v>
      </c>
    </row>
    <row r="342" spans="1:22" x14ac:dyDescent="0.2">
      <c r="A342" t="s">
        <v>620</v>
      </c>
      <c r="B342" t="s">
        <v>11</v>
      </c>
      <c r="C342" t="s">
        <v>76</v>
      </c>
      <c r="D342" t="s">
        <v>77</v>
      </c>
      <c r="E342" s="1" t="s">
        <v>89</v>
      </c>
      <c r="F342" t="s">
        <v>90</v>
      </c>
      <c r="G342">
        <v>38</v>
      </c>
      <c r="H342">
        <v>621019300</v>
      </c>
      <c r="I342">
        <v>620648100</v>
      </c>
      <c r="J342">
        <v>2</v>
      </c>
      <c r="K342">
        <v>7</v>
      </c>
      <c r="L342">
        <v>-371200</v>
      </c>
      <c r="M342" s="1" t="s">
        <v>706</v>
      </c>
      <c r="N342" s="1" t="s">
        <v>707</v>
      </c>
      <c r="O342">
        <v>7.8654254166965303E-3</v>
      </c>
      <c r="P342">
        <v>1</v>
      </c>
      <c r="Q342">
        <v>0</v>
      </c>
      <c r="R342">
        <v>1</v>
      </c>
      <c r="S342">
        <v>1</v>
      </c>
      <c r="T342">
        <v>238.2333423</v>
      </c>
      <c r="U342">
        <f t="shared" si="10"/>
        <v>1</v>
      </c>
      <c r="V342">
        <f t="shared" si="11"/>
        <v>1</v>
      </c>
    </row>
    <row r="343" spans="1:22" x14ac:dyDescent="0.2">
      <c r="A343" t="s">
        <v>620</v>
      </c>
      <c r="B343" t="s">
        <v>11</v>
      </c>
      <c r="C343" t="s">
        <v>76</v>
      </c>
      <c r="D343" t="s">
        <v>77</v>
      </c>
      <c r="E343" s="1" t="s">
        <v>89</v>
      </c>
      <c r="F343" t="s">
        <v>90</v>
      </c>
      <c r="G343">
        <v>32</v>
      </c>
      <c r="H343">
        <v>317445700</v>
      </c>
      <c r="I343">
        <v>350099300</v>
      </c>
      <c r="J343">
        <v>2</v>
      </c>
      <c r="K343">
        <v>6</v>
      </c>
      <c r="L343">
        <v>32653600</v>
      </c>
      <c r="M343" s="1" t="s">
        <v>708</v>
      </c>
      <c r="N343" s="1" t="s">
        <v>709</v>
      </c>
      <c r="O343">
        <v>4.2286085708529396E-3</v>
      </c>
      <c r="P343">
        <v>1</v>
      </c>
      <c r="Q343">
        <v>0</v>
      </c>
      <c r="R343">
        <v>1</v>
      </c>
      <c r="S343">
        <v>1</v>
      </c>
      <c r="T343">
        <v>238.2333423</v>
      </c>
      <c r="U343">
        <f t="shared" si="10"/>
        <v>1</v>
      </c>
      <c r="V343">
        <f t="shared" si="11"/>
        <v>1</v>
      </c>
    </row>
    <row r="344" spans="1:22" x14ac:dyDescent="0.2">
      <c r="A344" t="s">
        <v>620</v>
      </c>
      <c r="B344" t="s">
        <v>11</v>
      </c>
      <c r="C344" t="s">
        <v>76</v>
      </c>
      <c r="D344" t="s">
        <v>77</v>
      </c>
      <c r="E344" s="1" t="s">
        <v>89</v>
      </c>
      <c r="F344" t="s">
        <v>90</v>
      </c>
      <c r="G344">
        <v>35</v>
      </c>
      <c r="H344">
        <v>76375000</v>
      </c>
      <c r="I344">
        <v>73957200</v>
      </c>
      <c r="J344">
        <v>2</v>
      </c>
      <c r="K344">
        <v>11</v>
      </c>
      <c r="L344">
        <v>-2417800</v>
      </c>
      <c r="M344">
        <v>0.50804152403809699</v>
      </c>
      <c r="N344" s="1" t="s">
        <v>710</v>
      </c>
      <c r="O344" s="1" t="s">
        <v>711</v>
      </c>
      <c r="P344">
        <v>1</v>
      </c>
      <c r="Q344">
        <v>0</v>
      </c>
      <c r="R344">
        <v>1</v>
      </c>
      <c r="S344">
        <v>0</v>
      </c>
      <c r="T344">
        <v>238.2333423</v>
      </c>
      <c r="U344">
        <f t="shared" si="10"/>
        <v>1</v>
      </c>
      <c r="V344">
        <f t="shared" si="11"/>
        <v>1</v>
      </c>
    </row>
    <row r="345" spans="1:22" x14ac:dyDescent="0.2">
      <c r="A345" t="s">
        <v>620</v>
      </c>
      <c r="B345" t="s">
        <v>11</v>
      </c>
      <c r="C345" t="s">
        <v>76</v>
      </c>
      <c r="D345" t="s">
        <v>77</v>
      </c>
      <c r="E345" s="1" t="s">
        <v>138</v>
      </c>
      <c r="F345" t="s">
        <v>139</v>
      </c>
      <c r="G345">
        <v>22</v>
      </c>
      <c r="H345">
        <v>276511400</v>
      </c>
      <c r="I345">
        <v>416592200</v>
      </c>
      <c r="J345">
        <v>2</v>
      </c>
      <c r="K345">
        <v>7</v>
      </c>
      <c r="L345">
        <v>140080800</v>
      </c>
      <c r="M345" s="1" t="s">
        <v>712</v>
      </c>
      <c r="N345" s="1" t="s">
        <v>713</v>
      </c>
      <c r="O345">
        <v>4.3905112366192899E-3</v>
      </c>
      <c r="P345">
        <v>1</v>
      </c>
      <c r="Q345">
        <v>0</v>
      </c>
      <c r="R345">
        <v>1</v>
      </c>
      <c r="S345">
        <v>1</v>
      </c>
      <c r="T345">
        <v>238.2333423</v>
      </c>
      <c r="U345">
        <f t="shared" si="10"/>
        <v>1</v>
      </c>
      <c r="V345">
        <f t="shared" si="11"/>
        <v>1</v>
      </c>
    </row>
    <row r="346" spans="1:22" x14ac:dyDescent="0.2">
      <c r="A346" t="s">
        <v>620</v>
      </c>
      <c r="B346" t="s">
        <v>11</v>
      </c>
      <c r="C346" t="s">
        <v>76</v>
      </c>
      <c r="D346" t="s">
        <v>77</v>
      </c>
      <c r="E346" s="1" t="s">
        <v>155</v>
      </c>
      <c r="F346" t="s">
        <v>156</v>
      </c>
      <c r="G346" s="1" t="s">
        <v>82</v>
      </c>
      <c r="H346">
        <v>200276000</v>
      </c>
      <c r="I346">
        <v>3263583700</v>
      </c>
      <c r="J346">
        <v>3</v>
      </c>
      <c r="K346">
        <v>1</v>
      </c>
      <c r="L346">
        <v>3063307700</v>
      </c>
      <c r="M346" s="1" t="s">
        <v>714</v>
      </c>
      <c r="N346" s="1" t="s">
        <v>715</v>
      </c>
      <c r="O346" s="1" t="s">
        <v>716</v>
      </c>
      <c r="P346">
        <v>1</v>
      </c>
      <c r="Q346">
        <v>1</v>
      </c>
      <c r="R346">
        <v>1</v>
      </c>
      <c r="S346">
        <v>1</v>
      </c>
      <c r="T346">
        <v>238.2333423</v>
      </c>
      <c r="U346">
        <f t="shared" si="10"/>
        <v>1</v>
      </c>
      <c r="V346">
        <f t="shared" si="11"/>
        <v>1</v>
      </c>
    </row>
    <row r="347" spans="1:22" x14ac:dyDescent="0.2">
      <c r="A347" t="s">
        <v>620</v>
      </c>
      <c r="B347" t="s">
        <v>11</v>
      </c>
      <c r="C347" t="s">
        <v>76</v>
      </c>
      <c r="D347" t="s">
        <v>77</v>
      </c>
      <c r="E347">
        <v>13</v>
      </c>
      <c r="F347" t="s">
        <v>91</v>
      </c>
      <c r="G347">
        <v>69</v>
      </c>
      <c r="H347">
        <v>174055200</v>
      </c>
      <c r="I347">
        <v>429408400</v>
      </c>
      <c r="J347">
        <v>2</v>
      </c>
      <c r="K347">
        <v>5</v>
      </c>
      <c r="L347">
        <v>255353200</v>
      </c>
      <c r="M347" s="1" t="s">
        <v>717</v>
      </c>
      <c r="N347" s="1" t="s">
        <v>718</v>
      </c>
      <c r="O347">
        <v>3.8226806449868801E-3</v>
      </c>
      <c r="P347">
        <v>1</v>
      </c>
      <c r="Q347">
        <v>1</v>
      </c>
      <c r="R347">
        <v>1</v>
      </c>
      <c r="S347">
        <v>1</v>
      </c>
      <c r="T347">
        <v>238.2333423</v>
      </c>
      <c r="U347">
        <f t="shared" si="10"/>
        <v>1</v>
      </c>
      <c r="V347">
        <f t="shared" si="11"/>
        <v>1</v>
      </c>
    </row>
    <row r="348" spans="1:22" x14ac:dyDescent="0.2">
      <c r="A348" t="s">
        <v>620</v>
      </c>
      <c r="B348" t="s">
        <v>11</v>
      </c>
      <c r="C348" t="s">
        <v>76</v>
      </c>
      <c r="D348" t="s">
        <v>77</v>
      </c>
      <c r="E348">
        <v>15</v>
      </c>
      <c r="F348" t="s">
        <v>88</v>
      </c>
      <c r="G348">
        <v>83</v>
      </c>
      <c r="H348">
        <v>259215500</v>
      </c>
      <c r="I348">
        <v>425855500</v>
      </c>
      <c r="J348">
        <v>2</v>
      </c>
      <c r="K348">
        <v>4</v>
      </c>
      <c r="L348">
        <v>166640000</v>
      </c>
      <c r="M348" s="1" t="s">
        <v>719</v>
      </c>
      <c r="N348" s="1" t="s">
        <v>720</v>
      </c>
      <c r="O348">
        <v>4.3396281932196199E-3</v>
      </c>
      <c r="P348">
        <v>1</v>
      </c>
      <c r="Q348">
        <v>1</v>
      </c>
      <c r="R348">
        <v>1</v>
      </c>
      <c r="S348">
        <v>1</v>
      </c>
      <c r="T348">
        <v>238.2333423</v>
      </c>
      <c r="U348">
        <f t="shared" si="10"/>
        <v>1</v>
      </c>
      <c r="V348">
        <f t="shared" si="11"/>
        <v>1</v>
      </c>
    </row>
    <row r="349" spans="1:22" x14ac:dyDescent="0.2">
      <c r="A349" t="s">
        <v>620</v>
      </c>
      <c r="B349" t="s">
        <v>11</v>
      </c>
      <c r="C349" t="s">
        <v>76</v>
      </c>
      <c r="D349" t="s">
        <v>77</v>
      </c>
      <c r="E349" s="1" t="s">
        <v>85</v>
      </c>
      <c r="F349" t="s">
        <v>86</v>
      </c>
      <c r="G349">
        <v>26</v>
      </c>
      <c r="H349">
        <v>21640700</v>
      </c>
      <c r="I349">
        <v>7575000</v>
      </c>
      <c r="J349">
        <v>28</v>
      </c>
      <c r="K349">
        <v>15</v>
      </c>
      <c r="L349">
        <v>-14065700</v>
      </c>
      <c r="M349" s="1" t="s">
        <v>721</v>
      </c>
      <c r="N349" s="1" t="s">
        <v>722</v>
      </c>
      <c r="O349" s="1" t="s">
        <v>723</v>
      </c>
      <c r="P349">
        <v>0</v>
      </c>
      <c r="Q349">
        <v>0</v>
      </c>
      <c r="R349">
        <v>0</v>
      </c>
      <c r="S349">
        <v>0</v>
      </c>
      <c r="T349">
        <v>238.2333423</v>
      </c>
      <c r="U349">
        <f t="shared" si="10"/>
        <v>0</v>
      </c>
      <c r="V349">
        <f t="shared" si="11"/>
        <v>0</v>
      </c>
    </row>
    <row r="350" spans="1:22" x14ac:dyDescent="0.2">
      <c r="A350" t="s">
        <v>620</v>
      </c>
      <c r="B350" t="s">
        <v>11</v>
      </c>
      <c r="C350" t="s">
        <v>76</v>
      </c>
      <c r="D350" t="s">
        <v>77</v>
      </c>
      <c r="E350">
        <v>15</v>
      </c>
      <c r="F350" t="s">
        <v>88</v>
      </c>
      <c r="G350">
        <v>75</v>
      </c>
      <c r="H350">
        <v>24538700</v>
      </c>
      <c r="I350">
        <v>914100</v>
      </c>
      <c r="J350">
        <v>22</v>
      </c>
      <c r="K350">
        <v>23</v>
      </c>
      <c r="L350">
        <v>-23624600</v>
      </c>
      <c r="M350" s="1" t="s">
        <v>724</v>
      </c>
      <c r="N350">
        <v>3.59135340709077E-2</v>
      </c>
      <c r="O350" s="1" t="s">
        <v>725</v>
      </c>
      <c r="P350">
        <v>0</v>
      </c>
      <c r="Q350">
        <v>0</v>
      </c>
      <c r="R350">
        <v>0</v>
      </c>
      <c r="S350">
        <v>0</v>
      </c>
      <c r="T350">
        <v>238.2333423</v>
      </c>
      <c r="U350">
        <f t="shared" si="10"/>
        <v>0</v>
      </c>
      <c r="V350">
        <f t="shared" si="11"/>
        <v>0</v>
      </c>
    </row>
    <row r="351" spans="1:22" x14ac:dyDescent="0.2">
      <c r="A351" t="s">
        <v>620</v>
      </c>
      <c r="B351" t="s">
        <v>11</v>
      </c>
      <c r="C351" t="s">
        <v>76</v>
      </c>
      <c r="D351" t="s">
        <v>77</v>
      </c>
      <c r="E351" s="1" t="s">
        <v>163</v>
      </c>
      <c r="F351" t="s">
        <v>224</v>
      </c>
      <c r="G351">
        <v>42</v>
      </c>
      <c r="H351">
        <v>72788300</v>
      </c>
      <c r="I351">
        <v>73583400</v>
      </c>
      <c r="J351">
        <v>1</v>
      </c>
      <c r="K351">
        <v>8</v>
      </c>
      <c r="L351">
        <v>795100</v>
      </c>
      <c r="M351" s="1" t="s">
        <v>726</v>
      </c>
      <c r="N351" s="1" t="s">
        <v>727</v>
      </c>
      <c r="O351" s="1" t="s">
        <v>728</v>
      </c>
      <c r="P351">
        <v>1</v>
      </c>
      <c r="Q351">
        <v>0</v>
      </c>
      <c r="R351">
        <v>1</v>
      </c>
      <c r="S351">
        <v>1</v>
      </c>
      <c r="T351">
        <v>238.2333423</v>
      </c>
      <c r="U351">
        <f t="shared" si="10"/>
        <v>1</v>
      </c>
      <c r="V351">
        <f t="shared" si="11"/>
        <v>1</v>
      </c>
    </row>
    <row r="352" spans="1:22" x14ac:dyDescent="0.2">
      <c r="A352" t="s">
        <v>620</v>
      </c>
      <c r="B352" t="s">
        <v>11</v>
      </c>
      <c r="C352" t="s">
        <v>76</v>
      </c>
      <c r="D352" t="s">
        <v>77</v>
      </c>
      <c r="E352">
        <v>20</v>
      </c>
      <c r="F352" t="s">
        <v>104</v>
      </c>
      <c r="G352">
        <v>94</v>
      </c>
      <c r="H352">
        <v>420240100</v>
      </c>
      <c r="I352">
        <v>1546903500</v>
      </c>
      <c r="J352">
        <v>2</v>
      </c>
      <c r="K352">
        <v>3</v>
      </c>
      <c r="L352">
        <v>1126663400</v>
      </c>
      <c r="M352" s="1" t="s">
        <v>729</v>
      </c>
      <c r="N352" s="1" t="s">
        <v>730</v>
      </c>
      <c r="O352" s="1" t="s">
        <v>731</v>
      </c>
      <c r="P352">
        <v>1</v>
      </c>
      <c r="Q352">
        <v>1</v>
      </c>
      <c r="R352">
        <v>1</v>
      </c>
      <c r="S352">
        <v>1</v>
      </c>
      <c r="T352">
        <v>238.2333423</v>
      </c>
      <c r="U352">
        <f t="shared" si="10"/>
        <v>1</v>
      </c>
      <c r="V352">
        <f t="shared" si="11"/>
        <v>1</v>
      </c>
    </row>
    <row r="353" spans="1:22" x14ac:dyDescent="0.2">
      <c r="A353" t="s">
        <v>620</v>
      </c>
      <c r="B353" t="s">
        <v>11</v>
      </c>
      <c r="C353" t="s">
        <v>76</v>
      </c>
      <c r="D353" t="s">
        <v>77</v>
      </c>
      <c r="E353">
        <v>11</v>
      </c>
      <c r="F353" t="s">
        <v>127</v>
      </c>
      <c r="G353">
        <v>56</v>
      </c>
      <c r="H353">
        <v>152563700</v>
      </c>
      <c r="I353">
        <v>248662900</v>
      </c>
      <c r="J353">
        <v>2</v>
      </c>
      <c r="K353">
        <v>2</v>
      </c>
      <c r="L353">
        <v>96099200</v>
      </c>
      <c r="M353" s="1" t="s">
        <v>732</v>
      </c>
      <c r="N353" s="1" t="s">
        <v>733</v>
      </c>
      <c r="O353">
        <v>2.5415968056298499E-3</v>
      </c>
      <c r="P353">
        <v>1</v>
      </c>
      <c r="Q353">
        <v>1</v>
      </c>
      <c r="R353">
        <v>1</v>
      </c>
      <c r="S353">
        <v>1</v>
      </c>
      <c r="T353">
        <v>238.2333423</v>
      </c>
      <c r="U353">
        <f t="shared" si="10"/>
        <v>1</v>
      </c>
      <c r="V353">
        <f t="shared" si="11"/>
        <v>1</v>
      </c>
    </row>
    <row r="354" spans="1:22" x14ac:dyDescent="0.2">
      <c r="A354" t="s">
        <v>620</v>
      </c>
      <c r="B354" t="s">
        <v>11</v>
      </c>
      <c r="C354" t="s">
        <v>76</v>
      </c>
      <c r="D354" t="s">
        <v>77</v>
      </c>
      <c r="E354">
        <v>10</v>
      </c>
      <c r="F354" t="s">
        <v>119</v>
      </c>
      <c r="G354">
        <v>47</v>
      </c>
      <c r="H354">
        <v>68359800</v>
      </c>
      <c r="I354">
        <v>41117800</v>
      </c>
      <c r="J354">
        <v>8</v>
      </c>
      <c r="K354">
        <v>6</v>
      </c>
      <c r="L354">
        <v>-27242000</v>
      </c>
      <c r="M354" s="1" t="s">
        <v>734</v>
      </c>
      <c r="N354" s="1" t="s">
        <v>735</v>
      </c>
      <c r="O354" s="1" t="s">
        <v>736</v>
      </c>
      <c r="P354">
        <v>0</v>
      </c>
      <c r="Q354">
        <v>0</v>
      </c>
      <c r="R354">
        <v>1</v>
      </c>
      <c r="S354">
        <v>1</v>
      </c>
      <c r="T354">
        <v>238.2333423</v>
      </c>
      <c r="U354">
        <f t="shared" si="10"/>
        <v>0</v>
      </c>
      <c r="V354">
        <f t="shared" si="11"/>
        <v>1</v>
      </c>
    </row>
    <row r="355" spans="1:22" x14ac:dyDescent="0.2">
      <c r="A355" t="s">
        <v>620</v>
      </c>
      <c r="B355" t="s">
        <v>11</v>
      </c>
      <c r="C355" t="s">
        <v>76</v>
      </c>
      <c r="D355" t="s">
        <v>77</v>
      </c>
      <c r="E355">
        <v>11</v>
      </c>
      <c r="F355" t="s">
        <v>127</v>
      </c>
      <c r="G355">
        <v>62</v>
      </c>
      <c r="H355">
        <v>309863000</v>
      </c>
      <c r="I355">
        <v>888074000</v>
      </c>
      <c r="J355">
        <v>2</v>
      </c>
      <c r="K355">
        <v>5</v>
      </c>
      <c r="L355">
        <v>578211000</v>
      </c>
      <c r="M355" s="1" t="s">
        <v>737</v>
      </c>
      <c r="N355" s="1" t="s">
        <v>738</v>
      </c>
      <c r="O355">
        <v>7.5884122651534401E-3</v>
      </c>
      <c r="P355">
        <v>1</v>
      </c>
      <c r="Q355">
        <v>1</v>
      </c>
      <c r="R355">
        <v>1</v>
      </c>
      <c r="S355">
        <v>1</v>
      </c>
      <c r="T355">
        <v>238.2333423</v>
      </c>
      <c r="U355">
        <f t="shared" si="10"/>
        <v>1</v>
      </c>
      <c r="V355">
        <f t="shared" si="11"/>
        <v>1</v>
      </c>
    </row>
    <row r="356" spans="1:22" x14ac:dyDescent="0.2">
      <c r="A356" t="s">
        <v>620</v>
      </c>
      <c r="B356" t="s">
        <v>11</v>
      </c>
      <c r="C356" t="s">
        <v>76</v>
      </c>
      <c r="D356" t="s">
        <v>77</v>
      </c>
      <c r="E356" s="1" t="s">
        <v>155</v>
      </c>
      <c r="F356" t="s">
        <v>156</v>
      </c>
      <c r="G356" s="1" t="s">
        <v>138</v>
      </c>
      <c r="H356">
        <v>200014600</v>
      </c>
      <c r="I356">
        <v>9489403000</v>
      </c>
      <c r="J356">
        <v>2</v>
      </c>
      <c r="K356">
        <v>1</v>
      </c>
      <c r="L356">
        <v>9289388400</v>
      </c>
      <c r="M356" s="1" t="s">
        <v>739</v>
      </c>
      <c r="N356" s="1" t="s">
        <v>740</v>
      </c>
      <c r="O356" s="1" t="s">
        <v>741</v>
      </c>
      <c r="P356">
        <v>1</v>
      </c>
      <c r="Q356">
        <v>1</v>
      </c>
      <c r="R356">
        <v>1</v>
      </c>
      <c r="S356">
        <v>1</v>
      </c>
      <c r="T356">
        <v>238.2333423</v>
      </c>
      <c r="U356">
        <f t="shared" si="10"/>
        <v>1</v>
      </c>
      <c r="V356">
        <f t="shared" si="11"/>
        <v>1</v>
      </c>
    </row>
    <row r="357" spans="1:22" x14ac:dyDescent="0.2">
      <c r="A357" t="s">
        <v>620</v>
      </c>
      <c r="B357" t="s">
        <v>11</v>
      </c>
      <c r="C357" t="s">
        <v>76</v>
      </c>
      <c r="D357" t="s">
        <v>77</v>
      </c>
      <c r="E357">
        <v>11</v>
      </c>
      <c r="F357" t="s">
        <v>127</v>
      </c>
      <c r="G357">
        <v>54</v>
      </c>
      <c r="H357">
        <v>141776000</v>
      </c>
      <c r="I357">
        <v>432445300</v>
      </c>
      <c r="J357">
        <v>1</v>
      </c>
      <c r="K357">
        <v>2</v>
      </c>
      <c r="L357">
        <v>290669300</v>
      </c>
      <c r="M357" s="1" t="s">
        <v>742</v>
      </c>
      <c r="N357">
        <v>0.75309867467472902</v>
      </c>
      <c r="O357">
        <v>3.6374433345262298E-3</v>
      </c>
      <c r="P357">
        <v>1</v>
      </c>
      <c r="Q357">
        <v>1</v>
      </c>
      <c r="R357">
        <v>1</v>
      </c>
      <c r="S357">
        <v>1</v>
      </c>
      <c r="T357">
        <v>238.2333423</v>
      </c>
      <c r="U357">
        <f t="shared" si="10"/>
        <v>1</v>
      </c>
      <c r="V357">
        <f t="shared" si="11"/>
        <v>1</v>
      </c>
    </row>
    <row r="358" spans="1:22" x14ac:dyDescent="0.2">
      <c r="A358" t="s">
        <v>620</v>
      </c>
      <c r="B358" t="s">
        <v>11</v>
      </c>
      <c r="C358" t="s">
        <v>76</v>
      </c>
      <c r="D358" t="s">
        <v>77</v>
      </c>
      <c r="E358">
        <v>11</v>
      </c>
      <c r="F358" t="s">
        <v>127</v>
      </c>
      <c r="G358">
        <v>59</v>
      </c>
      <c r="H358">
        <v>81484200</v>
      </c>
      <c r="I358">
        <v>168933200</v>
      </c>
      <c r="J358">
        <v>2</v>
      </c>
      <c r="K358">
        <v>3</v>
      </c>
      <c r="L358">
        <v>87449000</v>
      </c>
      <c r="M358" s="1" t="s">
        <v>743</v>
      </c>
      <c r="N358" s="1" t="s">
        <v>744</v>
      </c>
      <c r="O358">
        <v>1.5862858143356701E-3</v>
      </c>
      <c r="P358">
        <v>1</v>
      </c>
      <c r="Q358">
        <v>1</v>
      </c>
      <c r="R358">
        <v>1</v>
      </c>
      <c r="S358">
        <v>1</v>
      </c>
      <c r="T358">
        <v>238.2333423</v>
      </c>
      <c r="U358">
        <f t="shared" si="10"/>
        <v>1</v>
      </c>
      <c r="V358">
        <f t="shared" si="11"/>
        <v>1</v>
      </c>
    </row>
    <row r="359" spans="1:22" x14ac:dyDescent="0.2">
      <c r="A359" t="s">
        <v>620</v>
      </c>
      <c r="B359" t="s">
        <v>11</v>
      </c>
      <c r="C359" t="s">
        <v>76</v>
      </c>
      <c r="D359" t="s">
        <v>77</v>
      </c>
      <c r="E359">
        <v>11</v>
      </c>
      <c r="F359" t="s">
        <v>127</v>
      </c>
      <c r="G359">
        <v>52</v>
      </c>
      <c r="H359">
        <v>153653600</v>
      </c>
      <c r="I359">
        <v>109620100</v>
      </c>
      <c r="J359">
        <v>1</v>
      </c>
      <c r="K359">
        <v>3</v>
      </c>
      <c r="L359">
        <v>-44033500</v>
      </c>
      <c r="M359" s="1" t="s">
        <v>745</v>
      </c>
      <c r="N359" s="1" t="s">
        <v>746</v>
      </c>
      <c r="O359">
        <v>1.66772490888279E-3</v>
      </c>
      <c r="P359">
        <v>1</v>
      </c>
      <c r="Q359">
        <v>1</v>
      </c>
      <c r="R359">
        <v>1</v>
      </c>
      <c r="S359">
        <v>1</v>
      </c>
      <c r="T359">
        <v>238.2333423</v>
      </c>
      <c r="U359">
        <f t="shared" si="10"/>
        <v>1</v>
      </c>
      <c r="V359">
        <f t="shared" si="11"/>
        <v>1</v>
      </c>
    </row>
    <row r="360" spans="1:22" x14ac:dyDescent="0.2">
      <c r="A360" t="s">
        <v>620</v>
      </c>
      <c r="B360" t="s">
        <v>11</v>
      </c>
      <c r="C360" t="s">
        <v>76</v>
      </c>
      <c r="D360" t="s">
        <v>77</v>
      </c>
      <c r="E360">
        <v>11</v>
      </c>
      <c r="F360" t="s">
        <v>127</v>
      </c>
      <c r="G360">
        <v>61</v>
      </c>
      <c r="H360">
        <v>291395100</v>
      </c>
      <c r="I360">
        <v>774372300</v>
      </c>
      <c r="J360">
        <v>2</v>
      </c>
      <c r="K360">
        <v>5</v>
      </c>
      <c r="L360">
        <v>482977200</v>
      </c>
      <c r="M360" s="1" t="s">
        <v>747</v>
      </c>
      <c r="N360" s="1" t="s">
        <v>748</v>
      </c>
      <c r="O360">
        <v>6.7511750701086098E-3</v>
      </c>
      <c r="P360">
        <v>1</v>
      </c>
      <c r="Q360">
        <v>1</v>
      </c>
      <c r="R360">
        <v>1</v>
      </c>
      <c r="S360">
        <v>1</v>
      </c>
      <c r="T360">
        <v>238.2333423</v>
      </c>
      <c r="U360">
        <f t="shared" si="10"/>
        <v>1</v>
      </c>
      <c r="V360">
        <f t="shared" si="11"/>
        <v>1</v>
      </c>
    </row>
    <row r="361" spans="1:22" x14ac:dyDescent="0.2">
      <c r="A361" t="s">
        <v>620</v>
      </c>
      <c r="B361" t="s">
        <v>11</v>
      </c>
      <c r="C361" t="s">
        <v>76</v>
      </c>
      <c r="D361" t="s">
        <v>77</v>
      </c>
      <c r="E361" s="1" t="s">
        <v>82</v>
      </c>
      <c r="F361" t="s">
        <v>83</v>
      </c>
      <c r="G361" s="1" t="s">
        <v>99</v>
      </c>
      <c r="H361">
        <v>50563300</v>
      </c>
      <c r="I361">
        <v>1028458800</v>
      </c>
      <c r="J361">
        <v>11</v>
      </c>
      <c r="K361">
        <v>3</v>
      </c>
      <c r="L361">
        <v>977895500</v>
      </c>
      <c r="M361">
        <v>4.6860300637030498E-2</v>
      </c>
      <c r="N361" s="1" t="s">
        <v>749</v>
      </c>
      <c r="O361">
        <v>6.8351378561740898E-3</v>
      </c>
      <c r="P361">
        <v>0</v>
      </c>
      <c r="Q361">
        <v>1</v>
      </c>
      <c r="R361">
        <v>0</v>
      </c>
      <c r="S361">
        <v>1</v>
      </c>
      <c r="T361">
        <v>238.2333423</v>
      </c>
      <c r="U361">
        <f t="shared" si="10"/>
        <v>1</v>
      </c>
      <c r="V361">
        <f t="shared" si="11"/>
        <v>1</v>
      </c>
    </row>
    <row r="362" spans="1:22" x14ac:dyDescent="0.2">
      <c r="A362" t="s">
        <v>620</v>
      </c>
      <c r="B362" t="s">
        <v>11</v>
      </c>
      <c r="C362" t="s">
        <v>76</v>
      </c>
      <c r="D362" t="s">
        <v>77</v>
      </c>
      <c r="E362">
        <v>12</v>
      </c>
      <c r="F362" t="s">
        <v>194</v>
      </c>
      <c r="G362">
        <v>65</v>
      </c>
      <c r="H362">
        <v>29630300</v>
      </c>
      <c r="I362">
        <v>36122900</v>
      </c>
      <c r="J362">
        <v>1</v>
      </c>
      <c r="K362">
        <v>5</v>
      </c>
      <c r="L362">
        <v>6492600</v>
      </c>
      <c r="M362" s="1" t="s">
        <v>750</v>
      </c>
      <c r="N362" s="1" t="s">
        <v>751</v>
      </c>
      <c r="O362" s="1" t="s">
        <v>752</v>
      </c>
      <c r="P362">
        <v>1</v>
      </c>
      <c r="Q362">
        <v>1</v>
      </c>
      <c r="R362">
        <v>1</v>
      </c>
      <c r="S362">
        <v>1</v>
      </c>
      <c r="T362">
        <v>238.2333423</v>
      </c>
      <c r="U362">
        <f t="shared" si="10"/>
        <v>1</v>
      </c>
      <c r="V362">
        <f t="shared" si="11"/>
        <v>1</v>
      </c>
    </row>
    <row r="363" spans="1:22" x14ac:dyDescent="0.2">
      <c r="A363" t="s">
        <v>620</v>
      </c>
      <c r="B363" t="s">
        <v>11</v>
      </c>
      <c r="C363" t="s">
        <v>76</v>
      </c>
      <c r="D363" t="s">
        <v>77</v>
      </c>
      <c r="E363" s="1" t="s">
        <v>89</v>
      </c>
      <c r="F363" t="s">
        <v>90</v>
      </c>
      <c r="G363">
        <v>37</v>
      </c>
      <c r="H363">
        <v>25625000</v>
      </c>
      <c r="I363">
        <v>9853900</v>
      </c>
      <c r="J363">
        <v>1</v>
      </c>
      <c r="K363">
        <v>9</v>
      </c>
      <c r="L363">
        <v>-15771100</v>
      </c>
      <c r="M363" s="1" t="s">
        <v>753</v>
      </c>
      <c r="N363" s="1" t="s">
        <v>754</v>
      </c>
      <c r="O363" s="1" t="s">
        <v>755</v>
      </c>
      <c r="P363">
        <v>1</v>
      </c>
      <c r="Q363">
        <v>0</v>
      </c>
      <c r="R363">
        <v>1</v>
      </c>
      <c r="S363">
        <v>1</v>
      </c>
      <c r="T363">
        <v>238.2333423</v>
      </c>
      <c r="U363">
        <f t="shared" si="10"/>
        <v>1</v>
      </c>
      <c r="V363">
        <f t="shared" si="11"/>
        <v>1</v>
      </c>
    </row>
    <row r="364" spans="1:22" x14ac:dyDescent="0.2">
      <c r="A364" t="s">
        <v>620</v>
      </c>
      <c r="B364" t="s">
        <v>11</v>
      </c>
      <c r="C364" t="s">
        <v>76</v>
      </c>
      <c r="D364" t="s">
        <v>77</v>
      </c>
      <c r="E364">
        <v>20</v>
      </c>
      <c r="F364" t="s">
        <v>104</v>
      </c>
      <c r="G364">
        <v>95</v>
      </c>
      <c r="H364">
        <v>236369500</v>
      </c>
      <c r="I364">
        <v>312235200</v>
      </c>
      <c r="J364">
        <v>2</v>
      </c>
      <c r="K364">
        <v>4</v>
      </c>
      <c r="L364">
        <v>75865700</v>
      </c>
      <c r="M364" s="1" t="s">
        <v>756</v>
      </c>
      <c r="N364" s="1" t="s">
        <v>757</v>
      </c>
      <c r="O364">
        <v>3.4751732638701599E-3</v>
      </c>
      <c r="P364">
        <v>1</v>
      </c>
      <c r="Q364">
        <v>1</v>
      </c>
      <c r="R364">
        <v>1</v>
      </c>
      <c r="S364">
        <v>1</v>
      </c>
      <c r="T364">
        <v>238.2333423</v>
      </c>
      <c r="U364">
        <f t="shared" si="10"/>
        <v>1</v>
      </c>
      <c r="V364">
        <f t="shared" si="11"/>
        <v>1</v>
      </c>
    </row>
    <row r="365" spans="1:22" x14ac:dyDescent="0.2">
      <c r="A365" t="s">
        <v>620</v>
      </c>
      <c r="B365" t="s">
        <v>11</v>
      </c>
      <c r="C365" t="s">
        <v>76</v>
      </c>
      <c r="D365" t="s">
        <v>77</v>
      </c>
      <c r="E365">
        <v>11</v>
      </c>
      <c r="F365" t="s">
        <v>127</v>
      </c>
      <c r="G365">
        <v>58</v>
      </c>
      <c r="H365">
        <v>49386200</v>
      </c>
      <c r="I365">
        <v>76584000</v>
      </c>
      <c r="J365">
        <v>1</v>
      </c>
      <c r="K365">
        <v>2</v>
      </c>
      <c r="L365">
        <v>27197800</v>
      </c>
      <c r="M365" s="1" t="s">
        <v>758</v>
      </c>
      <c r="N365" s="1" t="s">
        <v>759</v>
      </c>
      <c r="O365" s="1" t="s">
        <v>760</v>
      </c>
      <c r="P365">
        <v>1</v>
      </c>
      <c r="Q365">
        <v>1</v>
      </c>
      <c r="R365">
        <v>1</v>
      </c>
      <c r="S365">
        <v>1</v>
      </c>
      <c r="T365">
        <v>238.2333423</v>
      </c>
      <c r="U365">
        <f t="shared" si="10"/>
        <v>1</v>
      </c>
      <c r="V365">
        <f t="shared" si="11"/>
        <v>1</v>
      </c>
    </row>
    <row r="366" spans="1:22" x14ac:dyDescent="0.2">
      <c r="A366" t="s">
        <v>620</v>
      </c>
      <c r="B366" t="s">
        <v>11</v>
      </c>
      <c r="C366" t="s">
        <v>76</v>
      </c>
      <c r="D366" t="s">
        <v>77</v>
      </c>
      <c r="E366">
        <v>15</v>
      </c>
      <c r="F366" t="s">
        <v>88</v>
      </c>
      <c r="G366">
        <v>81</v>
      </c>
      <c r="H366">
        <v>14407100</v>
      </c>
      <c r="I366">
        <v>4133600</v>
      </c>
      <c r="J366">
        <v>26</v>
      </c>
      <c r="K366">
        <v>14</v>
      </c>
      <c r="L366">
        <v>-10273500</v>
      </c>
      <c r="M366" s="1" t="s">
        <v>761</v>
      </c>
      <c r="N366" s="1" t="s">
        <v>762</v>
      </c>
      <c r="O366" s="1" t="s">
        <v>763</v>
      </c>
      <c r="P366">
        <v>0</v>
      </c>
      <c r="Q366">
        <v>0</v>
      </c>
      <c r="R366">
        <v>0</v>
      </c>
      <c r="S366">
        <v>0</v>
      </c>
      <c r="T366">
        <v>238.2333423</v>
      </c>
      <c r="U366">
        <f t="shared" si="10"/>
        <v>0</v>
      </c>
      <c r="V366">
        <f t="shared" si="11"/>
        <v>0</v>
      </c>
    </row>
    <row r="367" spans="1:22" x14ac:dyDescent="0.2">
      <c r="A367" t="s">
        <v>620</v>
      </c>
      <c r="B367" t="s">
        <v>11</v>
      </c>
      <c r="C367" t="s">
        <v>76</v>
      </c>
      <c r="D367" t="s">
        <v>77</v>
      </c>
      <c r="E367" s="1" t="s">
        <v>82</v>
      </c>
      <c r="F367" t="s">
        <v>83</v>
      </c>
      <c r="G367">
        <v>13</v>
      </c>
      <c r="H367">
        <v>26801100</v>
      </c>
      <c r="I367">
        <v>7557100</v>
      </c>
      <c r="J367">
        <v>1</v>
      </c>
      <c r="K367">
        <v>18</v>
      </c>
      <c r="L367">
        <v>-19244000</v>
      </c>
      <c r="M367" s="1" t="s">
        <v>764</v>
      </c>
      <c r="N367" s="1" t="s">
        <v>765</v>
      </c>
      <c r="O367" s="1" t="s">
        <v>766</v>
      </c>
      <c r="P367">
        <v>1</v>
      </c>
      <c r="Q367">
        <v>0</v>
      </c>
      <c r="R367">
        <v>1</v>
      </c>
      <c r="S367">
        <v>0</v>
      </c>
      <c r="T367">
        <v>238.2333423</v>
      </c>
      <c r="U367">
        <f t="shared" si="10"/>
        <v>1</v>
      </c>
      <c r="V367">
        <f t="shared" si="11"/>
        <v>1</v>
      </c>
    </row>
    <row r="368" spans="1:22" x14ac:dyDescent="0.2">
      <c r="A368" t="s">
        <v>620</v>
      </c>
      <c r="B368" t="s">
        <v>11</v>
      </c>
      <c r="C368" t="s">
        <v>76</v>
      </c>
      <c r="D368" t="s">
        <v>77</v>
      </c>
      <c r="E368" s="1" t="s">
        <v>155</v>
      </c>
      <c r="F368" t="s">
        <v>156</v>
      </c>
      <c r="G368" s="1" t="s">
        <v>155</v>
      </c>
      <c r="H368">
        <v>10374200</v>
      </c>
      <c r="I368">
        <v>25388200</v>
      </c>
      <c r="J368">
        <v>6</v>
      </c>
      <c r="K368">
        <v>8</v>
      </c>
      <c r="L368">
        <v>15014000</v>
      </c>
      <c r="M368" s="1" t="s">
        <v>767</v>
      </c>
      <c r="N368" s="1" t="s">
        <v>768</v>
      </c>
      <c r="O368" s="1" t="s">
        <v>769</v>
      </c>
      <c r="P368">
        <v>0</v>
      </c>
      <c r="Q368">
        <v>0</v>
      </c>
      <c r="R368">
        <v>1</v>
      </c>
      <c r="S368">
        <v>1</v>
      </c>
      <c r="T368">
        <v>238.2333423</v>
      </c>
      <c r="U368">
        <f t="shared" si="10"/>
        <v>0</v>
      </c>
      <c r="V368">
        <f t="shared" si="11"/>
        <v>1</v>
      </c>
    </row>
    <row r="369" spans="1:22" x14ac:dyDescent="0.2">
      <c r="A369" t="s">
        <v>620</v>
      </c>
      <c r="B369" t="s">
        <v>11</v>
      </c>
      <c r="C369" t="s">
        <v>76</v>
      </c>
      <c r="D369" t="s">
        <v>77</v>
      </c>
      <c r="E369">
        <v>15</v>
      </c>
      <c r="F369" t="s">
        <v>88</v>
      </c>
      <c r="G369">
        <v>80</v>
      </c>
      <c r="H369">
        <v>9679200</v>
      </c>
      <c r="I369">
        <v>663900</v>
      </c>
      <c r="J369">
        <v>4</v>
      </c>
      <c r="K369">
        <v>10</v>
      </c>
      <c r="L369">
        <v>-9015300</v>
      </c>
      <c r="M369" s="1" t="s">
        <v>770</v>
      </c>
      <c r="N369">
        <v>6.4187719349131298E-2</v>
      </c>
      <c r="O369" s="1" t="s">
        <v>771</v>
      </c>
      <c r="P369">
        <v>1</v>
      </c>
      <c r="Q369">
        <v>0</v>
      </c>
      <c r="R369">
        <v>1</v>
      </c>
      <c r="S369">
        <v>1</v>
      </c>
      <c r="T369">
        <v>238.2333423</v>
      </c>
      <c r="U369">
        <f t="shared" si="10"/>
        <v>1</v>
      </c>
      <c r="V369">
        <f t="shared" si="11"/>
        <v>1</v>
      </c>
    </row>
    <row r="370" spans="1:22" x14ac:dyDescent="0.2">
      <c r="A370" t="s">
        <v>620</v>
      </c>
      <c r="B370" t="s">
        <v>11</v>
      </c>
      <c r="C370" t="s">
        <v>76</v>
      </c>
      <c r="D370" t="s">
        <v>77</v>
      </c>
      <c r="E370">
        <v>11</v>
      </c>
      <c r="F370" t="s">
        <v>127</v>
      </c>
      <c r="G370">
        <v>63</v>
      </c>
      <c r="H370">
        <v>162568400</v>
      </c>
      <c r="I370">
        <v>342082600</v>
      </c>
      <c r="J370">
        <v>1</v>
      </c>
      <c r="K370">
        <v>2</v>
      </c>
      <c r="L370">
        <v>179514200</v>
      </c>
      <c r="M370" s="1" t="s">
        <v>772</v>
      </c>
      <c r="N370" s="1" t="s">
        <v>773</v>
      </c>
      <c r="O370">
        <v>3.1967456035016401E-3</v>
      </c>
      <c r="P370">
        <v>1</v>
      </c>
      <c r="Q370">
        <v>1</v>
      </c>
      <c r="R370">
        <v>1</v>
      </c>
      <c r="S370">
        <v>1</v>
      </c>
      <c r="T370">
        <v>238.2333423</v>
      </c>
      <c r="U370">
        <f t="shared" si="10"/>
        <v>1</v>
      </c>
      <c r="V370">
        <f t="shared" si="11"/>
        <v>1</v>
      </c>
    </row>
    <row r="371" spans="1:22" x14ac:dyDescent="0.2">
      <c r="A371" t="s">
        <v>620</v>
      </c>
      <c r="B371" t="s">
        <v>11</v>
      </c>
      <c r="C371" t="s">
        <v>76</v>
      </c>
      <c r="D371" t="s">
        <v>77</v>
      </c>
      <c r="E371">
        <v>15</v>
      </c>
      <c r="F371" t="s">
        <v>88</v>
      </c>
      <c r="G371">
        <v>78</v>
      </c>
      <c r="H371">
        <v>11058200</v>
      </c>
      <c r="I371">
        <v>758200</v>
      </c>
      <c r="J371">
        <v>18</v>
      </c>
      <c r="K371">
        <v>8</v>
      </c>
      <c r="L371">
        <v>-10300000</v>
      </c>
      <c r="M371" s="1" t="s">
        <v>774</v>
      </c>
      <c r="N371">
        <v>6.4165058731931804E-2</v>
      </c>
      <c r="O371" s="1" t="s">
        <v>775</v>
      </c>
      <c r="P371">
        <v>0</v>
      </c>
      <c r="Q371">
        <v>0</v>
      </c>
      <c r="R371">
        <v>0</v>
      </c>
      <c r="S371">
        <v>1</v>
      </c>
      <c r="T371">
        <v>238.2333423</v>
      </c>
      <c r="U371">
        <f t="shared" si="10"/>
        <v>0</v>
      </c>
      <c r="V371">
        <f t="shared" si="11"/>
        <v>1</v>
      </c>
    </row>
    <row r="372" spans="1:22" x14ac:dyDescent="0.2">
      <c r="A372" t="s">
        <v>620</v>
      </c>
      <c r="B372" t="s">
        <v>11</v>
      </c>
      <c r="C372" t="s">
        <v>76</v>
      </c>
      <c r="D372" t="s">
        <v>77</v>
      </c>
      <c r="E372" s="1" t="s">
        <v>89</v>
      </c>
      <c r="F372" t="s">
        <v>90</v>
      </c>
      <c r="G372">
        <v>36</v>
      </c>
      <c r="H372">
        <v>10433300</v>
      </c>
      <c r="I372">
        <v>20247800</v>
      </c>
      <c r="J372">
        <v>7</v>
      </c>
      <c r="K372">
        <v>2</v>
      </c>
      <c r="L372">
        <v>9814500</v>
      </c>
      <c r="M372">
        <v>0.34005625613162499</v>
      </c>
      <c r="N372">
        <v>0.65994374386837495</v>
      </c>
      <c r="O372" s="1" t="s">
        <v>776</v>
      </c>
      <c r="P372">
        <v>0</v>
      </c>
      <c r="Q372">
        <v>1</v>
      </c>
      <c r="R372">
        <v>1</v>
      </c>
      <c r="S372">
        <v>1</v>
      </c>
      <c r="T372">
        <v>238.2333423</v>
      </c>
      <c r="U372">
        <f t="shared" si="10"/>
        <v>1</v>
      </c>
      <c r="V372">
        <f t="shared" si="11"/>
        <v>1</v>
      </c>
    </row>
    <row r="373" spans="1:22" x14ac:dyDescent="0.2">
      <c r="A373" t="s">
        <v>620</v>
      </c>
      <c r="B373" t="s">
        <v>11</v>
      </c>
      <c r="C373" t="s">
        <v>76</v>
      </c>
      <c r="D373" t="s">
        <v>77</v>
      </c>
      <c r="E373" s="1" t="s">
        <v>155</v>
      </c>
      <c r="F373" t="s">
        <v>156</v>
      </c>
      <c r="G373" s="1" t="s">
        <v>85</v>
      </c>
      <c r="H373">
        <v>16379000</v>
      </c>
      <c r="I373">
        <v>21169000</v>
      </c>
      <c r="J373">
        <v>10</v>
      </c>
      <c r="K373">
        <v>6</v>
      </c>
      <c r="L373">
        <v>4790000</v>
      </c>
      <c r="M373" s="1" t="s">
        <v>777</v>
      </c>
      <c r="N373" s="1" t="s">
        <v>778</v>
      </c>
      <c r="O373" s="1" t="s">
        <v>779</v>
      </c>
      <c r="P373">
        <v>0</v>
      </c>
      <c r="Q373">
        <v>0</v>
      </c>
      <c r="R373">
        <v>1</v>
      </c>
      <c r="S373">
        <v>1</v>
      </c>
      <c r="T373">
        <v>238.2333423</v>
      </c>
      <c r="U373">
        <f t="shared" si="10"/>
        <v>0</v>
      </c>
      <c r="V373">
        <f t="shared" si="11"/>
        <v>1</v>
      </c>
    </row>
    <row r="374" spans="1:22" x14ac:dyDescent="0.2">
      <c r="A374" t="s">
        <v>620</v>
      </c>
      <c r="B374" t="s">
        <v>11</v>
      </c>
      <c r="C374" t="s">
        <v>76</v>
      </c>
      <c r="D374" t="s">
        <v>77</v>
      </c>
      <c r="E374">
        <v>12</v>
      </c>
      <c r="F374" t="s">
        <v>194</v>
      </c>
      <c r="G374">
        <v>67</v>
      </c>
      <c r="H374">
        <v>4071300</v>
      </c>
      <c r="I374">
        <v>5936000</v>
      </c>
      <c r="J374">
        <v>1</v>
      </c>
      <c r="K374">
        <v>5</v>
      </c>
      <c r="L374">
        <v>1864700</v>
      </c>
      <c r="M374" s="1" t="s">
        <v>780</v>
      </c>
      <c r="N374">
        <v>0.59316698809868795</v>
      </c>
      <c r="O374" s="1" t="s">
        <v>781</v>
      </c>
      <c r="P374">
        <v>1</v>
      </c>
      <c r="Q374">
        <v>1</v>
      </c>
      <c r="R374">
        <v>1</v>
      </c>
      <c r="S374">
        <v>1</v>
      </c>
      <c r="T374">
        <v>238.2333423</v>
      </c>
      <c r="U374">
        <f t="shared" si="10"/>
        <v>1</v>
      </c>
      <c r="V374">
        <f t="shared" si="11"/>
        <v>1</v>
      </c>
    </row>
    <row r="375" spans="1:22" x14ac:dyDescent="0.2">
      <c r="A375" t="s">
        <v>620</v>
      </c>
      <c r="B375" t="s">
        <v>11</v>
      </c>
      <c r="C375" t="s">
        <v>76</v>
      </c>
      <c r="D375" t="s">
        <v>77</v>
      </c>
      <c r="E375">
        <v>11</v>
      </c>
      <c r="F375" t="s">
        <v>127</v>
      </c>
      <c r="G375">
        <v>60</v>
      </c>
      <c r="H375">
        <v>70269800</v>
      </c>
      <c r="I375">
        <v>240855500</v>
      </c>
      <c r="J375">
        <v>1</v>
      </c>
      <c r="K375">
        <v>3</v>
      </c>
      <c r="L375">
        <v>170585700</v>
      </c>
      <c r="M375" s="1" t="s">
        <v>782</v>
      </c>
      <c r="N375" s="1" t="s">
        <v>783</v>
      </c>
      <c r="O375">
        <v>1.9708440782107402E-3</v>
      </c>
      <c r="P375">
        <v>1</v>
      </c>
      <c r="Q375">
        <v>1</v>
      </c>
      <c r="R375">
        <v>1</v>
      </c>
      <c r="S375">
        <v>1</v>
      </c>
      <c r="T375">
        <v>238.2333423</v>
      </c>
      <c r="U375">
        <f t="shared" si="10"/>
        <v>1</v>
      </c>
      <c r="V375">
        <f t="shared" si="11"/>
        <v>1</v>
      </c>
    </row>
    <row r="376" spans="1:22" x14ac:dyDescent="0.2">
      <c r="A376" t="s">
        <v>620</v>
      </c>
      <c r="B376" t="s">
        <v>11</v>
      </c>
      <c r="C376" t="s">
        <v>76</v>
      </c>
      <c r="D376" t="s">
        <v>77</v>
      </c>
      <c r="E376">
        <v>17</v>
      </c>
      <c r="F376" t="s">
        <v>97</v>
      </c>
      <c r="G376">
        <v>89</v>
      </c>
      <c r="H376">
        <v>4656700</v>
      </c>
      <c r="I376">
        <v>2500800</v>
      </c>
      <c r="J376">
        <v>18</v>
      </c>
      <c r="K376">
        <v>30</v>
      </c>
      <c r="L376">
        <v>-2155900</v>
      </c>
      <c r="M376">
        <v>0.65060426126440796</v>
      </c>
      <c r="N376" s="1" t="s">
        <v>784</v>
      </c>
      <c r="O376" s="1" t="s">
        <v>785</v>
      </c>
      <c r="P376">
        <v>0</v>
      </c>
      <c r="Q376">
        <v>0</v>
      </c>
      <c r="R376">
        <v>0</v>
      </c>
      <c r="S376">
        <v>0</v>
      </c>
      <c r="T376">
        <v>238.2333423</v>
      </c>
      <c r="U376">
        <f t="shared" si="10"/>
        <v>0</v>
      </c>
      <c r="V376">
        <f t="shared" si="11"/>
        <v>0</v>
      </c>
    </row>
    <row r="377" spans="1:22" x14ac:dyDescent="0.2">
      <c r="A377" t="s">
        <v>620</v>
      </c>
      <c r="B377" t="s">
        <v>11</v>
      </c>
      <c r="C377" t="s">
        <v>76</v>
      </c>
      <c r="D377" t="s">
        <v>77</v>
      </c>
      <c r="E377">
        <v>18</v>
      </c>
      <c r="F377" t="s">
        <v>147</v>
      </c>
      <c r="G377">
        <v>91</v>
      </c>
      <c r="H377">
        <v>22250500</v>
      </c>
      <c r="I377">
        <v>12392100</v>
      </c>
      <c r="J377">
        <v>1</v>
      </c>
      <c r="K377">
        <v>11</v>
      </c>
      <c r="L377">
        <v>-9858400</v>
      </c>
      <c r="M377" s="1" t="s">
        <v>786</v>
      </c>
      <c r="N377" s="1" t="s">
        <v>787</v>
      </c>
      <c r="O377" s="1" t="s">
        <v>788</v>
      </c>
      <c r="P377">
        <v>1</v>
      </c>
      <c r="Q377">
        <v>0</v>
      </c>
      <c r="R377">
        <v>1</v>
      </c>
      <c r="S377">
        <v>0</v>
      </c>
      <c r="T377">
        <v>238.2333423</v>
      </c>
      <c r="U377">
        <f t="shared" si="10"/>
        <v>1</v>
      </c>
      <c r="V377">
        <f t="shared" si="11"/>
        <v>1</v>
      </c>
    </row>
    <row r="378" spans="1:22" x14ac:dyDescent="0.2">
      <c r="A378" t="s">
        <v>620</v>
      </c>
      <c r="B378" t="s">
        <v>11</v>
      </c>
      <c r="C378" t="s">
        <v>76</v>
      </c>
      <c r="D378" t="s">
        <v>77</v>
      </c>
      <c r="E378">
        <v>11</v>
      </c>
      <c r="F378" t="s">
        <v>127</v>
      </c>
      <c r="G378">
        <v>53</v>
      </c>
      <c r="H378">
        <v>4907100</v>
      </c>
      <c r="I378">
        <v>60065800</v>
      </c>
      <c r="J378">
        <v>6</v>
      </c>
      <c r="K378">
        <v>1</v>
      </c>
      <c r="L378">
        <v>55158700</v>
      </c>
      <c r="M378">
        <v>7.5525334408653402E-2</v>
      </c>
      <c r="N378" s="1" t="s">
        <v>789</v>
      </c>
      <c r="O378" s="1" t="s">
        <v>790</v>
      </c>
      <c r="P378">
        <v>0</v>
      </c>
      <c r="Q378">
        <v>1</v>
      </c>
      <c r="R378">
        <v>1</v>
      </c>
      <c r="S378">
        <v>1</v>
      </c>
      <c r="T378">
        <v>238.2333423</v>
      </c>
      <c r="U378">
        <f t="shared" si="10"/>
        <v>1</v>
      </c>
      <c r="V378">
        <f t="shared" si="11"/>
        <v>1</v>
      </c>
    </row>
    <row r="379" spans="1:22" x14ac:dyDescent="0.2">
      <c r="A379" t="s">
        <v>620</v>
      </c>
      <c r="B379" t="s">
        <v>11</v>
      </c>
      <c r="C379" t="s">
        <v>76</v>
      </c>
      <c r="D379" t="s">
        <v>77</v>
      </c>
      <c r="E379">
        <v>11</v>
      </c>
      <c r="F379" t="s">
        <v>127</v>
      </c>
      <c r="G379">
        <v>57</v>
      </c>
      <c r="H379">
        <v>8375900</v>
      </c>
      <c r="I379">
        <v>227658900</v>
      </c>
      <c r="J379">
        <v>2</v>
      </c>
      <c r="K379">
        <v>1</v>
      </c>
      <c r="L379">
        <v>219283000</v>
      </c>
      <c r="M379" s="1" t="s">
        <v>791</v>
      </c>
      <c r="N379" s="1" t="s">
        <v>792</v>
      </c>
      <c r="O379">
        <v>1.4951782700785099E-3</v>
      </c>
      <c r="P379">
        <v>1</v>
      </c>
      <c r="Q379">
        <v>1</v>
      </c>
      <c r="R379">
        <v>1</v>
      </c>
      <c r="S379">
        <v>1</v>
      </c>
      <c r="T379">
        <v>238.2333423</v>
      </c>
      <c r="U379">
        <f t="shared" si="10"/>
        <v>1</v>
      </c>
      <c r="V379">
        <f t="shared" si="11"/>
        <v>1</v>
      </c>
    </row>
    <row r="380" spans="1:22" x14ac:dyDescent="0.2">
      <c r="A380" t="s">
        <v>620</v>
      </c>
      <c r="B380" t="s">
        <v>11</v>
      </c>
      <c r="C380" t="s">
        <v>76</v>
      </c>
      <c r="D380" t="s">
        <v>77</v>
      </c>
      <c r="E380">
        <v>18</v>
      </c>
      <c r="F380" t="s">
        <v>147</v>
      </c>
      <c r="G380">
        <v>92</v>
      </c>
      <c r="H380">
        <v>7918700</v>
      </c>
      <c r="I380">
        <v>2445100</v>
      </c>
      <c r="J380">
        <v>2</v>
      </c>
      <c r="K380">
        <v>14</v>
      </c>
      <c r="L380">
        <v>-5473600</v>
      </c>
      <c r="M380" s="1" t="s">
        <v>793</v>
      </c>
      <c r="N380" s="1" t="s">
        <v>794</v>
      </c>
      <c r="O380" s="1" t="s">
        <v>795</v>
      </c>
      <c r="P380">
        <v>1</v>
      </c>
      <c r="Q380">
        <v>0</v>
      </c>
      <c r="R380">
        <v>1</v>
      </c>
      <c r="S380">
        <v>0</v>
      </c>
      <c r="T380">
        <v>238.2333423</v>
      </c>
      <c r="U380">
        <f t="shared" si="10"/>
        <v>1</v>
      </c>
      <c r="V380">
        <f t="shared" si="11"/>
        <v>1</v>
      </c>
    </row>
    <row r="381" spans="1:22" x14ac:dyDescent="0.2">
      <c r="A381" t="s">
        <v>620</v>
      </c>
      <c r="B381" t="s">
        <v>11</v>
      </c>
      <c r="C381" t="s">
        <v>76</v>
      </c>
      <c r="D381" t="s">
        <v>77</v>
      </c>
      <c r="E381">
        <v>12</v>
      </c>
      <c r="F381" t="s">
        <v>194</v>
      </c>
      <c r="G381">
        <v>66</v>
      </c>
      <c r="H381">
        <v>2596900</v>
      </c>
      <c r="I381">
        <v>7552700</v>
      </c>
      <c r="J381">
        <v>1</v>
      </c>
      <c r="K381">
        <v>2</v>
      </c>
      <c r="L381">
        <v>4955800</v>
      </c>
      <c r="M381" s="1" t="s">
        <v>796</v>
      </c>
      <c r="N381">
        <v>0.74413770000788204</v>
      </c>
      <c r="O381" s="1" t="s">
        <v>797</v>
      </c>
      <c r="P381">
        <v>1</v>
      </c>
      <c r="Q381">
        <v>1</v>
      </c>
      <c r="R381">
        <v>1</v>
      </c>
      <c r="S381">
        <v>1</v>
      </c>
      <c r="T381">
        <v>238.2333423</v>
      </c>
      <c r="U381">
        <f t="shared" si="10"/>
        <v>1</v>
      </c>
      <c r="V381">
        <f t="shared" si="11"/>
        <v>1</v>
      </c>
    </row>
    <row r="382" spans="1:22" x14ac:dyDescent="0.2">
      <c r="A382" t="s">
        <v>620</v>
      </c>
      <c r="B382" t="s">
        <v>11</v>
      </c>
      <c r="C382" t="s">
        <v>76</v>
      </c>
      <c r="D382" t="s">
        <v>77</v>
      </c>
      <c r="E382">
        <v>21</v>
      </c>
      <c r="F382" t="s">
        <v>212</v>
      </c>
      <c r="G382">
        <v>97</v>
      </c>
      <c r="H382">
        <v>2602200</v>
      </c>
      <c r="I382">
        <v>393500</v>
      </c>
      <c r="J382">
        <v>13</v>
      </c>
      <c r="K382">
        <v>30</v>
      </c>
      <c r="L382">
        <v>-2208700</v>
      </c>
      <c r="M382" s="1" t="s">
        <v>798</v>
      </c>
      <c r="N382" s="1" t="s">
        <v>799</v>
      </c>
      <c r="O382" s="1" t="s">
        <v>800</v>
      </c>
      <c r="P382">
        <v>0</v>
      </c>
      <c r="Q382">
        <v>0</v>
      </c>
      <c r="R382">
        <v>0</v>
      </c>
      <c r="S382">
        <v>0</v>
      </c>
      <c r="T382">
        <v>238.2333423</v>
      </c>
      <c r="U382">
        <f t="shared" si="10"/>
        <v>0</v>
      </c>
      <c r="V382">
        <f t="shared" si="11"/>
        <v>0</v>
      </c>
    </row>
    <row r="383" spans="1:22" x14ac:dyDescent="0.2">
      <c r="A383" t="s">
        <v>620</v>
      </c>
      <c r="B383" t="s">
        <v>11</v>
      </c>
      <c r="C383" t="s">
        <v>76</v>
      </c>
      <c r="D383" t="s">
        <v>77</v>
      </c>
      <c r="E383">
        <v>11</v>
      </c>
      <c r="F383" t="s">
        <v>127</v>
      </c>
      <c r="G383">
        <v>50</v>
      </c>
      <c r="H383">
        <v>491000</v>
      </c>
      <c r="I383">
        <v>797400</v>
      </c>
      <c r="J383">
        <v>1</v>
      </c>
      <c r="K383">
        <v>7</v>
      </c>
      <c r="L383">
        <v>306400</v>
      </c>
      <c r="M383" s="1" t="s">
        <v>801</v>
      </c>
      <c r="N383" s="1" t="s">
        <v>802</v>
      </c>
      <c r="O383" s="1" t="s">
        <v>803</v>
      </c>
      <c r="P383">
        <v>1</v>
      </c>
      <c r="Q383">
        <v>0</v>
      </c>
      <c r="R383">
        <v>1</v>
      </c>
      <c r="S383">
        <v>1</v>
      </c>
      <c r="T383">
        <v>238.2333423</v>
      </c>
      <c r="U383">
        <f t="shared" si="10"/>
        <v>1</v>
      </c>
      <c r="V383">
        <f t="shared" si="11"/>
        <v>1</v>
      </c>
    </row>
    <row r="384" spans="1:22" x14ac:dyDescent="0.2">
      <c r="A384" t="s">
        <v>620</v>
      </c>
      <c r="B384" t="s">
        <v>11</v>
      </c>
      <c r="C384" t="s">
        <v>76</v>
      </c>
      <c r="D384" t="s">
        <v>77</v>
      </c>
      <c r="E384" s="1" t="s">
        <v>93</v>
      </c>
      <c r="F384" t="s">
        <v>94</v>
      </c>
      <c r="G384">
        <v>45</v>
      </c>
      <c r="H384">
        <v>1495900</v>
      </c>
      <c r="I384">
        <v>883800</v>
      </c>
      <c r="J384">
        <v>3</v>
      </c>
      <c r="K384">
        <v>12</v>
      </c>
      <c r="L384">
        <v>-612100</v>
      </c>
      <c r="M384" s="1" t="s">
        <v>804</v>
      </c>
      <c r="N384" s="1" t="s">
        <v>805</v>
      </c>
      <c r="O384" s="1" t="s">
        <v>806</v>
      </c>
      <c r="P384">
        <v>1</v>
      </c>
      <c r="Q384">
        <v>0</v>
      </c>
      <c r="R384">
        <v>1</v>
      </c>
      <c r="S384">
        <v>0</v>
      </c>
      <c r="T384">
        <v>238.2333423</v>
      </c>
      <c r="U384">
        <f t="shared" si="10"/>
        <v>1</v>
      </c>
      <c r="V384">
        <f t="shared" si="11"/>
        <v>1</v>
      </c>
    </row>
    <row r="385" spans="1:22" x14ac:dyDescent="0.2">
      <c r="A385" t="s">
        <v>620</v>
      </c>
      <c r="B385" t="s">
        <v>11</v>
      </c>
      <c r="C385" t="s">
        <v>76</v>
      </c>
      <c r="D385" t="s">
        <v>77</v>
      </c>
      <c r="E385" s="1" t="s">
        <v>82</v>
      </c>
      <c r="F385" t="s">
        <v>83</v>
      </c>
      <c r="G385">
        <v>14</v>
      </c>
      <c r="H385">
        <v>549900</v>
      </c>
      <c r="I385">
        <v>463300</v>
      </c>
      <c r="J385">
        <v>12</v>
      </c>
      <c r="K385">
        <v>9</v>
      </c>
      <c r="L385">
        <v>-86600</v>
      </c>
      <c r="M385">
        <v>0.54273588630082903</v>
      </c>
      <c r="N385" s="1" t="s">
        <v>807</v>
      </c>
      <c r="O385" s="1" t="s">
        <v>808</v>
      </c>
      <c r="P385">
        <v>0</v>
      </c>
      <c r="Q385">
        <v>0</v>
      </c>
      <c r="R385">
        <v>0</v>
      </c>
      <c r="S385">
        <v>1</v>
      </c>
      <c r="T385">
        <v>238.2333423</v>
      </c>
      <c r="U385">
        <f t="shared" si="10"/>
        <v>0</v>
      </c>
      <c r="V385">
        <f t="shared" si="11"/>
        <v>1</v>
      </c>
    </row>
    <row r="386" spans="1:22" x14ac:dyDescent="0.2">
      <c r="A386" t="s">
        <v>620</v>
      </c>
      <c r="B386" t="s">
        <v>11</v>
      </c>
      <c r="C386" t="s">
        <v>76</v>
      </c>
      <c r="D386" t="s">
        <v>77</v>
      </c>
      <c r="E386" s="1" t="s">
        <v>93</v>
      </c>
      <c r="F386" t="s">
        <v>94</v>
      </c>
      <c r="G386">
        <v>46</v>
      </c>
      <c r="H386">
        <v>1162900</v>
      </c>
      <c r="I386">
        <v>1416400</v>
      </c>
      <c r="J386">
        <v>1</v>
      </c>
      <c r="K386">
        <v>6</v>
      </c>
      <c r="L386">
        <v>253500</v>
      </c>
      <c r="M386" s="1" t="s">
        <v>809</v>
      </c>
      <c r="N386" s="1" t="s">
        <v>810</v>
      </c>
      <c r="O386" s="1" t="s">
        <v>811</v>
      </c>
      <c r="P386">
        <v>1</v>
      </c>
      <c r="Q386">
        <v>0</v>
      </c>
      <c r="R386">
        <v>1</v>
      </c>
      <c r="S386">
        <v>1</v>
      </c>
      <c r="T386">
        <v>238.2333423</v>
      </c>
      <c r="U386">
        <f t="shared" si="10"/>
        <v>1</v>
      </c>
      <c r="V386">
        <f t="shared" si="11"/>
        <v>1</v>
      </c>
    </row>
    <row r="387" spans="1:22" x14ac:dyDescent="0.2">
      <c r="A387" t="s">
        <v>620</v>
      </c>
      <c r="B387" t="s">
        <v>11</v>
      </c>
      <c r="C387" t="s">
        <v>76</v>
      </c>
      <c r="D387" t="s">
        <v>77</v>
      </c>
      <c r="E387" s="1" t="s">
        <v>82</v>
      </c>
      <c r="F387" t="s">
        <v>83</v>
      </c>
      <c r="G387" s="1" t="s">
        <v>89</v>
      </c>
      <c r="H387">
        <v>4414600</v>
      </c>
      <c r="I387">
        <v>415255700</v>
      </c>
      <c r="J387">
        <v>2</v>
      </c>
      <c r="K387">
        <v>4</v>
      </c>
      <c r="L387">
        <v>410841100</v>
      </c>
      <c r="M387" s="1" t="s">
        <v>812</v>
      </c>
      <c r="N387" s="1" t="s">
        <v>813</v>
      </c>
      <c r="O387">
        <v>2.6584296601913299E-3</v>
      </c>
      <c r="P387">
        <v>1</v>
      </c>
      <c r="Q387">
        <v>1</v>
      </c>
      <c r="R387">
        <v>1</v>
      </c>
      <c r="S387">
        <v>1</v>
      </c>
      <c r="T387">
        <v>238.2333423</v>
      </c>
      <c r="U387">
        <f t="shared" ref="U387:U450" si="12">IF(OR(P387=1,Q387=1),1,0)</f>
        <v>1</v>
      </c>
      <c r="V387">
        <f t="shared" ref="V387:V450" si="13">IF(OR(R387=1,S387=1),1,0)</f>
        <v>1</v>
      </c>
    </row>
    <row r="388" spans="1:22" x14ac:dyDescent="0.2">
      <c r="A388" t="s">
        <v>814</v>
      </c>
      <c r="B388" t="s">
        <v>12</v>
      </c>
      <c r="C388" t="s">
        <v>76</v>
      </c>
      <c r="D388" t="s">
        <v>77</v>
      </c>
      <c r="E388" s="1" t="s">
        <v>85</v>
      </c>
      <c r="F388" t="s">
        <v>86</v>
      </c>
      <c r="G388">
        <v>27</v>
      </c>
      <c r="H388">
        <v>224950814</v>
      </c>
      <c r="I388">
        <v>1180624</v>
      </c>
      <c r="J388">
        <v>75</v>
      </c>
      <c r="K388">
        <v>52</v>
      </c>
      <c r="L388">
        <v>-223770190</v>
      </c>
      <c r="M388" s="1" t="s">
        <v>815</v>
      </c>
      <c r="N388">
        <v>5.2209635707530398E-3</v>
      </c>
      <c r="O388" s="1" t="s">
        <v>816</v>
      </c>
      <c r="P388">
        <v>0</v>
      </c>
      <c r="Q388">
        <v>0</v>
      </c>
      <c r="R388">
        <v>0</v>
      </c>
      <c r="S388">
        <v>0</v>
      </c>
      <c r="T388">
        <v>41.643896949999998</v>
      </c>
      <c r="U388">
        <f t="shared" si="12"/>
        <v>0</v>
      </c>
      <c r="V388">
        <f t="shared" si="13"/>
        <v>0</v>
      </c>
    </row>
    <row r="389" spans="1:22" x14ac:dyDescent="0.2">
      <c r="A389" t="s">
        <v>814</v>
      </c>
      <c r="B389" t="s">
        <v>12</v>
      </c>
      <c r="C389" t="s">
        <v>76</v>
      </c>
      <c r="D389" t="s">
        <v>77</v>
      </c>
      <c r="E389" s="1" t="s">
        <v>155</v>
      </c>
      <c r="F389" t="s">
        <v>156</v>
      </c>
      <c r="G389" s="1" t="s">
        <v>110</v>
      </c>
      <c r="H389">
        <v>12040564</v>
      </c>
      <c r="I389">
        <v>0</v>
      </c>
      <c r="J389">
        <v>39</v>
      </c>
      <c r="K389">
        <v>77</v>
      </c>
      <c r="L389">
        <v>-12040564</v>
      </c>
      <c r="M389">
        <v>1</v>
      </c>
      <c r="N389">
        <v>0</v>
      </c>
      <c r="O389">
        <v>3.5133725080723398E-2</v>
      </c>
      <c r="P389">
        <v>0</v>
      </c>
      <c r="Q389">
        <v>0</v>
      </c>
      <c r="R389">
        <v>0</v>
      </c>
      <c r="S389">
        <v>0</v>
      </c>
      <c r="T389">
        <v>41.643896949999998</v>
      </c>
      <c r="U389">
        <f t="shared" si="12"/>
        <v>0</v>
      </c>
      <c r="V389">
        <f t="shared" si="13"/>
        <v>0</v>
      </c>
    </row>
    <row r="390" spans="1:22" x14ac:dyDescent="0.2">
      <c r="A390" t="s">
        <v>814</v>
      </c>
      <c r="B390" t="s">
        <v>12</v>
      </c>
      <c r="C390" t="s">
        <v>76</v>
      </c>
      <c r="D390" t="s">
        <v>77</v>
      </c>
      <c r="E390" s="1" t="s">
        <v>89</v>
      </c>
      <c r="F390" t="s">
        <v>90</v>
      </c>
      <c r="G390">
        <v>30</v>
      </c>
      <c r="H390">
        <v>291904</v>
      </c>
      <c r="I390">
        <v>0</v>
      </c>
      <c r="J390">
        <v>80</v>
      </c>
      <c r="K390">
        <v>91</v>
      </c>
      <c r="L390">
        <v>-291904</v>
      </c>
      <c r="M390">
        <v>1</v>
      </c>
      <c r="N390">
        <v>0</v>
      </c>
      <c r="O390" s="1" t="s">
        <v>817</v>
      </c>
      <c r="P390">
        <v>0</v>
      </c>
      <c r="Q390">
        <v>0</v>
      </c>
      <c r="R390">
        <v>0</v>
      </c>
      <c r="S390">
        <v>0</v>
      </c>
      <c r="T390">
        <v>41.643896949999998</v>
      </c>
      <c r="U390">
        <f t="shared" si="12"/>
        <v>0</v>
      </c>
      <c r="V390">
        <f t="shared" si="13"/>
        <v>0</v>
      </c>
    </row>
    <row r="391" spans="1:22" x14ac:dyDescent="0.2">
      <c r="A391" t="s">
        <v>814</v>
      </c>
      <c r="B391" t="s">
        <v>12</v>
      </c>
      <c r="C391" t="s">
        <v>76</v>
      </c>
      <c r="D391" t="s">
        <v>77</v>
      </c>
      <c r="E391">
        <v>10</v>
      </c>
      <c r="F391" t="s">
        <v>119</v>
      </c>
      <c r="G391">
        <v>48</v>
      </c>
      <c r="H391">
        <v>94599</v>
      </c>
      <c r="I391">
        <v>0</v>
      </c>
      <c r="J391">
        <v>130</v>
      </c>
      <c r="K391">
        <v>97</v>
      </c>
      <c r="L391">
        <v>-94599</v>
      </c>
      <c r="M391">
        <v>1</v>
      </c>
      <c r="N391">
        <v>0</v>
      </c>
      <c r="O391" s="1" t="s">
        <v>818</v>
      </c>
      <c r="P391">
        <v>0</v>
      </c>
      <c r="Q391">
        <v>0</v>
      </c>
      <c r="R391">
        <v>0</v>
      </c>
      <c r="S391">
        <v>0</v>
      </c>
      <c r="T391">
        <v>41.643896949999998</v>
      </c>
      <c r="U391">
        <f t="shared" si="12"/>
        <v>0</v>
      </c>
      <c r="V391">
        <f t="shared" si="13"/>
        <v>0</v>
      </c>
    </row>
    <row r="392" spans="1:22" x14ac:dyDescent="0.2">
      <c r="A392" t="s">
        <v>814</v>
      </c>
      <c r="B392" t="s">
        <v>12</v>
      </c>
      <c r="C392" t="s">
        <v>76</v>
      </c>
      <c r="D392" t="s">
        <v>77</v>
      </c>
      <c r="E392">
        <v>17</v>
      </c>
      <c r="F392" t="s">
        <v>97</v>
      </c>
      <c r="G392">
        <v>87</v>
      </c>
      <c r="H392">
        <v>120481</v>
      </c>
      <c r="I392">
        <v>0</v>
      </c>
      <c r="J392">
        <v>122</v>
      </c>
      <c r="K392">
        <v>96</v>
      </c>
      <c r="L392">
        <v>-120481</v>
      </c>
      <c r="M392">
        <v>1</v>
      </c>
      <c r="N392">
        <v>0</v>
      </c>
      <c r="O392" s="1" t="s">
        <v>819</v>
      </c>
      <c r="P392">
        <v>0</v>
      </c>
      <c r="Q392">
        <v>0</v>
      </c>
      <c r="R392">
        <v>0</v>
      </c>
      <c r="S392">
        <v>0</v>
      </c>
      <c r="T392">
        <v>41.643896949999998</v>
      </c>
      <c r="U392">
        <f t="shared" si="12"/>
        <v>0</v>
      </c>
      <c r="V392">
        <f t="shared" si="13"/>
        <v>0</v>
      </c>
    </row>
    <row r="393" spans="1:22" x14ac:dyDescent="0.2">
      <c r="A393" t="s">
        <v>814</v>
      </c>
      <c r="B393" t="s">
        <v>12</v>
      </c>
      <c r="C393" t="s">
        <v>76</v>
      </c>
      <c r="D393" t="s">
        <v>77</v>
      </c>
      <c r="E393" s="1" t="s">
        <v>89</v>
      </c>
      <c r="F393" t="s">
        <v>90</v>
      </c>
      <c r="G393">
        <v>38</v>
      </c>
      <c r="H393">
        <v>22146</v>
      </c>
      <c r="I393">
        <v>0</v>
      </c>
      <c r="J393">
        <v>113</v>
      </c>
      <c r="K393">
        <v>87</v>
      </c>
      <c r="L393">
        <v>-22146</v>
      </c>
      <c r="M393">
        <v>1</v>
      </c>
      <c r="N393">
        <v>0</v>
      </c>
      <c r="O393" s="1" t="s">
        <v>820</v>
      </c>
      <c r="P393">
        <v>0</v>
      </c>
      <c r="Q393">
        <v>0</v>
      </c>
      <c r="R393">
        <v>0</v>
      </c>
      <c r="S393">
        <v>0</v>
      </c>
      <c r="T393">
        <v>41.643896949999998</v>
      </c>
      <c r="U393">
        <f t="shared" si="12"/>
        <v>0</v>
      </c>
      <c r="V393">
        <f t="shared" si="13"/>
        <v>0</v>
      </c>
    </row>
    <row r="394" spans="1:22" x14ac:dyDescent="0.2">
      <c r="A394" t="s">
        <v>814</v>
      </c>
      <c r="B394" t="s">
        <v>12</v>
      </c>
      <c r="C394" t="s">
        <v>76</v>
      </c>
      <c r="D394" t="s">
        <v>77</v>
      </c>
      <c r="E394">
        <v>16</v>
      </c>
      <c r="F394" t="s">
        <v>95</v>
      </c>
      <c r="G394">
        <v>85</v>
      </c>
      <c r="H394">
        <v>63542</v>
      </c>
      <c r="I394">
        <v>0</v>
      </c>
      <c r="J394">
        <v>136</v>
      </c>
      <c r="K394">
        <v>117</v>
      </c>
      <c r="L394">
        <v>-63542</v>
      </c>
      <c r="M394">
        <v>1</v>
      </c>
      <c r="N394">
        <v>0</v>
      </c>
      <c r="O394" s="1" t="s">
        <v>821</v>
      </c>
      <c r="P394">
        <v>0</v>
      </c>
      <c r="Q394">
        <v>0</v>
      </c>
      <c r="R394">
        <v>0</v>
      </c>
      <c r="S394">
        <v>0</v>
      </c>
      <c r="T394">
        <v>41.643896949999998</v>
      </c>
      <c r="U394">
        <f t="shared" si="12"/>
        <v>0</v>
      </c>
      <c r="V394">
        <f t="shared" si="13"/>
        <v>0</v>
      </c>
    </row>
    <row r="395" spans="1:22" x14ac:dyDescent="0.2">
      <c r="A395" t="s">
        <v>814</v>
      </c>
      <c r="B395" t="s">
        <v>12</v>
      </c>
      <c r="C395" t="s">
        <v>76</v>
      </c>
      <c r="D395" t="s">
        <v>77</v>
      </c>
      <c r="E395">
        <v>16</v>
      </c>
      <c r="F395" t="s">
        <v>95</v>
      </c>
      <c r="G395">
        <v>84</v>
      </c>
      <c r="H395">
        <v>25213</v>
      </c>
      <c r="I395">
        <v>0</v>
      </c>
      <c r="J395">
        <v>139</v>
      </c>
      <c r="K395">
        <v>117</v>
      </c>
      <c r="L395">
        <v>-25213</v>
      </c>
      <c r="M395">
        <v>1</v>
      </c>
      <c r="N395">
        <v>0</v>
      </c>
      <c r="O395" s="1" t="s">
        <v>822</v>
      </c>
      <c r="P395">
        <v>0</v>
      </c>
      <c r="Q395">
        <v>0</v>
      </c>
      <c r="R395">
        <v>0</v>
      </c>
      <c r="S395">
        <v>0</v>
      </c>
      <c r="T395">
        <v>41.643896949999998</v>
      </c>
      <c r="U395">
        <f t="shared" si="12"/>
        <v>0</v>
      </c>
      <c r="V395">
        <f t="shared" si="13"/>
        <v>0</v>
      </c>
    </row>
    <row r="396" spans="1:22" x14ac:dyDescent="0.2">
      <c r="A396" t="s">
        <v>814</v>
      </c>
      <c r="B396" t="s">
        <v>12</v>
      </c>
      <c r="C396" t="s">
        <v>76</v>
      </c>
      <c r="D396" t="s">
        <v>77</v>
      </c>
      <c r="E396">
        <v>15</v>
      </c>
      <c r="F396" t="s">
        <v>88</v>
      </c>
      <c r="G396">
        <v>73</v>
      </c>
      <c r="H396">
        <v>5609</v>
      </c>
      <c r="I396">
        <v>0</v>
      </c>
      <c r="J396">
        <v>131</v>
      </c>
      <c r="K396">
        <v>103</v>
      </c>
      <c r="L396">
        <v>-5609</v>
      </c>
      <c r="M396">
        <v>1</v>
      </c>
      <c r="N396">
        <v>0</v>
      </c>
      <c r="O396" s="1" t="s">
        <v>823</v>
      </c>
      <c r="P396">
        <v>0</v>
      </c>
      <c r="Q396">
        <v>0</v>
      </c>
      <c r="R396">
        <v>0</v>
      </c>
      <c r="S396">
        <v>0</v>
      </c>
      <c r="T396">
        <v>41.643896949999998</v>
      </c>
      <c r="U396">
        <f t="shared" si="12"/>
        <v>0</v>
      </c>
      <c r="V396">
        <f t="shared" si="13"/>
        <v>0</v>
      </c>
    </row>
    <row r="397" spans="1:22" x14ac:dyDescent="0.2">
      <c r="A397" t="s">
        <v>814</v>
      </c>
      <c r="B397" t="s">
        <v>12</v>
      </c>
      <c r="C397" t="s">
        <v>76</v>
      </c>
      <c r="D397" t="s">
        <v>77</v>
      </c>
      <c r="E397">
        <v>20</v>
      </c>
      <c r="F397" t="s">
        <v>104</v>
      </c>
      <c r="G397">
        <v>94</v>
      </c>
      <c r="H397">
        <v>19979</v>
      </c>
      <c r="I397">
        <v>0</v>
      </c>
      <c r="J397">
        <v>104</v>
      </c>
      <c r="K397">
        <v>103</v>
      </c>
      <c r="L397">
        <v>-19979</v>
      </c>
      <c r="M397">
        <v>1</v>
      </c>
      <c r="N397">
        <v>0</v>
      </c>
      <c r="O397" s="1" t="s">
        <v>824</v>
      </c>
      <c r="P397">
        <v>0</v>
      </c>
      <c r="Q397">
        <v>0</v>
      </c>
      <c r="R397">
        <v>0</v>
      </c>
      <c r="S397">
        <v>0</v>
      </c>
      <c r="T397">
        <v>41.643896949999998</v>
      </c>
      <c r="U397">
        <f t="shared" si="12"/>
        <v>0</v>
      </c>
      <c r="V397">
        <f t="shared" si="13"/>
        <v>0</v>
      </c>
    </row>
    <row r="398" spans="1:22" x14ac:dyDescent="0.2">
      <c r="A398" t="s">
        <v>814</v>
      </c>
      <c r="B398" t="s">
        <v>12</v>
      </c>
      <c r="C398" t="s">
        <v>76</v>
      </c>
      <c r="D398" t="s">
        <v>77</v>
      </c>
      <c r="E398">
        <v>12</v>
      </c>
      <c r="F398" t="s">
        <v>194</v>
      </c>
      <c r="G398">
        <v>64</v>
      </c>
      <c r="H398">
        <v>842</v>
      </c>
      <c r="I398">
        <v>0</v>
      </c>
      <c r="J398">
        <v>104</v>
      </c>
      <c r="K398">
        <v>94</v>
      </c>
      <c r="L398">
        <v>-842</v>
      </c>
      <c r="M398">
        <v>1</v>
      </c>
      <c r="N398">
        <v>0</v>
      </c>
      <c r="O398" s="1" t="s">
        <v>825</v>
      </c>
      <c r="P398">
        <v>0</v>
      </c>
      <c r="Q398">
        <v>0</v>
      </c>
      <c r="R398">
        <v>0</v>
      </c>
      <c r="S398">
        <v>0</v>
      </c>
      <c r="T398">
        <v>41.643896949999998</v>
      </c>
      <c r="U398">
        <f t="shared" si="12"/>
        <v>0</v>
      </c>
      <c r="V398">
        <f t="shared" si="13"/>
        <v>0</v>
      </c>
    </row>
    <row r="399" spans="1:22" x14ac:dyDescent="0.2">
      <c r="A399" t="s">
        <v>814</v>
      </c>
      <c r="B399" t="s">
        <v>12</v>
      </c>
      <c r="C399" t="s">
        <v>76</v>
      </c>
      <c r="D399" t="s">
        <v>77</v>
      </c>
      <c r="E399" s="1" t="s">
        <v>89</v>
      </c>
      <c r="F399" t="s">
        <v>90</v>
      </c>
      <c r="G399">
        <v>33</v>
      </c>
      <c r="H399">
        <v>741</v>
      </c>
      <c r="I399">
        <v>0</v>
      </c>
      <c r="J399">
        <v>121</v>
      </c>
      <c r="K399">
        <v>95</v>
      </c>
      <c r="L399">
        <v>-741</v>
      </c>
      <c r="M399">
        <v>1</v>
      </c>
      <c r="N399">
        <v>0</v>
      </c>
      <c r="O399" s="1" t="s">
        <v>826</v>
      </c>
      <c r="P399">
        <v>0</v>
      </c>
      <c r="Q399">
        <v>0</v>
      </c>
      <c r="R399">
        <v>0</v>
      </c>
      <c r="S399">
        <v>0</v>
      </c>
      <c r="T399">
        <v>41.643896949999998</v>
      </c>
      <c r="U399">
        <f t="shared" si="12"/>
        <v>0</v>
      </c>
      <c r="V399">
        <f t="shared" si="13"/>
        <v>0</v>
      </c>
    </row>
    <row r="400" spans="1:22" x14ac:dyDescent="0.2">
      <c r="A400" t="s">
        <v>814</v>
      </c>
      <c r="B400" t="s">
        <v>12</v>
      </c>
      <c r="C400" t="s">
        <v>76</v>
      </c>
      <c r="D400" t="s">
        <v>77</v>
      </c>
      <c r="E400" s="1" t="s">
        <v>138</v>
      </c>
      <c r="F400" t="s">
        <v>139</v>
      </c>
      <c r="G400">
        <v>22</v>
      </c>
      <c r="H400">
        <v>120</v>
      </c>
      <c r="I400">
        <v>0</v>
      </c>
      <c r="J400">
        <v>139</v>
      </c>
      <c r="K400">
        <v>98</v>
      </c>
      <c r="L400">
        <v>-120</v>
      </c>
      <c r="M400">
        <v>1</v>
      </c>
      <c r="N400">
        <v>0</v>
      </c>
      <c r="O400" s="1" t="s">
        <v>827</v>
      </c>
      <c r="P400">
        <v>0</v>
      </c>
      <c r="Q400">
        <v>0</v>
      </c>
      <c r="R400">
        <v>0</v>
      </c>
      <c r="S400">
        <v>0</v>
      </c>
      <c r="T400">
        <v>41.643896949999998</v>
      </c>
      <c r="U400">
        <f t="shared" si="12"/>
        <v>0</v>
      </c>
      <c r="V400">
        <f t="shared" si="13"/>
        <v>0</v>
      </c>
    </row>
    <row r="401" spans="1:22" x14ac:dyDescent="0.2">
      <c r="A401" t="s">
        <v>828</v>
      </c>
      <c r="B401" t="s">
        <v>13</v>
      </c>
      <c r="C401" t="s">
        <v>76</v>
      </c>
      <c r="D401" t="s">
        <v>77</v>
      </c>
      <c r="E401" s="1" t="s">
        <v>85</v>
      </c>
      <c r="F401" t="s">
        <v>86</v>
      </c>
      <c r="G401">
        <v>27</v>
      </c>
      <c r="H401">
        <v>762727981</v>
      </c>
      <c r="I401">
        <v>40518</v>
      </c>
      <c r="J401">
        <v>60</v>
      </c>
      <c r="K401">
        <v>78</v>
      </c>
      <c r="L401">
        <v>-762687463</v>
      </c>
      <c r="M401" s="1" t="s">
        <v>829</v>
      </c>
      <c r="N401" s="1" t="s">
        <v>830</v>
      </c>
      <c r="O401" s="1" t="s">
        <v>831</v>
      </c>
      <c r="P401">
        <v>0</v>
      </c>
      <c r="Q401">
        <v>0</v>
      </c>
      <c r="R401">
        <v>0</v>
      </c>
      <c r="S401">
        <v>0</v>
      </c>
      <c r="T401">
        <v>100.6357569</v>
      </c>
      <c r="U401">
        <f t="shared" si="12"/>
        <v>0</v>
      </c>
      <c r="V401">
        <f t="shared" si="13"/>
        <v>0</v>
      </c>
    </row>
    <row r="402" spans="1:22" x14ac:dyDescent="0.2">
      <c r="A402" t="s">
        <v>828</v>
      </c>
      <c r="B402" t="s">
        <v>13</v>
      </c>
      <c r="C402" t="s">
        <v>76</v>
      </c>
      <c r="D402" t="s">
        <v>77</v>
      </c>
      <c r="E402" s="1" t="s">
        <v>89</v>
      </c>
      <c r="F402" t="s">
        <v>90</v>
      </c>
      <c r="G402">
        <v>31</v>
      </c>
      <c r="H402">
        <v>85344375</v>
      </c>
      <c r="I402">
        <v>0</v>
      </c>
      <c r="J402">
        <v>62</v>
      </c>
      <c r="K402">
        <v>51</v>
      </c>
      <c r="L402">
        <v>-85344375</v>
      </c>
      <c r="M402">
        <v>1</v>
      </c>
      <c r="N402">
        <v>0</v>
      </c>
      <c r="O402">
        <v>8.3285790699974299E-2</v>
      </c>
      <c r="P402">
        <v>0</v>
      </c>
      <c r="Q402">
        <v>0</v>
      </c>
      <c r="R402">
        <v>0</v>
      </c>
      <c r="S402">
        <v>0</v>
      </c>
      <c r="T402">
        <v>100.6357569</v>
      </c>
      <c r="U402">
        <f t="shared" si="12"/>
        <v>0</v>
      </c>
      <c r="V402">
        <f t="shared" si="13"/>
        <v>0</v>
      </c>
    </row>
    <row r="403" spans="1:22" x14ac:dyDescent="0.2">
      <c r="A403" t="s">
        <v>828</v>
      </c>
      <c r="B403" t="s">
        <v>13</v>
      </c>
      <c r="C403" t="s">
        <v>76</v>
      </c>
      <c r="D403" t="s">
        <v>77</v>
      </c>
      <c r="E403" s="1" t="s">
        <v>89</v>
      </c>
      <c r="F403" t="s">
        <v>90</v>
      </c>
      <c r="G403">
        <v>36</v>
      </c>
      <c r="H403">
        <v>62079653</v>
      </c>
      <c r="I403">
        <v>0</v>
      </c>
      <c r="J403">
        <v>2</v>
      </c>
      <c r="K403">
        <v>37</v>
      </c>
      <c r="L403">
        <v>-62079653</v>
      </c>
      <c r="M403">
        <v>1</v>
      </c>
      <c r="N403">
        <v>0</v>
      </c>
      <c r="O403" s="1" t="s">
        <v>832</v>
      </c>
      <c r="P403">
        <v>1</v>
      </c>
      <c r="Q403">
        <v>0</v>
      </c>
      <c r="R403">
        <v>1</v>
      </c>
      <c r="S403">
        <v>0</v>
      </c>
      <c r="T403">
        <v>100.6357569</v>
      </c>
      <c r="U403">
        <f t="shared" si="12"/>
        <v>1</v>
      </c>
      <c r="V403">
        <f t="shared" si="13"/>
        <v>1</v>
      </c>
    </row>
    <row r="404" spans="1:22" x14ac:dyDescent="0.2">
      <c r="A404" t="s">
        <v>828</v>
      </c>
      <c r="B404" t="s">
        <v>13</v>
      </c>
      <c r="C404" t="s">
        <v>76</v>
      </c>
      <c r="D404" t="s">
        <v>77</v>
      </c>
      <c r="E404" s="1" t="s">
        <v>89</v>
      </c>
      <c r="F404" t="s">
        <v>90</v>
      </c>
      <c r="G404">
        <v>28</v>
      </c>
      <c r="H404">
        <v>9494770</v>
      </c>
      <c r="I404">
        <v>0</v>
      </c>
      <c r="J404">
        <v>81</v>
      </c>
      <c r="K404">
        <v>85</v>
      </c>
      <c r="L404">
        <v>-9494770</v>
      </c>
      <c r="M404">
        <v>1</v>
      </c>
      <c r="N404">
        <v>0</v>
      </c>
      <c r="O404">
        <v>9.2657474726881E-3</v>
      </c>
      <c r="P404">
        <v>0</v>
      </c>
      <c r="Q404">
        <v>0</v>
      </c>
      <c r="R404">
        <v>0</v>
      </c>
      <c r="S404">
        <v>0</v>
      </c>
      <c r="T404">
        <v>100.6357569</v>
      </c>
      <c r="U404">
        <f t="shared" si="12"/>
        <v>0</v>
      </c>
      <c r="V404">
        <f t="shared" si="13"/>
        <v>0</v>
      </c>
    </row>
    <row r="405" spans="1:22" x14ac:dyDescent="0.2">
      <c r="A405" t="s">
        <v>828</v>
      </c>
      <c r="B405" t="s">
        <v>13</v>
      </c>
      <c r="C405" t="s">
        <v>76</v>
      </c>
      <c r="D405" t="s">
        <v>77</v>
      </c>
      <c r="E405" s="1" t="s">
        <v>82</v>
      </c>
      <c r="F405" t="s">
        <v>83</v>
      </c>
      <c r="G405">
        <v>10</v>
      </c>
      <c r="H405">
        <v>63946719</v>
      </c>
      <c r="I405">
        <v>0</v>
      </c>
      <c r="J405">
        <v>64</v>
      </c>
      <c r="K405">
        <v>65</v>
      </c>
      <c r="L405">
        <v>-63946719</v>
      </c>
      <c r="M405">
        <v>1</v>
      </c>
      <c r="N405">
        <v>0</v>
      </c>
      <c r="O405" s="1" t="s">
        <v>833</v>
      </c>
      <c r="P405">
        <v>0</v>
      </c>
      <c r="Q405">
        <v>0</v>
      </c>
      <c r="R405">
        <v>0</v>
      </c>
      <c r="S405">
        <v>0</v>
      </c>
      <c r="T405">
        <v>100.6357569</v>
      </c>
      <c r="U405">
        <f t="shared" si="12"/>
        <v>0</v>
      </c>
      <c r="V405">
        <f t="shared" si="13"/>
        <v>0</v>
      </c>
    </row>
    <row r="406" spans="1:22" x14ac:dyDescent="0.2">
      <c r="A406" t="s">
        <v>828</v>
      </c>
      <c r="B406" t="s">
        <v>13</v>
      </c>
      <c r="C406" t="s">
        <v>76</v>
      </c>
      <c r="D406" t="s">
        <v>77</v>
      </c>
      <c r="E406">
        <v>10</v>
      </c>
      <c r="F406" t="s">
        <v>119</v>
      </c>
      <c r="G406">
        <v>48</v>
      </c>
      <c r="H406">
        <v>1407940</v>
      </c>
      <c r="I406">
        <v>0</v>
      </c>
      <c r="J406">
        <v>107</v>
      </c>
      <c r="K406">
        <v>97</v>
      </c>
      <c r="L406">
        <v>-1407940</v>
      </c>
      <c r="M406">
        <v>1</v>
      </c>
      <c r="N406">
        <v>0</v>
      </c>
      <c r="O406">
        <v>1.3739792008333499E-3</v>
      </c>
      <c r="P406">
        <v>0</v>
      </c>
      <c r="Q406">
        <v>0</v>
      </c>
      <c r="R406">
        <v>0</v>
      </c>
      <c r="S406">
        <v>0</v>
      </c>
      <c r="T406">
        <v>100.6357569</v>
      </c>
      <c r="U406">
        <f t="shared" si="12"/>
        <v>0</v>
      </c>
      <c r="V406">
        <f t="shared" si="13"/>
        <v>0</v>
      </c>
    </row>
    <row r="407" spans="1:22" x14ac:dyDescent="0.2">
      <c r="A407" t="s">
        <v>828</v>
      </c>
      <c r="B407" t="s">
        <v>13</v>
      </c>
      <c r="C407" t="s">
        <v>76</v>
      </c>
      <c r="D407" t="s">
        <v>77</v>
      </c>
      <c r="E407">
        <v>15</v>
      </c>
      <c r="F407" t="s">
        <v>88</v>
      </c>
      <c r="G407">
        <v>73</v>
      </c>
      <c r="H407">
        <v>8855373</v>
      </c>
      <c r="I407">
        <v>0</v>
      </c>
      <c r="J407">
        <v>52</v>
      </c>
      <c r="K407">
        <v>103</v>
      </c>
      <c r="L407">
        <v>-8855373</v>
      </c>
      <c r="M407">
        <v>1</v>
      </c>
      <c r="N407">
        <v>0</v>
      </c>
      <c r="O407">
        <v>8.6417733125142004E-3</v>
      </c>
      <c r="P407">
        <v>0</v>
      </c>
      <c r="Q407">
        <v>0</v>
      </c>
      <c r="R407">
        <v>0</v>
      </c>
      <c r="S407">
        <v>0</v>
      </c>
      <c r="T407">
        <v>100.6357569</v>
      </c>
      <c r="U407">
        <f t="shared" si="12"/>
        <v>0</v>
      </c>
      <c r="V407">
        <f t="shared" si="13"/>
        <v>0</v>
      </c>
    </row>
    <row r="408" spans="1:22" x14ac:dyDescent="0.2">
      <c r="A408" t="s">
        <v>828</v>
      </c>
      <c r="B408" t="s">
        <v>13</v>
      </c>
      <c r="C408" t="s">
        <v>76</v>
      </c>
      <c r="D408" t="s">
        <v>77</v>
      </c>
      <c r="E408" s="1" t="s">
        <v>89</v>
      </c>
      <c r="F408" t="s">
        <v>90</v>
      </c>
      <c r="G408">
        <v>30</v>
      </c>
      <c r="H408">
        <v>2615835</v>
      </c>
      <c r="I408">
        <v>0</v>
      </c>
      <c r="J408">
        <v>50</v>
      </c>
      <c r="K408">
        <v>91</v>
      </c>
      <c r="L408">
        <v>-2615835</v>
      </c>
      <c r="M408">
        <v>1</v>
      </c>
      <c r="N408">
        <v>0</v>
      </c>
      <c r="O408">
        <v>2.55273866983814E-3</v>
      </c>
      <c r="P408">
        <v>0</v>
      </c>
      <c r="Q408">
        <v>0</v>
      </c>
      <c r="R408">
        <v>0</v>
      </c>
      <c r="S408">
        <v>0</v>
      </c>
      <c r="T408">
        <v>100.6357569</v>
      </c>
      <c r="U408">
        <f t="shared" si="12"/>
        <v>0</v>
      </c>
      <c r="V408">
        <f t="shared" si="13"/>
        <v>0</v>
      </c>
    </row>
    <row r="409" spans="1:22" x14ac:dyDescent="0.2">
      <c r="A409" t="s">
        <v>828</v>
      </c>
      <c r="B409" t="s">
        <v>13</v>
      </c>
      <c r="C409" t="s">
        <v>76</v>
      </c>
      <c r="D409" t="s">
        <v>77</v>
      </c>
      <c r="E409" s="1" t="s">
        <v>99</v>
      </c>
      <c r="F409" t="s">
        <v>100</v>
      </c>
      <c r="G409">
        <v>40</v>
      </c>
      <c r="H409">
        <v>293593</v>
      </c>
      <c r="I409">
        <v>0</v>
      </c>
      <c r="J409">
        <v>99</v>
      </c>
      <c r="K409">
        <v>97</v>
      </c>
      <c r="L409">
        <v>-293593</v>
      </c>
      <c r="M409">
        <v>1</v>
      </c>
      <c r="N409">
        <v>0</v>
      </c>
      <c r="O409" s="1" t="s">
        <v>834</v>
      </c>
      <c r="P409">
        <v>0</v>
      </c>
      <c r="Q409">
        <v>0</v>
      </c>
      <c r="R409">
        <v>0</v>
      </c>
      <c r="S409">
        <v>0</v>
      </c>
      <c r="T409">
        <v>100.6357569</v>
      </c>
      <c r="U409">
        <f t="shared" si="12"/>
        <v>0</v>
      </c>
      <c r="V409">
        <f t="shared" si="13"/>
        <v>0</v>
      </c>
    </row>
    <row r="410" spans="1:22" x14ac:dyDescent="0.2">
      <c r="A410" t="s">
        <v>828</v>
      </c>
      <c r="B410" t="s">
        <v>13</v>
      </c>
      <c r="C410" t="s">
        <v>76</v>
      </c>
      <c r="D410" t="s">
        <v>77</v>
      </c>
      <c r="E410">
        <v>16</v>
      </c>
      <c r="F410" t="s">
        <v>95</v>
      </c>
      <c r="G410">
        <v>85</v>
      </c>
      <c r="H410">
        <v>192870</v>
      </c>
      <c r="I410">
        <v>0</v>
      </c>
      <c r="J410">
        <v>122</v>
      </c>
      <c r="K410">
        <v>117</v>
      </c>
      <c r="L410">
        <v>-192870</v>
      </c>
      <c r="M410">
        <v>1</v>
      </c>
      <c r="N410">
        <v>0</v>
      </c>
      <c r="O410" s="1" t="s">
        <v>835</v>
      </c>
      <c r="P410">
        <v>0</v>
      </c>
      <c r="Q410">
        <v>0</v>
      </c>
      <c r="R410">
        <v>0</v>
      </c>
      <c r="S410">
        <v>0</v>
      </c>
      <c r="T410">
        <v>100.6357569</v>
      </c>
      <c r="U410">
        <f t="shared" si="12"/>
        <v>0</v>
      </c>
      <c r="V410">
        <f t="shared" si="13"/>
        <v>0</v>
      </c>
    </row>
    <row r="411" spans="1:22" x14ac:dyDescent="0.2">
      <c r="A411" t="s">
        <v>828</v>
      </c>
      <c r="B411" t="s">
        <v>13</v>
      </c>
      <c r="C411" t="s">
        <v>76</v>
      </c>
      <c r="D411" t="s">
        <v>77</v>
      </c>
      <c r="E411">
        <v>17</v>
      </c>
      <c r="F411" t="s">
        <v>97</v>
      </c>
      <c r="G411">
        <v>86</v>
      </c>
      <c r="H411">
        <v>15318</v>
      </c>
      <c r="I411">
        <v>0</v>
      </c>
      <c r="J411">
        <v>65</v>
      </c>
      <c r="K411">
        <v>64</v>
      </c>
      <c r="L411">
        <v>-15318</v>
      </c>
      <c r="M411">
        <v>1</v>
      </c>
      <c r="N411">
        <v>0</v>
      </c>
      <c r="O411" s="1" t="s">
        <v>836</v>
      </c>
      <c r="P411">
        <v>0</v>
      </c>
      <c r="Q411">
        <v>0</v>
      </c>
      <c r="R411">
        <v>0</v>
      </c>
      <c r="S411">
        <v>0</v>
      </c>
      <c r="T411">
        <v>100.6357569</v>
      </c>
      <c r="U411">
        <f t="shared" si="12"/>
        <v>0</v>
      </c>
      <c r="V411">
        <f t="shared" si="13"/>
        <v>0</v>
      </c>
    </row>
    <row r="412" spans="1:22" x14ac:dyDescent="0.2">
      <c r="A412" t="s">
        <v>828</v>
      </c>
      <c r="B412" t="s">
        <v>13</v>
      </c>
      <c r="C412" t="s">
        <v>76</v>
      </c>
      <c r="D412" t="s">
        <v>77</v>
      </c>
      <c r="E412" s="1" t="s">
        <v>89</v>
      </c>
      <c r="F412" t="s">
        <v>90</v>
      </c>
      <c r="G412">
        <v>38</v>
      </c>
      <c r="H412">
        <v>715351</v>
      </c>
      <c r="I412">
        <v>0</v>
      </c>
      <c r="J412">
        <v>83</v>
      </c>
      <c r="K412">
        <v>87</v>
      </c>
      <c r="L412">
        <v>-715351</v>
      </c>
      <c r="M412">
        <v>1</v>
      </c>
      <c r="N412">
        <v>0</v>
      </c>
      <c r="O412" s="1" t="s">
        <v>837</v>
      </c>
      <c r="P412">
        <v>0</v>
      </c>
      <c r="Q412">
        <v>0</v>
      </c>
      <c r="R412">
        <v>0</v>
      </c>
      <c r="S412">
        <v>0</v>
      </c>
      <c r="T412">
        <v>100.6357569</v>
      </c>
      <c r="U412">
        <f t="shared" si="12"/>
        <v>0</v>
      </c>
      <c r="V412">
        <f t="shared" si="13"/>
        <v>0</v>
      </c>
    </row>
    <row r="413" spans="1:22" x14ac:dyDescent="0.2">
      <c r="A413" t="s">
        <v>828</v>
      </c>
      <c r="B413" t="s">
        <v>13</v>
      </c>
      <c r="C413" t="s">
        <v>76</v>
      </c>
      <c r="D413" t="s">
        <v>77</v>
      </c>
      <c r="E413">
        <v>19</v>
      </c>
      <c r="F413" t="s">
        <v>838</v>
      </c>
      <c r="G413">
        <v>93</v>
      </c>
      <c r="H413">
        <v>3401975</v>
      </c>
      <c r="I413">
        <v>0</v>
      </c>
      <c r="J413">
        <v>17</v>
      </c>
      <c r="K413">
        <v>36</v>
      </c>
      <c r="L413">
        <v>-3401975</v>
      </c>
      <c r="M413">
        <v>1</v>
      </c>
      <c r="N413">
        <v>0</v>
      </c>
      <c r="O413">
        <v>3.3199162547800599E-3</v>
      </c>
      <c r="P413">
        <v>0</v>
      </c>
      <c r="Q413">
        <v>0</v>
      </c>
      <c r="R413">
        <v>0</v>
      </c>
      <c r="S413">
        <v>0</v>
      </c>
      <c r="T413">
        <v>100.6357569</v>
      </c>
      <c r="U413">
        <f t="shared" si="12"/>
        <v>0</v>
      </c>
      <c r="V413">
        <f t="shared" si="13"/>
        <v>0</v>
      </c>
    </row>
    <row r="414" spans="1:22" x14ac:dyDescent="0.2">
      <c r="A414" t="s">
        <v>828</v>
      </c>
      <c r="B414" t="s">
        <v>13</v>
      </c>
      <c r="C414" t="s">
        <v>76</v>
      </c>
      <c r="D414" t="s">
        <v>77</v>
      </c>
      <c r="E414" s="1" t="s">
        <v>138</v>
      </c>
      <c r="F414" t="s">
        <v>139</v>
      </c>
      <c r="G414">
        <v>22</v>
      </c>
      <c r="H414">
        <v>30917</v>
      </c>
      <c r="I414">
        <v>0</v>
      </c>
      <c r="J414">
        <v>112</v>
      </c>
      <c r="K414">
        <v>98</v>
      </c>
      <c r="L414">
        <v>-30917</v>
      </c>
      <c r="M414">
        <v>1</v>
      </c>
      <c r="N414">
        <v>0</v>
      </c>
      <c r="O414" s="1" t="s">
        <v>839</v>
      </c>
      <c r="P414">
        <v>0</v>
      </c>
      <c r="Q414">
        <v>0</v>
      </c>
      <c r="R414">
        <v>0</v>
      </c>
      <c r="S414">
        <v>0</v>
      </c>
      <c r="T414">
        <v>100.6357569</v>
      </c>
      <c r="U414">
        <f t="shared" si="12"/>
        <v>0</v>
      </c>
      <c r="V414">
        <f t="shared" si="13"/>
        <v>0</v>
      </c>
    </row>
    <row r="415" spans="1:22" x14ac:dyDescent="0.2">
      <c r="A415" t="s">
        <v>828</v>
      </c>
      <c r="B415" t="s">
        <v>13</v>
      </c>
      <c r="C415" t="s">
        <v>76</v>
      </c>
      <c r="D415" t="s">
        <v>77</v>
      </c>
      <c r="E415">
        <v>16</v>
      </c>
      <c r="F415" t="s">
        <v>95</v>
      </c>
      <c r="G415">
        <v>84</v>
      </c>
      <c r="H415">
        <v>390243</v>
      </c>
      <c r="I415">
        <v>47299</v>
      </c>
      <c r="J415">
        <v>119</v>
      </c>
      <c r="K415">
        <v>96</v>
      </c>
      <c r="L415">
        <v>-342944</v>
      </c>
      <c r="M415" s="1" t="s">
        <v>840</v>
      </c>
      <c r="N415" s="1" t="s">
        <v>841</v>
      </c>
      <c r="O415" s="1" t="s">
        <v>842</v>
      </c>
      <c r="P415">
        <v>0</v>
      </c>
      <c r="Q415">
        <v>0</v>
      </c>
      <c r="R415">
        <v>0</v>
      </c>
      <c r="S415">
        <v>0</v>
      </c>
      <c r="T415">
        <v>100.6357569</v>
      </c>
      <c r="U415">
        <f t="shared" si="12"/>
        <v>0</v>
      </c>
      <c r="V415">
        <f t="shared" si="13"/>
        <v>0</v>
      </c>
    </row>
    <row r="416" spans="1:22" x14ac:dyDescent="0.2">
      <c r="A416" t="s">
        <v>828</v>
      </c>
      <c r="B416" t="s">
        <v>13</v>
      </c>
      <c r="C416" t="s">
        <v>76</v>
      </c>
      <c r="D416" t="s">
        <v>77</v>
      </c>
      <c r="E416" s="1" t="s">
        <v>89</v>
      </c>
      <c r="F416" t="s">
        <v>90</v>
      </c>
      <c r="G416">
        <v>32</v>
      </c>
      <c r="H416">
        <v>3868</v>
      </c>
      <c r="I416">
        <v>0</v>
      </c>
      <c r="J416">
        <v>116</v>
      </c>
      <c r="K416">
        <v>80</v>
      </c>
      <c r="L416">
        <v>-3868</v>
      </c>
      <c r="M416">
        <v>1</v>
      </c>
      <c r="N416">
        <v>0</v>
      </c>
      <c r="O416" s="1" t="s">
        <v>843</v>
      </c>
      <c r="P416">
        <v>0</v>
      </c>
      <c r="Q416">
        <v>0</v>
      </c>
      <c r="R416">
        <v>0</v>
      </c>
      <c r="S416">
        <v>0</v>
      </c>
      <c r="T416">
        <v>100.6357569</v>
      </c>
      <c r="U416">
        <f t="shared" si="12"/>
        <v>0</v>
      </c>
      <c r="V416">
        <f t="shared" si="13"/>
        <v>0</v>
      </c>
    </row>
    <row r="417" spans="1:22" x14ac:dyDescent="0.2">
      <c r="A417" t="s">
        <v>828</v>
      </c>
      <c r="B417" t="s">
        <v>13</v>
      </c>
      <c r="C417" t="s">
        <v>76</v>
      </c>
      <c r="D417" t="s">
        <v>77</v>
      </c>
      <c r="E417" s="1" t="s">
        <v>85</v>
      </c>
      <c r="F417" t="s">
        <v>86</v>
      </c>
      <c r="G417">
        <v>25</v>
      </c>
      <c r="H417">
        <v>4000</v>
      </c>
      <c r="I417">
        <v>0</v>
      </c>
      <c r="J417">
        <v>109</v>
      </c>
      <c r="K417">
        <v>95</v>
      </c>
      <c r="L417">
        <v>-4000</v>
      </c>
      <c r="M417">
        <v>1</v>
      </c>
      <c r="N417">
        <v>0</v>
      </c>
      <c r="O417" s="1" t="s">
        <v>844</v>
      </c>
      <c r="P417">
        <v>0</v>
      </c>
      <c r="Q417">
        <v>0</v>
      </c>
      <c r="R417">
        <v>0</v>
      </c>
      <c r="S417">
        <v>0</v>
      </c>
      <c r="T417">
        <v>100.6357569</v>
      </c>
      <c r="U417">
        <f t="shared" si="12"/>
        <v>0</v>
      </c>
      <c r="V417">
        <f t="shared" si="13"/>
        <v>0</v>
      </c>
    </row>
    <row r="418" spans="1:22" x14ac:dyDescent="0.2">
      <c r="A418" t="s">
        <v>828</v>
      </c>
      <c r="B418" t="s">
        <v>13</v>
      </c>
      <c r="C418" t="s">
        <v>76</v>
      </c>
      <c r="D418" t="s">
        <v>77</v>
      </c>
      <c r="E418">
        <v>20</v>
      </c>
      <c r="F418" t="s">
        <v>104</v>
      </c>
      <c r="G418">
        <v>95</v>
      </c>
      <c r="H418">
        <v>5731</v>
      </c>
      <c r="I418">
        <v>0</v>
      </c>
      <c r="J418">
        <v>104</v>
      </c>
      <c r="K418">
        <v>91</v>
      </c>
      <c r="L418">
        <v>-5731</v>
      </c>
      <c r="M418">
        <v>1</v>
      </c>
      <c r="N418">
        <v>0</v>
      </c>
      <c r="O418" s="1" t="s">
        <v>845</v>
      </c>
      <c r="P418">
        <v>0</v>
      </c>
      <c r="Q418">
        <v>0</v>
      </c>
      <c r="R418">
        <v>0</v>
      </c>
      <c r="S418">
        <v>0</v>
      </c>
      <c r="T418">
        <v>100.6357569</v>
      </c>
      <c r="U418">
        <f t="shared" si="12"/>
        <v>0</v>
      </c>
      <c r="V418">
        <f t="shared" si="13"/>
        <v>0</v>
      </c>
    </row>
    <row r="419" spans="1:22" x14ac:dyDescent="0.2">
      <c r="A419" t="s">
        <v>828</v>
      </c>
      <c r="B419" t="s">
        <v>13</v>
      </c>
      <c r="C419" t="s">
        <v>76</v>
      </c>
      <c r="D419" t="s">
        <v>77</v>
      </c>
      <c r="E419">
        <v>10</v>
      </c>
      <c r="F419" t="s">
        <v>119</v>
      </c>
      <c r="G419">
        <v>49</v>
      </c>
      <c r="H419">
        <v>15774</v>
      </c>
      <c r="I419">
        <v>0</v>
      </c>
      <c r="J419">
        <v>85</v>
      </c>
      <c r="K419">
        <v>109</v>
      </c>
      <c r="L419">
        <v>-15774</v>
      </c>
      <c r="M419">
        <v>1</v>
      </c>
      <c r="N419">
        <v>0</v>
      </c>
      <c r="O419" s="1" t="s">
        <v>846</v>
      </c>
      <c r="P419">
        <v>0</v>
      </c>
      <c r="Q419">
        <v>0</v>
      </c>
      <c r="R419">
        <v>0</v>
      </c>
      <c r="S419">
        <v>0</v>
      </c>
      <c r="T419">
        <v>100.6357569</v>
      </c>
      <c r="U419">
        <f t="shared" si="12"/>
        <v>0</v>
      </c>
      <c r="V419">
        <f t="shared" si="13"/>
        <v>0</v>
      </c>
    </row>
    <row r="420" spans="1:22" x14ac:dyDescent="0.2">
      <c r="A420" t="s">
        <v>828</v>
      </c>
      <c r="B420" t="s">
        <v>13</v>
      </c>
      <c r="C420" t="s">
        <v>76</v>
      </c>
      <c r="D420" t="s">
        <v>77</v>
      </c>
      <c r="E420">
        <v>18</v>
      </c>
      <c r="F420" t="s">
        <v>147</v>
      </c>
      <c r="G420">
        <v>90</v>
      </c>
      <c r="H420">
        <v>520136</v>
      </c>
      <c r="I420">
        <v>0</v>
      </c>
      <c r="J420">
        <v>91</v>
      </c>
      <c r="K420">
        <v>103</v>
      </c>
      <c r="L420">
        <v>-520136</v>
      </c>
      <c r="M420">
        <v>1</v>
      </c>
      <c r="N420">
        <v>0</v>
      </c>
      <c r="O420" s="1" t="s">
        <v>847</v>
      </c>
      <c r="P420">
        <v>0</v>
      </c>
      <c r="Q420">
        <v>0</v>
      </c>
      <c r="R420">
        <v>0</v>
      </c>
      <c r="S420">
        <v>0</v>
      </c>
      <c r="T420">
        <v>100.6357569</v>
      </c>
      <c r="U420">
        <f t="shared" si="12"/>
        <v>0</v>
      </c>
      <c r="V420">
        <f t="shared" si="13"/>
        <v>0</v>
      </c>
    </row>
    <row r="421" spans="1:22" x14ac:dyDescent="0.2">
      <c r="A421" t="s">
        <v>828</v>
      </c>
      <c r="B421" t="s">
        <v>13</v>
      </c>
      <c r="C421" t="s">
        <v>76</v>
      </c>
      <c r="D421" t="s">
        <v>77</v>
      </c>
      <c r="E421">
        <v>13</v>
      </c>
      <c r="F421" t="s">
        <v>91</v>
      </c>
      <c r="G421">
        <v>70</v>
      </c>
      <c r="H421">
        <v>1448</v>
      </c>
      <c r="I421">
        <v>0</v>
      </c>
      <c r="J421">
        <v>116</v>
      </c>
      <c r="K421">
        <v>88</v>
      </c>
      <c r="L421">
        <v>-1448</v>
      </c>
      <c r="M421">
        <v>1</v>
      </c>
      <c r="N421">
        <v>0</v>
      </c>
      <c r="O421" s="1" t="s">
        <v>848</v>
      </c>
      <c r="P421">
        <v>0</v>
      </c>
      <c r="Q421">
        <v>0</v>
      </c>
      <c r="R421">
        <v>0</v>
      </c>
      <c r="S421">
        <v>0</v>
      </c>
      <c r="T421">
        <v>100.6357569</v>
      </c>
      <c r="U421">
        <f t="shared" si="12"/>
        <v>0</v>
      </c>
      <c r="V421">
        <f t="shared" si="13"/>
        <v>0</v>
      </c>
    </row>
    <row r="422" spans="1:22" x14ac:dyDescent="0.2">
      <c r="A422" t="s">
        <v>828</v>
      </c>
      <c r="B422" t="s">
        <v>13</v>
      </c>
      <c r="C422" t="s">
        <v>76</v>
      </c>
      <c r="D422" t="s">
        <v>77</v>
      </c>
      <c r="E422" s="1" t="s">
        <v>99</v>
      </c>
      <c r="F422" t="s">
        <v>100</v>
      </c>
      <c r="G422">
        <v>39</v>
      </c>
      <c r="H422">
        <v>26295</v>
      </c>
      <c r="I422">
        <v>0</v>
      </c>
      <c r="J422">
        <v>120</v>
      </c>
      <c r="K422">
        <v>109</v>
      </c>
      <c r="L422">
        <v>-26295</v>
      </c>
      <c r="M422">
        <v>1</v>
      </c>
      <c r="N422">
        <v>0</v>
      </c>
      <c r="O422" s="1" t="s">
        <v>849</v>
      </c>
      <c r="P422">
        <v>0</v>
      </c>
      <c r="Q422">
        <v>0</v>
      </c>
      <c r="R422">
        <v>0</v>
      </c>
      <c r="S422">
        <v>0</v>
      </c>
      <c r="T422">
        <v>100.6357569</v>
      </c>
      <c r="U422">
        <f t="shared" si="12"/>
        <v>0</v>
      </c>
      <c r="V422">
        <f t="shared" si="13"/>
        <v>0</v>
      </c>
    </row>
    <row r="423" spans="1:22" x14ac:dyDescent="0.2">
      <c r="A423" t="s">
        <v>828</v>
      </c>
      <c r="B423" t="s">
        <v>13</v>
      </c>
      <c r="C423" t="s">
        <v>76</v>
      </c>
      <c r="D423" t="s">
        <v>77</v>
      </c>
      <c r="E423">
        <v>17</v>
      </c>
      <c r="F423" t="s">
        <v>97</v>
      </c>
      <c r="G423">
        <v>87</v>
      </c>
      <c r="H423">
        <v>151630</v>
      </c>
      <c r="I423">
        <v>0</v>
      </c>
      <c r="J423">
        <v>119</v>
      </c>
      <c r="K423">
        <v>96</v>
      </c>
      <c r="L423">
        <v>-151630</v>
      </c>
      <c r="M423">
        <v>1</v>
      </c>
      <c r="N423">
        <v>0</v>
      </c>
      <c r="O423" s="1" t="s">
        <v>850</v>
      </c>
      <c r="P423">
        <v>0</v>
      </c>
      <c r="Q423">
        <v>0</v>
      </c>
      <c r="R423">
        <v>0</v>
      </c>
      <c r="S423">
        <v>0</v>
      </c>
      <c r="T423">
        <v>100.6357569</v>
      </c>
      <c r="U423">
        <f t="shared" si="12"/>
        <v>0</v>
      </c>
      <c r="V423">
        <f t="shared" si="13"/>
        <v>0</v>
      </c>
    </row>
    <row r="424" spans="1:22" x14ac:dyDescent="0.2">
      <c r="A424" t="s">
        <v>828</v>
      </c>
      <c r="B424" t="s">
        <v>13</v>
      </c>
      <c r="C424" t="s">
        <v>76</v>
      </c>
      <c r="D424" t="s">
        <v>77</v>
      </c>
      <c r="E424">
        <v>11</v>
      </c>
      <c r="F424" t="s">
        <v>127</v>
      </c>
      <c r="G424">
        <v>63</v>
      </c>
      <c r="H424">
        <v>914</v>
      </c>
      <c r="I424">
        <v>0</v>
      </c>
      <c r="J424">
        <v>114</v>
      </c>
      <c r="K424">
        <v>108</v>
      </c>
      <c r="L424">
        <v>-914</v>
      </c>
      <c r="M424">
        <v>1</v>
      </c>
      <c r="N424">
        <v>0</v>
      </c>
      <c r="O424" s="1" t="s">
        <v>851</v>
      </c>
      <c r="P424">
        <v>0</v>
      </c>
      <c r="Q424">
        <v>0</v>
      </c>
      <c r="R424">
        <v>0</v>
      </c>
      <c r="S424">
        <v>0</v>
      </c>
      <c r="T424">
        <v>100.6357569</v>
      </c>
      <c r="U424">
        <f t="shared" si="12"/>
        <v>0</v>
      </c>
      <c r="V424">
        <f t="shared" si="13"/>
        <v>0</v>
      </c>
    </row>
    <row r="425" spans="1:22" x14ac:dyDescent="0.2">
      <c r="A425" t="s">
        <v>828</v>
      </c>
      <c r="B425" t="s">
        <v>13</v>
      </c>
      <c r="C425" t="s">
        <v>76</v>
      </c>
      <c r="D425" t="s">
        <v>77</v>
      </c>
      <c r="E425">
        <v>20</v>
      </c>
      <c r="F425" t="s">
        <v>104</v>
      </c>
      <c r="G425">
        <v>94</v>
      </c>
      <c r="H425">
        <v>36764</v>
      </c>
      <c r="I425">
        <v>0</v>
      </c>
      <c r="J425">
        <v>99</v>
      </c>
      <c r="K425">
        <v>103</v>
      </c>
      <c r="L425">
        <v>-36764</v>
      </c>
      <c r="M425">
        <v>1</v>
      </c>
      <c r="N425">
        <v>0</v>
      </c>
      <c r="O425" s="1" t="s">
        <v>852</v>
      </c>
      <c r="P425">
        <v>0</v>
      </c>
      <c r="Q425">
        <v>0</v>
      </c>
      <c r="R425">
        <v>0</v>
      </c>
      <c r="S425">
        <v>0</v>
      </c>
      <c r="T425">
        <v>100.6357569</v>
      </c>
      <c r="U425">
        <f t="shared" si="12"/>
        <v>0</v>
      </c>
      <c r="V425">
        <f t="shared" si="13"/>
        <v>0</v>
      </c>
    </row>
    <row r="426" spans="1:22" x14ac:dyDescent="0.2">
      <c r="A426" t="s">
        <v>828</v>
      </c>
      <c r="B426" t="s">
        <v>13</v>
      </c>
      <c r="C426" t="s">
        <v>76</v>
      </c>
      <c r="D426" t="s">
        <v>77</v>
      </c>
      <c r="E426">
        <v>15</v>
      </c>
      <c r="F426" t="s">
        <v>88</v>
      </c>
      <c r="G426">
        <v>82</v>
      </c>
      <c r="H426">
        <v>180</v>
      </c>
      <c r="I426">
        <v>0</v>
      </c>
      <c r="J426">
        <v>132</v>
      </c>
      <c r="K426">
        <v>96</v>
      </c>
      <c r="L426">
        <v>-180</v>
      </c>
      <c r="M426">
        <v>1</v>
      </c>
      <c r="N426">
        <v>0</v>
      </c>
      <c r="O426" s="1" t="s">
        <v>853</v>
      </c>
      <c r="P426">
        <v>0</v>
      </c>
      <c r="Q426">
        <v>0</v>
      </c>
      <c r="R426">
        <v>0</v>
      </c>
      <c r="S426">
        <v>0</v>
      </c>
      <c r="T426">
        <v>100.6357569</v>
      </c>
      <c r="U426">
        <f t="shared" si="12"/>
        <v>0</v>
      </c>
      <c r="V426">
        <f t="shared" si="13"/>
        <v>0</v>
      </c>
    </row>
    <row r="427" spans="1:22" x14ac:dyDescent="0.2">
      <c r="A427" t="s">
        <v>828</v>
      </c>
      <c r="B427" t="s">
        <v>13</v>
      </c>
      <c r="C427" t="s">
        <v>76</v>
      </c>
      <c r="D427" t="s">
        <v>77</v>
      </c>
      <c r="E427">
        <v>20</v>
      </c>
      <c r="F427" t="s">
        <v>104</v>
      </c>
      <c r="G427">
        <v>96</v>
      </c>
      <c r="H427">
        <v>1883</v>
      </c>
      <c r="I427">
        <v>0</v>
      </c>
      <c r="J427">
        <v>95</v>
      </c>
      <c r="K427">
        <v>90</v>
      </c>
      <c r="L427">
        <v>-1883</v>
      </c>
      <c r="M427">
        <v>1</v>
      </c>
      <c r="N427">
        <v>0</v>
      </c>
      <c r="O427" s="1" t="s">
        <v>854</v>
      </c>
      <c r="P427">
        <v>0</v>
      </c>
      <c r="Q427">
        <v>0</v>
      </c>
      <c r="R427">
        <v>0</v>
      </c>
      <c r="S427">
        <v>0</v>
      </c>
      <c r="T427">
        <v>100.6357569</v>
      </c>
      <c r="U427">
        <f t="shared" si="12"/>
        <v>0</v>
      </c>
      <c r="V427">
        <f t="shared" si="13"/>
        <v>0</v>
      </c>
    </row>
    <row r="428" spans="1:22" x14ac:dyDescent="0.2">
      <c r="A428" t="s">
        <v>828</v>
      </c>
      <c r="B428" t="s">
        <v>13</v>
      </c>
      <c r="C428" t="s">
        <v>76</v>
      </c>
      <c r="D428" t="s">
        <v>77</v>
      </c>
      <c r="E428" s="1" t="s">
        <v>138</v>
      </c>
      <c r="F428" t="s">
        <v>139</v>
      </c>
      <c r="G428">
        <v>17</v>
      </c>
      <c r="H428">
        <v>193</v>
      </c>
      <c r="I428">
        <v>0</v>
      </c>
      <c r="J428">
        <v>108</v>
      </c>
      <c r="K428">
        <v>88</v>
      </c>
      <c r="L428">
        <v>-193</v>
      </c>
      <c r="M428">
        <v>1</v>
      </c>
      <c r="N428">
        <v>0</v>
      </c>
      <c r="O428" s="1" t="s">
        <v>855</v>
      </c>
      <c r="P428">
        <v>0</v>
      </c>
      <c r="Q428">
        <v>0</v>
      </c>
      <c r="R428">
        <v>0</v>
      </c>
      <c r="S428">
        <v>0</v>
      </c>
      <c r="T428">
        <v>100.6357569</v>
      </c>
      <c r="U428">
        <f t="shared" si="12"/>
        <v>0</v>
      </c>
      <c r="V428">
        <f t="shared" si="13"/>
        <v>0</v>
      </c>
    </row>
    <row r="429" spans="1:22" x14ac:dyDescent="0.2">
      <c r="A429" t="s">
        <v>828</v>
      </c>
      <c r="B429" t="s">
        <v>13</v>
      </c>
      <c r="C429" t="s">
        <v>76</v>
      </c>
      <c r="D429" t="s">
        <v>77</v>
      </c>
      <c r="E429" s="1" t="s">
        <v>155</v>
      </c>
      <c r="F429" t="s">
        <v>156</v>
      </c>
      <c r="G429" s="1" t="s">
        <v>85</v>
      </c>
      <c r="H429">
        <v>0</v>
      </c>
      <c r="I429">
        <v>4864</v>
      </c>
      <c r="J429">
        <v>74</v>
      </c>
      <c r="K429">
        <v>61</v>
      </c>
      <c r="L429">
        <v>4864</v>
      </c>
      <c r="M429">
        <v>0</v>
      </c>
      <c r="N429">
        <v>1</v>
      </c>
      <c r="O429" s="1" t="s">
        <v>856</v>
      </c>
      <c r="P429">
        <v>0</v>
      </c>
      <c r="Q429">
        <v>0</v>
      </c>
      <c r="R429">
        <v>0</v>
      </c>
      <c r="S429">
        <v>0</v>
      </c>
      <c r="T429">
        <v>100.6357569</v>
      </c>
      <c r="U429">
        <f t="shared" si="12"/>
        <v>0</v>
      </c>
      <c r="V429">
        <f t="shared" si="13"/>
        <v>0</v>
      </c>
    </row>
    <row r="430" spans="1:22" x14ac:dyDescent="0.2">
      <c r="A430" t="s">
        <v>857</v>
      </c>
      <c r="B430" t="s">
        <v>14</v>
      </c>
      <c r="C430" t="s">
        <v>76</v>
      </c>
      <c r="D430" t="s">
        <v>77</v>
      </c>
      <c r="E430">
        <v>14</v>
      </c>
      <c r="F430" t="s">
        <v>261</v>
      </c>
      <c r="G430">
        <v>71</v>
      </c>
      <c r="H430">
        <v>71162539</v>
      </c>
      <c r="I430">
        <v>0</v>
      </c>
      <c r="J430">
        <v>26</v>
      </c>
      <c r="K430">
        <v>89</v>
      </c>
      <c r="L430">
        <v>-71162539</v>
      </c>
      <c r="M430">
        <v>1</v>
      </c>
      <c r="N430">
        <v>0</v>
      </c>
      <c r="O430" s="1" t="s">
        <v>858</v>
      </c>
      <c r="P430">
        <v>0</v>
      </c>
      <c r="Q430">
        <v>0</v>
      </c>
      <c r="R430">
        <v>0</v>
      </c>
      <c r="S430">
        <v>0</v>
      </c>
      <c r="T430">
        <v>30.8574895</v>
      </c>
      <c r="U430">
        <f t="shared" si="12"/>
        <v>0</v>
      </c>
      <c r="V430">
        <f t="shared" si="13"/>
        <v>0</v>
      </c>
    </row>
    <row r="431" spans="1:22" x14ac:dyDescent="0.2">
      <c r="A431" t="s">
        <v>857</v>
      </c>
      <c r="B431" t="s">
        <v>14</v>
      </c>
      <c r="C431" t="s">
        <v>76</v>
      </c>
      <c r="D431" t="s">
        <v>77</v>
      </c>
      <c r="E431">
        <v>17</v>
      </c>
      <c r="F431" t="s">
        <v>97</v>
      </c>
      <c r="G431">
        <v>87</v>
      </c>
      <c r="H431">
        <v>5192575</v>
      </c>
      <c r="I431">
        <v>954997</v>
      </c>
      <c r="J431">
        <v>62</v>
      </c>
      <c r="K431">
        <v>65</v>
      </c>
      <c r="L431">
        <v>-4237578</v>
      </c>
      <c r="M431" s="1" t="s">
        <v>859</v>
      </c>
      <c r="N431" s="1" t="s">
        <v>860</v>
      </c>
      <c r="O431" s="1" t="s">
        <v>861</v>
      </c>
      <c r="P431">
        <v>0</v>
      </c>
      <c r="Q431">
        <v>0</v>
      </c>
      <c r="R431">
        <v>0</v>
      </c>
      <c r="S431">
        <v>0</v>
      </c>
      <c r="T431">
        <v>30.8574895</v>
      </c>
      <c r="U431">
        <f t="shared" si="12"/>
        <v>0</v>
      </c>
      <c r="V431">
        <f t="shared" si="13"/>
        <v>0</v>
      </c>
    </row>
    <row r="432" spans="1:22" x14ac:dyDescent="0.2">
      <c r="A432" t="s">
        <v>857</v>
      </c>
      <c r="B432" t="s">
        <v>14</v>
      </c>
      <c r="C432" t="s">
        <v>76</v>
      </c>
      <c r="D432" t="s">
        <v>77</v>
      </c>
      <c r="E432">
        <v>15</v>
      </c>
      <c r="F432" t="s">
        <v>88</v>
      </c>
      <c r="G432">
        <v>72</v>
      </c>
      <c r="H432">
        <v>324134</v>
      </c>
      <c r="I432">
        <v>0</v>
      </c>
      <c r="J432">
        <v>113</v>
      </c>
      <c r="K432">
        <v>74</v>
      </c>
      <c r="L432">
        <v>-324134</v>
      </c>
      <c r="M432">
        <v>1</v>
      </c>
      <c r="N432">
        <v>0</v>
      </c>
      <c r="O432" s="1" t="s">
        <v>862</v>
      </c>
      <c r="P432">
        <v>0</v>
      </c>
      <c r="Q432">
        <v>0</v>
      </c>
      <c r="R432">
        <v>0</v>
      </c>
      <c r="S432">
        <v>0</v>
      </c>
      <c r="T432">
        <v>30.8574895</v>
      </c>
      <c r="U432">
        <f t="shared" si="12"/>
        <v>0</v>
      </c>
      <c r="V432">
        <f t="shared" si="13"/>
        <v>0</v>
      </c>
    </row>
    <row r="433" spans="1:22" x14ac:dyDescent="0.2">
      <c r="A433" t="s">
        <v>857</v>
      </c>
      <c r="B433" t="s">
        <v>14</v>
      </c>
      <c r="C433" t="s">
        <v>76</v>
      </c>
      <c r="D433" t="s">
        <v>77</v>
      </c>
      <c r="E433">
        <v>10</v>
      </c>
      <c r="F433" t="s">
        <v>119</v>
      </c>
      <c r="G433">
        <v>48</v>
      </c>
      <c r="H433">
        <v>1603804</v>
      </c>
      <c r="I433">
        <v>0</v>
      </c>
      <c r="J433">
        <v>105</v>
      </c>
      <c r="K433">
        <v>97</v>
      </c>
      <c r="L433">
        <v>-1603804</v>
      </c>
      <c r="M433">
        <v>1</v>
      </c>
      <c r="N433">
        <v>0</v>
      </c>
      <c r="O433">
        <v>4.9184022450380199E-3</v>
      </c>
      <c r="P433">
        <v>0</v>
      </c>
      <c r="Q433">
        <v>0</v>
      </c>
      <c r="R433">
        <v>0</v>
      </c>
      <c r="S433">
        <v>0</v>
      </c>
      <c r="T433">
        <v>30.8574895</v>
      </c>
      <c r="U433">
        <f t="shared" si="12"/>
        <v>0</v>
      </c>
      <c r="V433">
        <f t="shared" si="13"/>
        <v>0</v>
      </c>
    </row>
    <row r="434" spans="1:22" x14ac:dyDescent="0.2">
      <c r="A434" t="s">
        <v>857</v>
      </c>
      <c r="B434" t="s">
        <v>14</v>
      </c>
      <c r="C434" t="s">
        <v>76</v>
      </c>
      <c r="D434" t="s">
        <v>77</v>
      </c>
      <c r="E434">
        <v>13</v>
      </c>
      <c r="F434" t="s">
        <v>91</v>
      </c>
      <c r="G434">
        <v>68</v>
      </c>
      <c r="H434">
        <v>176362</v>
      </c>
      <c r="I434">
        <v>0</v>
      </c>
      <c r="J434">
        <v>80</v>
      </c>
      <c r="K434">
        <v>85</v>
      </c>
      <c r="L434">
        <v>-176362</v>
      </c>
      <c r="M434">
        <v>1</v>
      </c>
      <c r="N434">
        <v>0</v>
      </c>
      <c r="O434" s="1" t="s">
        <v>863</v>
      </c>
      <c r="P434">
        <v>0</v>
      </c>
      <c r="Q434">
        <v>0</v>
      </c>
      <c r="R434">
        <v>0</v>
      </c>
      <c r="S434">
        <v>0</v>
      </c>
      <c r="T434">
        <v>30.8574895</v>
      </c>
      <c r="U434">
        <f t="shared" si="12"/>
        <v>0</v>
      </c>
      <c r="V434">
        <f t="shared" si="13"/>
        <v>0</v>
      </c>
    </row>
    <row r="435" spans="1:22" x14ac:dyDescent="0.2">
      <c r="A435" t="s">
        <v>857</v>
      </c>
      <c r="B435" t="s">
        <v>14</v>
      </c>
      <c r="C435" t="s">
        <v>76</v>
      </c>
      <c r="D435" t="s">
        <v>77</v>
      </c>
      <c r="E435" s="1" t="s">
        <v>89</v>
      </c>
      <c r="F435" t="s">
        <v>90</v>
      </c>
      <c r="G435">
        <v>30</v>
      </c>
      <c r="H435">
        <v>847838</v>
      </c>
      <c r="I435">
        <v>0</v>
      </c>
      <c r="J435">
        <v>67</v>
      </c>
      <c r="K435">
        <v>91</v>
      </c>
      <c r="L435">
        <v>-847838</v>
      </c>
      <c r="M435">
        <v>1</v>
      </c>
      <c r="N435">
        <v>0</v>
      </c>
      <c r="O435">
        <v>2.6000735268327901E-3</v>
      </c>
      <c r="P435">
        <v>0</v>
      </c>
      <c r="Q435">
        <v>0</v>
      </c>
      <c r="R435">
        <v>0</v>
      </c>
      <c r="S435">
        <v>0</v>
      </c>
      <c r="T435">
        <v>30.8574895</v>
      </c>
      <c r="U435">
        <f t="shared" si="12"/>
        <v>0</v>
      </c>
      <c r="V435">
        <f t="shared" si="13"/>
        <v>0</v>
      </c>
    </row>
    <row r="436" spans="1:22" x14ac:dyDescent="0.2">
      <c r="A436" t="s">
        <v>857</v>
      </c>
      <c r="B436" t="s">
        <v>14</v>
      </c>
      <c r="C436" t="s">
        <v>76</v>
      </c>
      <c r="D436" t="s">
        <v>77</v>
      </c>
      <c r="E436" s="1" t="s">
        <v>89</v>
      </c>
      <c r="F436" t="s">
        <v>90</v>
      </c>
      <c r="G436">
        <v>31</v>
      </c>
      <c r="H436">
        <v>2026266</v>
      </c>
      <c r="I436">
        <v>0</v>
      </c>
      <c r="J436">
        <v>111</v>
      </c>
      <c r="K436">
        <v>51</v>
      </c>
      <c r="L436">
        <v>-2026266</v>
      </c>
      <c r="M436">
        <v>1</v>
      </c>
      <c r="N436">
        <v>0</v>
      </c>
      <c r="O436">
        <v>6.2139708115481699E-3</v>
      </c>
      <c r="P436">
        <v>0</v>
      </c>
      <c r="Q436">
        <v>0</v>
      </c>
      <c r="R436">
        <v>0</v>
      </c>
      <c r="S436">
        <v>0</v>
      </c>
      <c r="T436">
        <v>30.8574895</v>
      </c>
      <c r="U436">
        <f t="shared" si="12"/>
        <v>0</v>
      </c>
      <c r="V436">
        <f t="shared" si="13"/>
        <v>0</v>
      </c>
    </row>
    <row r="437" spans="1:22" x14ac:dyDescent="0.2">
      <c r="A437" t="s">
        <v>857</v>
      </c>
      <c r="B437" t="s">
        <v>14</v>
      </c>
      <c r="C437" t="s">
        <v>76</v>
      </c>
      <c r="D437" t="s">
        <v>77</v>
      </c>
      <c r="E437">
        <v>16</v>
      </c>
      <c r="F437" t="s">
        <v>95</v>
      </c>
      <c r="G437">
        <v>84</v>
      </c>
      <c r="H437">
        <v>418903</v>
      </c>
      <c r="I437">
        <v>0</v>
      </c>
      <c r="J437">
        <v>117</v>
      </c>
      <c r="K437">
        <v>117</v>
      </c>
      <c r="L437">
        <v>-418903</v>
      </c>
      <c r="M437">
        <v>1</v>
      </c>
      <c r="N437">
        <v>0</v>
      </c>
      <c r="O437">
        <v>1.2846541445545401E-3</v>
      </c>
      <c r="P437">
        <v>0</v>
      </c>
      <c r="Q437">
        <v>0</v>
      </c>
      <c r="R437">
        <v>0</v>
      </c>
      <c r="S437">
        <v>0</v>
      </c>
      <c r="T437">
        <v>30.8574895</v>
      </c>
      <c r="U437">
        <f t="shared" si="12"/>
        <v>0</v>
      </c>
      <c r="V437">
        <f t="shared" si="13"/>
        <v>0</v>
      </c>
    </row>
    <row r="438" spans="1:22" x14ac:dyDescent="0.2">
      <c r="A438" t="s">
        <v>857</v>
      </c>
      <c r="B438" t="s">
        <v>14</v>
      </c>
      <c r="C438" t="s">
        <v>76</v>
      </c>
      <c r="D438" t="s">
        <v>77</v>
      </c>
      <c r="E438" s="1" t="s">
        <v>89</v>
      </c>
      <c r="F438" t="s">
        <v>90</v>
      </c>
      <c r="G438">
        <v>33</v>
      </c>
      <c r="H438">
        <v>114823</v>
      </c>
      <c r="I438">
        <v>0</v>
      </c>
      <c r="J438">
        <v>94</v>
      </c>
      <c r="K438">
        <v>95</v>
      </c>
      <c r="L438">
        <v>-114823</v>
      </c>
      <c r="M438">
        <v>1</v>
      </c>
      <c r="N438">
        <v>0</v>
      </c>
      <c r="O438" s="1" t="s">
        <v>864</v>
      </c>
      <c r="P438">
        <v>0</v>
      </c>
      <c r="Q438">
        <v>0</v>
      </c>
      <c r="R438">
        <v>0</v>
      </c>
      <c r="S438">
        <v>0</v>
      </c>
      <c r="T438">
        <v>30.8574895</v>
      </c>
      <c r="U438">
        <f t="shared" si="12"/>
        <v>0</v>
      </c>
      <c r="V438">
        <f t="shared" si="13"/>
        <v>0</v>
      </c>
    </row>
    <row r="439" spans="1:22" x14ac:dyDescent="0.2">
      <c r="A439" t="s">
        <v>857</v>
      </c>
      <c r="B439" t="s">
        <v>14</v>
      </c>
      <c r="C439" t="s">
        <v>76</v>
      </c>
      <c r="D439" t="s">
        <v>77</v>
      </c>
      <c r="E439" s="1" t="s">
        <v>99</v>
      </c>
      <c r="F439" t="s">
        <v>100</v>
      </c>
      <c r="G439">
        <v>40</v>
      </c>
      <c r="H439">
        <v>540830</v>
      </c>
      <c r="I439">
        <v>473208</v>
      </c>
      <c r="J439">
        <v>90</v>
      </c>
      <c r="K439">
        <v>62</v>
      </c>
      <c r="L439">
        <v>-67622</v>
      </c>
      <c r="M439" s="1" t="s">
        <v>865</v>
      </c>
      <c r="N439" s="1" t="s">
        <v>866</v>
      </c>
      <c r="O439">
        <v>3.10976077859505E-3</v>
      </c>
      <c r="P439">
        <v>0</v>
      </c>
      <c r="Q439">
        <v>0</v>
      </c>
      <c r="R439">
        <v>0</v>
      </c>
      <c r="S439">
        <v>0</v>
      </c>
      <c r="T439">
        <v>30.8574895</v>
      </c>
      <c r="U439">
        <f t="shared" si="12"/>
        <v>0</v>
      </c>
      <c r="V439">
        <f t="shared" si="13"/>
        <v>0</v>
      </c>
    </row>
    <row r="440" spans="1:22" x14ac:dyDescent="0.2">
      <c r="A440" t="s">
        <v>857</v>
      </c>
      <c r="B440" t="s">
        <v>14</v>
      </c>
      <c r="C440" t="s">
        <v>76</v>
      </c>
      <c r="D440" t="s">
        <v>77</v>
      </c>
      <c r="E440">
        <v>20</v>
      </c>
      <c r="F440" t="s">
        <v>104</v>
      </c>
      <c r="G440">
        <v>95</v>
      </c>
      <c r="H440">
        <v>24007</v>
      </c>
      <c r="I440">
        <v>420468</v>
      </c>
      <c r="J440">
        <v>88</v>
      </c>
      <c r="K440">
        <v>54</v>
      </c>
      <c r="L440">
        <v>396461</v>
      </c>
      <c r="M440" s="1" t="s">
        <v>867</v>
      </c>
      <c r="N440" s="1" t="s">
        <v>868</v>
      </c>
      <c r="O440">
        <v>1.3630760603311001E-3</v>
      </c>
      <c r="P440">
        <v>0</v>
      </c>
      <c r="Q440">
        <v>0</v>
      </c>
      <c r="R440">
        <v>0</v>
      </c>
      <c r="S440">
        <v>0</v>
      </c>
      <c r="T440">
        <v>30.8574895</v>
      </c>
      <c r="U440">
        <f t="shared" si="12"/>
        <v>0</v>
      </c>
      <c r="V440">
        <f t="shared" si="13"/>
        <v>0</v>
      </c>
    </row>
    <row r="441" spans="1:22" x14ac:dyDescent="0.2">
      <c r="A441" t="s">
        <v>857</v>
      </c>
      <c r="B441" t="s">
        <v>14</v>
      </c>
      <c r="C441" t="s">
        <v>76</v>
      </c>
      <c r="D441" t="s">
        <v>77</v>
      </c>
      <c r="E441">
        <v>11</v>
      </c>
      <c r="F441" t="s">
        <v>127</v>
      </c>
      <c r="G441">
        <v>63</v>
      </c>
      <c r="H441">
        <v>90664</v>
      </c>
      <c r="I441">
        <v>41757</v>
      </c>
      <c r="J441">
        <v>67</v>
      </c>
      <c r="K441">
        <v>73</v>
      </c>
      <c r="L441">
        <v>-48907</v>
      </c>
      <c r="M441" s="1" t="s">
        <v>869</v>
      </c>
      <c r="N441" s="1" t="s">
        <v>870</v>
      </c>
      <c r="O441" s="1" t="s">
        <v>871</v>
      </c>
      <c r="P441">
        <v>0</v>
      </c>
      <c r="Q441">
        <v>0</v>
      </c>
      <c r="R441">
        <v>0</v>
      </c>
      <c r="S441">
        <v>0</v>
      </c>
      <c r="T441">
        <v>30.8574895</v>
      </c>
      <c r="U441">
        <f t="shared" si="12"/>
        <v>0</v>
      </c>
      <c r="V441">
        <f t="shared" si="13"/>
        <v>0</v>
      </c>
    </row>
    <row r="442" spans="1:22" x14ac:dyDescent="0.2">
      <c r="A442" t="s">
        <v>857</v>
      </c>
      <c r="B442" t="s">
        <v>14</v>
      </c>
      <c r="C442" t="s">
        <v>76</v>
      </c>
      <c r="D442" t="s">
        <v>77</v>
      </c>
      <c r="E442">
        <v>17</v>
      </c>
      <c r="F442" t="s">
        <v>97</v>
      </c>
      <c r="G442">
        <v>89</v>
      </c>
      <c r="H442">
        <v>5955</v>
      </c>
      <c r="I442">
        <v>0</v>
      </c>
      <c r="J442">
        <v>75</v>
      </c>
      <c r="K442">
        <v>68</v>
      </c>
      <c r="L442">
        <v>-5955</v>
      </c>
      <c r="M442">
        <v>1</v>
      </c>
      <c r="N442">
        <v>0</v>
      </c>
      <c r="O442" s="1" t="s">
        <v>872</v>
      </c>
      <c r="P442">
        <v>0</v>
      </c>
      <c r="Q442">
        <v>0</v>
      </c>
      <c r="R442">
        <v>0</v>
      </c>
      <c r="S442">
        <v>0</v>
      </c>
      <c r="T442">
        <v>30.8574895</v>
      </c>
      <c r="U442">
        <f t="shared" si="12"/>
        <v>0</v>
      </c>
      <c r="V442">
        <f t="shared" si="13"/>
        <v>0</v>
      </c>
    </row>
    <row r="443" spans="1:22" x14ac:dyDescent="0.2">
      <c r="A443" t="s">
        <v>857</v>
      </c>
      <c r="B443" t="s">
        <v>14</v>
      </c>
      <c r="C443" t="s">
        <v>76</v>
      </c>
      <c r="D443" t="s">
        <v>77</v>
      </c>
      <c r="E443" s="1" t="s">
        <v>89</v>
      </c>
      <c r="F443" t="s">
        <v>90</v>
      </c>
      <c r="G443">
        <v>34</v>
      </c>
      <c r="H443">
        <v>4514</v>
      </c>
      <c r="I443">
        <v>0</v>
      </c>
      <c r="J443">
        <v>109</v>
      </c>
      <c r="K443">
        <v>87</v>
      </c>
      <c r="L443">
        <v>-4514</v>
      </c>
      <c r="M443">
        <v>1</v>
      </c>
      <c r="N443">
        <v>0</v>
      </c>
      <c r="O443" s="1" t="s">
        <v>873</v>
      </c>
      <c r="P443">
        <v>0</v>
      </c>
      <c r="Q443">
        <v>0</v>
      </c>
      <c r="R443">
        <v>0</v>
      </c>
      <c r="S443">
        <v>0</v>
      </c>
      <c r="T443">
        <v>30.8574895</v>
      </c>
      <c r="U443">
        <f t="shared" si="12"/>
        <v>0</v>
      </c>
      <c r="V443">
        <f t="shared" si="13"/>
        <v>0</v>
      </c>
    </row>
    <row r="444" spans="1:22" x14ac:dyDescent="0.2">
      <c r="A444" t="s">
        <v>857</v>
      </c>
      <c r="B444" t="s">
        <v>14</v>
      </c>
      <c r="C444" t="s">
        <v>76</v>
      </c>
      <c r="D444" t="s">
        <v>77</v>
      </c>
      <c r="E444" s="1" t="s">
        <v>89</v>
      </c>
      <c r="F444" t="s">
        <v>90</v>
      </c>
      <c r="G444">
        <v>32</v>
      </c>
      <c r="H444">
        <v>30131</v>
      </c>
      <c r="I444">
        <v>0</v>
      </c>
      <c r="J444">
        <v>102</v>
      </c>
      <c r="K444">
        <v>80</v>
      </c>
      <c r="L444">
        <v>-30131</v>
      </c>
      <c r="M444">
        <v>1</v>
      </c>
      <c r="N444">
        <v>0</v>
      </c>
      <c r="O444" s="1" t="s">
        <v>874</v>
      </c>
      <c r="P444">
        <v>0</v>
      </c>
      <c r="Q444">
        <v>0</v>
      </c>
      <c r="R444">
        <v>0</v>
      </c>
      <c r="S444">
        <v>0</v>
      </c>
      <c r="T444">
        <v>30.8574895</v>
      </c>
      <c r="U444">
        <f t="shared" si="12"/>
        <v>0</v>
      </c>
      <c r="V444">
        <f t="shared" si="13"/>
        <v>0</v>
      </c>
    </row>
    <row r="445" spans="1:22" x14ac:dyDescent="0.2">
      <c r="A445" t="s">
        <v>857</v>
      </c>
      <c r="B445" t="s">
        <v>14</v>
      </c>
      <c r="C445" t="s">
        <v>76</v>
      </c>
      <c r="D445" t="s">
        <v>77</v>
      </c>
      <c r="E445">
        <v>10</v>
      </c>
      <c r="F445" t="s">
        <v>119</v>
      </c>
      <c r="G445">
        <v>49</v>
      </c>
      <c r="H445">
        <v>5036</v>
      </c>
      <c r="I445">
        <v>0</v>
      </c>
      <c r="J445">
        <v>98</v>
      </c>
      <c r="K445">
        <v>109</v>
      </c>
      <c r="L445">
        <v>-5036</v>
      </c>
      <c r="M445">
        <v>1</v>
      </c>
      <c r="N445">
        <v>0</v>
      </c>
      <c r="O445" s="1" t="s">
        <v>875</v>
      </c>
      <c r="P445">
        <v>0</v>
      </c>
      <c r="Q445">
        <v>0</v>
      </c>
      <c r="R445">
        <v>0</v>
      </c>
      <c r="S445">
        <v>0</v>
      </c>
      <c r="T445">
        <v>30.8574895</v>
      </c>
      <c r="U445">
        <f t="shared" si="12"/>
        <v>0</v>
      </c>
      <c r="V445">
        <f t="shared" si="13"/>
        <v>0</v>
      </c>
    </row>
    <row r="446" spans="1:22" x14ac:dyDescent="0.2">
      <c r="A446" t="s">
        <v>857</v>
      </c>
      <c r="B446" t="s">
        <v>14</v>
      </c>
      <c r="C446" t="s">
        <v>76</v>
      </c>
      <c r="D446" t="s">
        <v>77</v>
      </c>
      <c r="E446" s="1" t="s">
        <v>99</v>
      </c>
      <c r="F446" t="s">
        <v>100</v>
      </c>
      <c r="G446">
        <v>39</v>
      </c>
      <c r="H446">
        <v>56198</v>
      </c>
      <c r="I446">
        <v>798807</v>
      </c>
      <c r="J446">
        <v>117</v>
      </c>
      <c r="K446">
        <v>71</v>
      </c>
      <c r="L446">
        <v>742609</v>
      </c>
      <c r="M446">
        <v>6.5728270594908794E-2</v>
      </c>
      <c r="N446" s="1" t="s">
        <v>876</v>
      </c>
      <c r="O446">
        <v>2.6220526395486798E-3</v>
      </c>
      <c r="P446">
        <v>0</v>
      </c>
      <c r="Q446">
        <v>0</v>
      </c>
      <c r="R446">
        <v>0</v>
      </c>
      <c r="S446">
        <v>0</v>
      </c>
      <c r="T446">
        <v>30.8574895</v>
      </c>
      <c r="U446">
        <f t="shared" si="12"/>
        <v>0</v>
      </c>
      <c r="V446">
        <f t="shared" si="13"/>
        <v>0</v>
      </c>
    </row>
    <row r="447" spans="1:22" x14ac:dyDescent="0.2">
      <c r="A447" t="s">
        <v>857</v>
      </c>
      <c r="B447" t="s">
        <v>14</v>
      </c>
      <c r="C447" t="s">
        <v>76</v>
      </c>
      <c r="D447" t="s">
        <v>77</v>
      </c>
      <c r="E447" s="1" t="s">
        <v>93</v>
      </c>
      <c r="F447" t="s">
        <v>94</v>
      </c>
      <c r="G447">
        <v>44</v>
      </c>
      <c r="H447">
        <v>751794</v>
      </c>
      <c r="I447">
        <v>0</v>
      </c>
      <c r="J447">
        <v>96</v>
      </c>
      <c r="K447">
        <v>103</v>
      </c>
      <c r="L447">
        <v>-751794</v>
      </c>
      <c r="M447">
        <v>1</v>
      </c>
      <c r="N447">
        <v>0</v>
      </c>
      <c r="O447">
        <v>2.3055344028360702E-3</v>
      </c>
      <c r="P447">
        <v>0</v>
      </c>
      <c r="Q447">
        <v>0</v>
      </c>
      <c r="R447">
        <v>0</v>
      </c>
      <c r="S447">
        <v>0</v>
      </c>
      <c r="T447">
        <v>30.8574895</v>
      </c>
      <c r="U447">
        <f t="shared" si="12"/>
        <v>0</v>
      </c>
      <c r="V447">
        <f t="shared" si="13"/>
        <v>0</v>
      </c>
    </row>
    <row r="448" spans="1:22" x14ac:dyDescent="0.2">
      <c r="A448" t="s">
        <v>857</v>
      </c>
      <c r="B448" t="s">
        <v>14</v>
      </c>
      <c r="C448" t="s">
        <v>76</v>
      </c>
      <c r="D448" t="s">
        <v>77</v>
      </c>
      <c r="E448">
        <v>13</v>
      </c>
      <c r="F448" t="s">
        <v>91</v>
      </c>
      <c r="G448">
        <v>69</v>
      </c>
      <c r="H448">
        <v>1698</v>
      </c>
      <c r="I448">
        <v>0</v>
      </c>
      <c r="J448">
        <v>102</v>
      </c>
      <c r="K448">
        <v>91</v>
      </c>
      <c r="L448">
        <v>-1698</v>
      </c>
      <c r="M448">
        <v>1</v>
      </c>
      <c r="N448">
        <v>0</v>
      </c>
      <c r="O448" s="1" t="s">
        <v>877</v>
      </c>
      <c r="P448">
        <v>0</v>
      </c>
      <c r="Q448">
        <v>0</v>
      </c>
      <c r="R448">
        <v>0</v>
      </c>
      <c r="S448">
        <v>0</v>
      </c>
      <c r="T448">
        <v>30.8574895</v>
      </c>
      <c r="U448">
        <f t="shared" si="12"/>
        <v>0</v>
      </c>
      <c r="V448">
        <f t="shared" si="13"/>
        <v>0</v>
      </c>
    </row>
    <row r="449" spans="1:22" x14ac:dyDescent="0.2">
      <c r="A449" t="s">
        <v>857</v>
      </c>
      <c r="B449" t="s">
        <v>14</v>
      </c>
      <c r="C449" t="s">
        <v>76</v>
      </c>
      <c r="D449" t="s">
        <v>77</v>
      </c>
      <c r="E449">
        <v>15</v>
      </c>
      <c r="F449" t="s">
        <v>88</v>
      </c>
      <c r="G449">
        <v>76</v>
      </c>
      <c r="H449">
        <v>655</v>
      </c>
      <c r="I449">
        <v>0</v>
      </c>
      <c r="J449">
        <v>121</v>
      </c>
      <c r="K449">
        <v>92</v>
      </c>
      <c r="L449">
        <v>-655</v>
      </c>
      <c r="M449">
        <v>1</v>
      </c>
      <c r="N449">
        <v>0</v>
      </c>
      <c r="O449" s="1" t="s">
        <v>878</v>
      </c>
      <c r="P449">
        <v>0</v>
      </c>
      <c r="Q449">
        <v>0</v>
      </c>
      <c r="R449">
        <v>0</v>
      </c>
      <c r="S449">
        <v>0</v>
      </c>
      <c r="T449">
        <v>30.8574895</v>
      </c>
      <c r="U449">
        <f t="shared" si="12"/>
        <v>0</v>
      </c>
      <c r="V449">
        <f t="shared" si="13"/>
        <v>0</v>
      </c>
    </row>
    <row r="450" spans="1:22" x14ac:dyDescent="0.2">
      <c r="A450" t="s">
        <v>857</v>
      </c>
      <c r="B450" t="s">
        <v>14</v>
      </c>
      <c r="C450" t="s">
        <v>76</v>
      </c>
      <c r="D450" t="s">
        <v>77</v>
      </c>
      <c r="E450">
        <v>16</v>
      </c>
      <c r="F450" t="s">
        <v>95</v>
      </c>
      <c r="G450">
        <v>85</v>
      </c>
      <c r="H450">
        <v>2358880</v>
      </c>
      <c r="I450">
        <v>1023465</v>
      </c>
      <c r="J450">
        <v>89</v>
      </c>
      <c r="K450">
        <v>72</v>
      </c>
      <c r="L450">
        <v>-1335415</v>
      </c>
      <c r="M450" s="1" t="s">
        <v>879</v>
      </c>
      <c r="N450">
        <v>0.30259036260346001</v>
      </c>
      <c r="O450" s="1" t="s">
        <v>880</v>
      </c>
      <c r="P450">
        <v>0</v>
      </c>
      <c r="Q450">
        <v>0</v>
      </c>
      <c r="R450">
        <v>0</v>
      </c>
      <c r="S450">
        <v>0</v>
      </c>
      <c r="T450">
        <v>30.8574895</v>
      </c>
      <c r="U450">
        <f t="shared" si="12"/>
        <v>0</v>
      </c>
      <c r="V450">
        <f t="shared" si="13"/>
        <v>0</v>
      </c>
    </row>
    <row r="451" spans="1:22" x14ac:dyDescent="0.2">
      <c r="A451" t="s">
        <v>857</v>
      </c>
      <c r="B451" t="s">
        <v>14</v>
      </c>
      <c r="C451" t="s">
        <v>76</v>
      </c>
      <c r="D451" t="s">
        <v>77</v>
      </c>
      <c r="E451">
        <v>15</v>
      </c>
      <c r="F451" t="s">
        <v>88</v>
      </c>
      <c r="G451">
        <v>73</v>
      </c>
      <c r="H451">
        <v>6229</v>
      </c>
      <c r="I451">
        <v>0</v>
      </c>
      <c r="J451">
        <v>130</v>
      </c>
      <c r="K451">
        <v>103</v>
      </c>
      <c r="L451">
        <v>-6229</v>
      </c>
      <c r="M451">
        <v>1</v>
      </c>
      <c r="N451">
        <v>0</v>
      </c>
      <c r="O451" s="1" t="s">
        <v>881</v>
      </c>
      <c r="P451">
        <v>0</v>
      </c>
      <c r="Q451">
        <v>0</v>
      </c>
      <c r="R451">
        <v>0</v>
      </c>
      <c r="S451">
        <v>0</v>
      </c>
      <c r="T451">
        <v>30.8574895</v>
      </c>
      <c r="U451">
        <f t="shared" ref="U451:U514" si="14">IF(OR(P451=1,Q451=1),1,0)</f>
        <v>0</v>
      </c>
      <c r="V451">
        <f t="shared" ref="V451:V514" si="15">IF(OR(R451=1,S451=1),1,0)</f>
        <v>0</v>
      </c>
    </row>
    <row r="452" spans="1:22" x14ac:dyDescent="0.2">
      <c r="A452" t="s">
        <v>857</v>
      </c>
      <c r="B452" t="s">
        <v>14</v>
      </c>
      <c r="C452" t="s">
        <v>76</v>
      </c>
      <c r="D452" t="s">
        <v>77</v>
      </c>
      <c r="E452">
        <v>99</v>
      </c>
      <c r="F452" t="s">
        <v>78</v>
      </c>
      <c r="G452">
        <v>99</v>
      </c>
      <c r="H452">
        <v>7190</v>
      </c>
      <c r="I452">
        <v>15236</v>
      </c>
      <c r="J452">
        <v>104</v>
      </c>
      <c r="K452">
        <v>82</v>
      </c>
      <c r="L452">
        <v>8046</v>
      </c>
      <c r="M452" s="1" t="s">
        <v>882</v>
      </c>
      <c r="N452" s="1" t="s">
        <v>883</v>
      </c>
      <c r="O452" s="1" t="s">
        <v>884</v>
      </c>
      <c r="P452">
        <v>0</v>
      </c>
      <c r="Q452">
        <v>0</v>
      </c>
      <c r="R452">
        <v>0</v>
      </c>
      <c r="S452">
        <v>0</v>
      </c>
      <c r="T452">
        <v>30.8574895</v>
      </c>
      <c r="U452">
        <f t="shared" si="14"/>
        <v>0</v>
      </c>
      <c r="V452">
        <f t="shared" si="15"/>
        <v>0</v>
      </c>
    </row>
    <row r="453" spans="1:22" x14ac:dyDescent="0.2">
      <c r="A453" t="s">
        <v>857</v>
      </c>
      <c r="B453" t="s">
        <v>14</v>
      </c>
      <c r="C453" t="s">
        <v>76</v>
      </c>
      <c r="D453" t="s">
        <v>77</v>
      </c>
      <c r="E453">
        <v>11</v>
      </c>
      <c r="F453" t="s">
        <v>127</v>
      </c>
      <c r="G453">
        <v>62</v>
      </c>
      <c r="H453">
        <v>0</v>
      </c>
      <c r="I453">
        <v>16921427</v>
      </c>
      <c r="J453">
        <v>131</v>
      </c>
      <c r="K453">
        <v>30</v>
      </c>
      <c r="L453">
        <v>16921427</v>
      </c>
      <c r="M453">
        <v>0</v>
      </c>
      <c r="N453">
        <v>1</v>
      </c>
      <c r="O453" s="1" t="s">
        <v>885</v>
      </c>
      <c r="P453">
        <v>0</v>
      </c>
      <c r="Q453">
        <v>0</v>
      </c>
      <c r="R453">
        <v>0</v>
      </c>
      <c r="S453">
        <v>0</v>
      </c>
      <c r="T453">
        <v>30.8574895</v>
      </c>
      <c r="U453">
        <f t="shared" si="14"/>
        <v>0</v>
      </c>
      <c r="V453">
        <f t="shared" si="15"/>
        <v>0</v>
      </c>
    </row>
    <row r="454" spans="1:22" x14ac:dyDescent="0.2">
      <c r="A454" t="s">
        <v>857</v>
      </c>
      <c r="B454" t="s">
        <v>14</v>
      </c>
      <c r="C454" t="s">
        <v>76</v>
      </c>
      <c r="D454" t="s">
        <v>77</v>
      </c>
      <c r="E454" s="1" t="s">
        <v>82</v>
      </c>
      <c r="F454" t="s">
        <v>83</v>
      </c>
      <c r="G454" s="1" t="s">
        <v>93</v>
      </c>
      <c r="H454">
        <v>0</v>
      </c>
      <c r="I454">
        <v>296235</v>
      </c>
      <c r="J454">
        <v>105</v>
      </c>
      <c r="K454">
        <v>68</v>
      </c>
      <c r="L454">
        <v>296235</v>
      </c>
      <c r="M454">
        <v>0</v>
      </c>
      <c r="N454">
        <v>1</v>
      </c>
      <c r="O454" s="1" t="s">
        <v>886</v>
      </c>
      <c r="P454">
        <v>0</v>
      </c>
      <c r="Q454">
        <v>0</v>
      </c>
      <c r="R454">
        <v>0</v>
      </c>
      <c r="S454">
        <v>0</v>
      </c>
      <c r="T454">
        <v>30.8574895</v>
      </c>
      <c r="U454">
        <f t="shared" si="14"/>
        <v>0</v>
      </c>
      <c r="V454">
        <f t="shared" si="15"/>
        <v>0</v>
      </c>
    </row>
    <row r="455" spans="1:22" x14ac:dyDescent="0.2">
      <c r="A455" t="s">
        <v>857</v>
      </c>
      <c r="B455" t="s">
        <v>14</v>
      </c>
      <c r="C455" t="s">
        <v>76</v>
      </c>
      <c r="D455" t="s">
        <v>77</v>
      </c>
      <c r="E455">
        <v>11</v>
      </c>
      <c r="F455" t="s">
        <v>127</v>
      </c>
      <c r="G455">
        <v>61</v>
      </c>
      <c r="H455">
        <v>0</v>
      </c>
      <c r="I455">
        <v>169612694</v>
      </c>
      <c r="J455">
        <v>126</v>
      </c>
      <c r="K455">
        <v>15</v>
      </c>
      <c r="L455">
        <v>169612694</v>
      </c>
      <c r="M455">
        <v>0</v>
      </c>
      <c r="N455">
        <v>1</v>
      </c>
      <c r="O455">
        <v>0.52015299560080097</v>
      </c>
      <c r="P455">
        <v>0</v>
      </c>
      <c r="Q455">
        <v>0</v>
      </c>
      <c r="R455">
        <v>0</v>
      </c>
      <c r="S455">
        <v>0</v>
      </c>
      <c r="T455">
        <v>30.8574895</v>
      </c>
      <c r="U455">
        <f t="shared" si="14"/>
        <v>0</v>
      </c>
      <c r="V455">
        <f t="shared" si="15"/>
        <v>0</v>
      </c>
    </row>
    <row r="456" spans="1:22" x14ac:dyDescent="0.2">
      <c r="A456" t="s">
        <v>857</v>
      </c>
      <c r="B456" t="s">
        <v>14</v>
      </c>
      <c r="C456" t="s">
        <v>76</v>
      </c>
      <c r="D456" t="s">
        <v>77</v>
      </c>
      <c r="E456">
        <v>12</v>
      </c>
      <c r="F456" t="s">
        <v>194</v>
      </c>
      <c r="G456">
        <v>64</v>
      </c>
      <c r="H456">
        <v>0</v>
      </c>
      <c r="I456">
        <v>20553966</v>
      </c>
      <c r="J456">
        <v>124</v>
      </c>
      <c r="K456">
        <v>29</v>
      </c>
      <c r="L456">
        <v>20553966</v>
      </c>
      <c r="M456">
        <v>0</v>
      </c>
      <c r="N456">
        <v>1</v>
      </c>
      <c r="O456">
        <v>6.3033059225962196E-2</v>
      </c>
      <c r="P456">
        <v>0</v>
      </c>
      <c r="Q456">
        <v>0</v>
      </c>
      <c r="R456">
        <v>0</v>
      </c>
      <c r="S456">
        <v>0</v>
      </c>
      <c r="T456">
        <v>30.8574895</v>
      </c>
      <c r="U456">
        <f t="shared" si="14"/>
        <v>0</v>
      </c>
      <c r="V456">
        <f t="shared" si="15"/>
        <v>0</v>
      </c>
    </row>
    <row r="457" spans="1:22" x14ac:dyDescent="0.2">
      <c r="A457" t="s">
        <v>857</v>
      </c>
      <c r="B457" t="s">
        <v>14</v>
      </c>
      <c r="C457" t="s">
        <v>76</v>
      </c>
      <c r="D457" t="s">
        <v>77</v>
      </c>
      <c r="E457" s="1" t="s">
        <v>163</v>
      </c>
      <c r="F457" t="s">
        <v>224</v>
      </c>
      <c r="G457">
        <v>42</v>
      </c>
      <c r="H457">
        <v>0</v>
      </c>
      <c r="I457">
        <v>906254</v>
      </c>
      <c r="J457">
        <v>123</v>
      </c>
      <c r="K457">
        <v>44</v>
      </c>
      <c r="L457">
        <v>906254</v>
      </c>
      <c r="M457">
        <v>0</v>
      </c>
      <c r="N457">
        <v>1</v>
      </c>
      <c r="O457">
        <v>2.7792184756832402E-3</v>
      </c>
      <c r="P457">
        <v>0</v>
      </c>
      <c r="Q457">
        <v>0</v>
      </c>
      <c r="R457">
        <v>0</v>
      </c>
      <c r="S457">
        <v>0</v>
      </c>
      <c r="T457">
        <v>30.8574895</v>
      </c>
      <c r="U457">
        <f t="shared" si="14"/>
        <v>0</v>
      </c>
      <c r="V457">
        <f t="shared" si="15"/>
        <v>0</v>
      </c>
    </row>
    <row r="458" spans="1:22" x14ac:dyDescent="0.2">
      <c r="A458" t="s">
        <v>857</v>
      </c>
      <c r="B458" t="s">
        <v>14</v>
      </c>
      <c r="C458" t="s">
        <v>76</v>
      </c>
      <c r="D458" t="s">
        <v>77</v>
      </c>
      <c r="E458">
        <v>12</v>
      </c>
      <c r="F458" t="s">
        <v>194</v>
      </c>
      <c r="G458">
        <v>65</v>
      </c>
      <c r="H458">
        <v>0</v>
      </c>
      <c r="I458">
        <v>48343</v>
      </c>
      <c r="J458">
        <v>105</v>
      </c>
      <c r="K458">
        <v>50</v>
      </c>
      <c r="L458">
        <v>48343</v>
      </c>
      <c r="M458">
        <v>0</v>
      </c>
      <c r="N458">
        <v>1</v>
      </c>
      <c r="O458" s="1" t="s">
        <v>887</v>
      </c>
      <c r="P458">
        <v>0</v>
      </c>
      <c r="Q458">
        <v>0</v>
      </c>
      <c r="R458">
        <v>0</v>
      </c>
      <c r="S458">
        <v>0</v>
      </c>
      <c r="T458">
        <v>30.8574895</v>
      </c>
      <c r="U458">
        <f t="shared" si="14"/>
        <v>0</v>
      </c>
      <c r="V458">
        <f t="shared" si="15"/>
        <v>0</v>
      </c>
    </row>
    <row r="459" spans="1:22" x14ac:dyDescent="0.2">
      <c r="A459" t="s">
        <v>857</v>
      </c>
      <c r="B459" t="s">
        <v>14</v>
      </c>
      <c r="C459" t="s">
        <v>76</v>
      </c>
      <c r="D459" t="s">
        <v>77</v>
      </c>
      <c r="E459" s="1" t="s">
        <v>138</v>
      </c>
      <c r="F459" t="s">
        <v>139</v>
      </c>
      <c r="G459">
        <v>17</v>
      </c>
      <c r="H459">
        <v>99458</v>
      </c>
      <c r="I459">
        <v>4329</v>
      </c>
      <c r="J459">
        <v>78</v>
      </c>
      <c r="K459">
        <v>76</v>
      </c>
      <c r="L459">
        <v>-95129</v>
      </c>
      <c r="M459" s="1" t="s">
        <v>888</v>
      </c>
      <c r="N459">
        <v>4.1710426161272601E-2</v>
      </c>
      <c r="O459" s="1" t="s">
        <v>889</v>
      </c>
      <c r="P459">
        <v>0</v>
      </c>
      <c r="Q459">
        <v>0</v>
      </c>
      <c r="R459">
        <v>0</v>
      </c>
      <c r="S459">
        <v>0</v>
      </c>
      <c r="T459">
        <v>30.8574895</v>
      </c>
      <c r="U459">
        <f t="shared" si="14"/>
        <v>0</v>
      </c>
      <c r="V459">
        <f t="shared" si="15"/>
        <v>0</v>
      </c>
    </row>
    <row r="460" spans="1:22" x14ac:dyDescent="0.2">
      <c r="A460" t="s">
        <v>857</v>
      </c>
      <c r="B460" t="s">
        <v>14</v>
      </c>
      <c r="C460" t="s">
        <v>76</v>
      </c>
      <c r="D460" t="s">
        <v>77</v>
      </c>
      <c r="E460">
        <v>12</v>
      </c>
      <c r="F460" t="s">
        <v>194</v>
      </c>
      <c r="G460">
        <v>66</v>
      </c>
      <c r="H460">
        <v>0</v>
      </c>
      <c r="I460">
        <v>205378</v>
      </c>
      <c r="J460">
        <v>69</v>
      </c>
      <c r="K460">
        <v>21</v>
      </c>
      <c r="L460">
        <v>205378</v>
      </c>
      <c r="M460">
        <v>0</v>
      </c>
      <c r="N460">
        <v>1</v>
      </c>
      <c r="O460" s="1" t="s">
        <v>890</v>
      </c>
      <c r="P460">
        <v>0</v>
      </c>
      <c r="Q460">
        <v>0</v>
      </c>
      <c r="R460">
        <v>0</v>
      </c>
      <c r="S460">
        <v>0</v>
      </c>
      <c r="T460">
        <v>30.8574895</v>
      </c>
      <c r="U460">
        <f t="shared" si="14"/>
        <v>0</v>
      </c>
      <c r="V460">
        <f t="shared" si="15"/>
        <v>0</v>
      </c>
    </row>
    <row r="461" spans="1:22" x14ac:dyDescent="0.2">
      <c r="A461" t="s">
        <v>857</v>
      </c>
      <c r="B461" t="s">
        <v>14</v>
      </c>
      <c r="C461" t="s">
        <v>76</v>
      </c>
      <c r="D461" t="s">
        <v>77</v>
      </c>
      <c r="E461">
        <v>20</v>
      </c>
      <c r="F461" t="s">
        <v>104</v>
      </c>
      <c r="G461">
        <v>96</v>
      </c>
      <c r="H461">
        <v>0</v>
      </c>
      <c r="I461">
        <v>696594</v>
      </c>
      <c r="J461">
        <v>128</v>
      </c>
      <c r="K461">
        <v>49</v>
      </c>
      <c r="L461">
        <v>696594</v>
      </c>
      <c r="M461">
        <v>0</v>
      </c>
      <c r="N461">
        <v>1</v>
      </c>
      <c r="O461">
        <v>2.1362519943085401E-3</v>
      </c>
      <c r="P461">
        <v>0</v>
      </c>
      <c r="Q461">
        <v>0</v>
      </c>
      <c r="R461">
        <v>0</v>
      </c>
      <c r="S461">
        <v>0</v>
      </c>
      <c r="T461">
        <v>30.8574895</v>
      </c>
      <c r="U461">
        <f t="shared" si="14"/>
        <v>0</v>
      </c>
      <c r="V461">
        <f t="shared" si="15"/>
        <v>0</v>
      </c>
    </row>
    <row r="462" spans="1:22" x14ac:dyDescent="0.2">
      <c r="A462" t="s">
        <v>857</v>
      </c>
      <c r="B462" t="s">
        <v>14</v>
      </c>
      <c r="C462" t="s">
        <v>76</v>
      </c>
      <c r="D462" t="s">
        <v>77</v>
      </c>
      <c r="E462" s="1" t="s">
        <v>82</v>
      </c>
      <c r="F462" t="s">
        <v>83</v>
      </c>
      <c r="G462">
        <v>10</v>
      </c>
      <c r="H462">
        <v>1206984</v>
      </c>
      <c r="I462">
        <v>11966129</v>
      </c>
      <c r="J462">
        <v>107</v>
      </c>
      <c r="K462">
        <v>17</v>
      </c>
      <c r="L462">
        <v>10759145</v>
      </c>
      <c r="M462">
        <v>9.1624811842121096E-2</v>
      </c>
      <c r="N462" s="1" t="s">
        <v>891</v>
      </c>
      <c r="O462">
        <v>4.03981213124169E-2</v>
      </c>
      <c r="P462">
        <v>0</v>
      </c>
      <c r="Q462">
        <v>0</v>
      </c>
      <c r="R462">
        <v>0</v>
      </c>
      <c r="S462">
        <v>0</v>
      </c>
      <c r="T462">
        <v>30.8574895</v>
      </c>
      <c r="U462">
        <f t="shared" si="14"/>
        <v>0</v>
      </c>
      <c r="V462">
        <f t="shared" si="15"/>
        <v>0</v>
      </c>
    </row>
    <row r="463" spans="1:22" x14ac:dyDescent="0.2">
      <c r="A463" t="s">
        <v>892</v>
      </c>
      <c r="B463" t="s">
        <v>15</v>
      </c>
      <c r="C463" t="s">
        <v>76</v>
      </c>
      <c r="D463" t="s">
        <v>77</v>
      </c>
      <c r="E463" s="1" t="s">
        <v>82</v>
      </c>
      <c r="F463" t="s">
        <v>83</v>
      </c>
      <c r="G463">
        <v>10</v>
      </c>
      <c r="H463">
        <v>213044236</v>
      </c>
      <c r="I463">
        <v>0</v>
      </c>
      <c r="J463">
        <v>34</v>
      </c>
      <c r="K463">
        <v>65</v>
      </c>
      <c r="L463">
        <v>-213044236</v>
      </c>
      <c r="M463">
        <v>1</v>
      </c>
      <c r="N463">
        <v>0</v>
      </c>
      <c r="O463" s="1" t="s">
        <v>893</v>
      </c>
      <c r="P463">
        <v>0</v>
      </c>
      <c r="Q463">
        <v>0</v>
      </c>
      <c r="R463">
        <v>0</v>
      </c>
      <c r="S463">
        <v>0</v>
      </c>
      <c r="T463">
        <v>62.358898000000003</v>
      </c>
      <c r="U463">
        <f t="shared" si="14"/>
        <v>0</v>
      </c>
      <c r="V463">
        <f t="shared" si="15"/>
        <v>0</v>
      </c>
    </row>
    <row r="464" spans="1:22" x14ac:dyDescent="0.2">
      <c r="A464" t="s">
        <v>892</v>
      </c>
      <c r="B464" t="s">
        <v>15</v>
      </c>
      <c r="C464" t="s">
        <v>76</v>
      </c>
      <c r="D464" t="s">
        <v>77</v>
      </c>
      <c r="E464">
        <v>15</v>
      </c>
      <c r="F464" t="s">
        <v>88</v>
      </c>
      <c r="G464">
        <v>72</v>
      </c>
      <c r="H464">
        <v>25560166</v>
      </c>
      <c r="I464">
        <v>0</v>
      </c>
      <c r="J464">
        <v>83</v>
      </c>
      <c r="K464">
        <v>74</v>
      </c>
      <c r="L464">
        <v>-25560166</v>
      </c>
      <c r="M464">
        <v>1</v>
      </c>
      <c r="N464">
        <v>0</v>
      </c>
      <c r="O464">
        <v>6.5908753924762101E-2</v>
      </c>
      <c r="P464">
        <v>0</v>
      </c>
      <c r="Q464">
        <v>0</v>
      </c>
      <c r="R464">
        <v>0</v>
      </c>
      <c r="S464">
        <v>0</v>
      </c>
      <c r="T464">
        <v>62.358898000000003</v>
      </c>
      <c r="U464">
        <f t="shared" si="14"/>
        <v>0</v>
      </c>
      <c r="V464">
        <f t="shared" si="15"/>
        <v>0</v>
      </c>
    </row>
    <row r="465" spans="1:22" x14ac:dyDescent="0.2">
      <c r="A465" t="s">
        <v>892</v>
      </c>
      <c r="B465" t="s">
        <v>15</v>
      </c>
      <c r="C465" t="s">
        <v>76</v>
      </c>
      <c r="D465" t="s">
        <v>77</v>
      </c>
      <c r="E465" s="1" t="s">
        <v>89</v>
      </c>
      <c r="F465" t="s">
        <v>90</v>
      </c>
      <c r="G465">
        <v>31</v>
      </c>
      <c r="H465">
        <v>70930878</v>
      </c>
      <c r="I465">
        <v>0</v>
      </c>
      <c r="J465">
        <v>68</v>
      </c>
      <c r="K465">
        <v>51</v>
      </c>
      <c r="L465">
        <v>-70930878</v>
      </c>
      <c r="M465">
        <v>1</v>
      </c>
      <c r="N465">
        <v>0</v>
      </c>
      <c r="O465" s="1" t="s">
        <v>894</v>
      </c>
      <c r="P465">
        <v>0</v>
      </c>
      <c r="Q465">
        <v>0</v>
      </c>
      <c r="R465">
        <v>0</v>
      </c>
      <c r="S465">
        <v>0</v>
      </c>
      <c r="T465">
        <v>62.358898000000003</v>
      </c>
      <c r="U465">
        <f t="shared" si="14"/>
        <v>0</v>
      </c>
      <c r="V465">
        <f t="shared" si="15"/>
        <v>0</v>
      </c>
    </row>
    <row r="466" spans="1:22" x14ac:dyDescent="0.2">
      <c r="A466" t="s">
        <v>892</v>
      </c>
      <c r="B466" t="s">
        <v>15</v>
      </c>
      <c r="C466" t="s">
        <v>76</v>
      </c>
      <c r="D466" t="s">
        <v>77</v>
      </c>
      <c r="E466" s="1" t="s">
        <v>85</v>
      </c>
      <c r="F466" t="s">
        <v>86</v>
      </c>
      <c r="G466">
        <v>27</v>
      </c>
      <c r="H466">
        <v>42036297</v>
      </c>
      <c r="I466">
        <v>0</v>
      </c>
      <c r="J466">
        <v>92</v>
      </c>
      <c r="K466">
        <v>91</v>
      </c>
      <c r="L466">
        <v>-42036297</v>
      </c>
      <c r="M466">
        <v>1</v>
      </c>
      <c r="N466">
        <v>0</v>
      </c>
      <c r="O466" s="1" t="s">
        <v>895</v>
      </c>
      <c r="P466">
        <v>0</v>
      </c>
      <c r="Q466">
        <v>0</v>
      </c>
      <c r="R466">
        <v>0</v>
      </c>
      <c r="S466">
        <v>0</v>
      </c>
      <c r="T466">
        <v>62.358898000000003</v>
      </c>
      <c r="U466">
        <f t="shared" si="14"/>
        <v>0</v>
      </c>
      <c r="V466">
        <f t="shared" si="15"/>
        <v>0</v>
      </c>
    </row>
    <row r="467" spans="1:22" x14ac:dyDescent="0.2">
      <c r="A467" t="s">
        <v>892</v>
      </c>
      <c r="B467" t="s">
        <v>15</v>
      </c>
      <c r="C467" t="s">
        <v>76</v>
      </c>
      <c r="D467" t="s">
        <v>77</v>
      </c>
      <c r="E467" s="1" t="s">
        <v>155</v>
      </c>
      <c r="F467" t="s">
        <v>156</v>
      </c>
      <c r="G467" s="1" t="s">
        <v>110</v>
      </c>
      <c r="H467">
        <v>16342519</v>
      </c>
      <c r="I467">
        <v>0</v>
      </c>
      <c r="J467">
        <v>33</v>
      </c>
      <c r="K467">
        <v>77</v>
      </c>
      <c r="L467">
        <v>-16342519</v>
      </c>
      <c r="M467">
        <v>1</v>
      </c>
      <c r="N467">
        <v>0</v>
      </c>
      <c r="O467">
        <v>4.2140378246438202E-2</v>
      </c>
      <c r="P467">
        <v>0</v>
      </c>
      <c r="Q467">
        <v>0</v>
      </c>
      <c r="R467">
        <v>0</v>
      </c>
      <c r="S467">
        <v>0</v>
      </c>
      <c r="T467">
        <v>62.358898000000003</v>
      </c>
      <c r="U467">
        <f t="shared" si="14"/>
        <v>0</v>
      </c>
      <c r="V467">
        <f t="shared" si="15"/>
        <v>0</v>
      </c>
    </row>
    <row r="468" spans="1:22" x14ac:dyDescent="0.2">
      <c r="A468" t="s">
        <v>892</v>
      </c>
      <c r="B468" t="s">
        <v>15</v>
      </c>
      <c r="C468" t="s">
        <v>76</v>
      </c>
      <c r="D468" t="s">
        <v>77</v>
      </c>
      <c r="E468">
        <v>10</v>
      </c>
      <c r="F468" t="s">
        <v>119</v>
      </c>
      <c r="G468">
        <v>48</v>
      </c>
      <c r="H468">
        <v>6982091</v>
      </c>
      <c r="I468">
        <v>0</v>
      </c>
      <c r="J468">
        <v>81</v>
      </c>
      <c r="K468">
        <v>97</v>
      </c>
      <c r="L468">
        <v>-6982091</v>
      </c>
      <c r="M468">
        <v>1</v>
      </c>
      <c r="N468">
        <v>0</v>
      </c>
      <c r="O468" s="1" t="s">
        <v>896</v>
      </c>
      <c r="P468">
        <v>0</v>
      </c>
      <c r="Q468">
        <v>0</v>
      </c>
      <c r="R468">
        <v>0</v>
      </c>
      <c r="S468">
        <v>0</v>
      </c>
      <c r="T468">
        <v>62.358898000000003</v>
      </c>
      <c r="U468">
        <f t="shared" si="14"/>
        <v>0</v>
      </c>
      <c r="V468">
        <f t="shared" si="15"/>
        <v>0</v>
      </c>
    </row>
    <row r="469" spans="1:22" x14ac:dyDescent="0.2">
      <c r="A469" t="s">
        <v>892</v>
      </c>
      <c r="B469" t="s">
        <v>15</v>
      </c>
      <c r="C469" t="s">
        <v>76</v>
      </c>
      <c r="D469" t="s">
        <v>77</v>
      </c>
      <c r="E469" s="1" t="s">
        <v>138</v>
      </c>
      <c r="F469" t="s">
        <v>139</v>
      </c>
      <c r="G469">
        <v>21</v>
      </c>
      <c r="H469">
        <v>365799</v>
      </c>
      <c r="I469">
        <v>0</v>
      </c>
      <c r="J469">
        <v>70</v>
      </c>
      <c r="K469">
        <v>99</v>
      </c>
      <c r="L469">
        <v>-365799</v>
      </c>
      <c r="M469">
        <v>1</v>
      </c>
      <c r="N469">
        <v>0</v>
      </c>
      <c r="O469" s="1" t="s">
        <v>897</v>
      </c>
      <c r="P469">
        <v>0</v>
      </c>
      <c r="Q469">
        <v>0</v>
      </c>
      <c r="R469">
        <v>0</v>
      </c>
      <c r="S469">
        <v>0</v>
      </c>
      <c r="T469">
        <v>62.358898000000003</v>
      </c>
      <c r="U469">
        <f t="shared" si="14"/>
        <v>0</v>
      </c>
      <c r="V469">
        <f t="shared" si="15"/>
        <v>0</v>
      </c>
    </row>
    <row r="470" spans="1:22" x14ac:dyDescent="0.2">
      <c r="A470" t="s">
        <v>892</v>
      </c>
      <c r="B470" t="s">
        <v>15</v>
      </c>
      <c r="C470" t="s">
        <v>76</v>
      </c>
      <c r="D470" t="s">
        <v>77</v>
      </c>
      <c r="E470">
        <v>17</v>
      </c>
      <c r="F470" t="s">
        <v>97</v>
      </c>
      <c r="G470">
        <v>87</v>
      </c>
      <c r="H470">
        <v>893968</v>
      </c>
      <c r="I470">
        <v>0</v>
      </c>
      <c r="J470">
        <v>93</v>
      </c>
      <c r="K470">
        <v>96</v>
      </c>
      <c r="L470">
        <v>-893968</v>
      </c>
      <c r="M470">
        <v>1</v>
      </c>
      <c r="N470">
        <v>0</v>
      </c>
      <c r="O470">
        <v>2.3051617477215002E-3</v>
      </c>
      <c r="P470">
        <v>0</v>
      </c>
      <c r="Q470">
        <v>0</v>
      </c>
      <c r="R470">
        <v>0</v>
      </c>
      <c r="S470">
        <v>0</v>
      </c>
      <c r="T470">
        <v>62.358898000000003</v>
      </c>
      <c r="U470">
        <f t="shared" si="14"/>
        <v>0</v>
      </c>
      <c r="V470">
        <f t="shared" si="15"/>
        <v>0</v>
      </c>
    </row>
    <row r="471" spans="1:22" x14ac:dyDescent="0.2">
      <c r="A471" t="s">
        <v>892</v>
      </c>
      <c r="B471" t="s">
        <v>15</v>
      </c>
      <c r="C471" t="s">
        <v>76</v>
      </c>
      <c r="D471" t="s">
        <v>77</v>
      </c>
      <c r="E471" s="1" t="s">
        <v>99</v>
      </c>
      <c r="F471" t="s">
        <v>100</v>
      </c>
      <c r="G471">
        <v>39</v>
      </c>
      <c r="H471">
        <v>569285</v>
      </c>
      <c r="I471">
        <v>0</v>
      </c>
      <c r="J471">
        <v>92</v>
      </c>
      <c r="K471">
        <v>109</v>
      </c>
      <c r="L471">
        <v>-569285</v>
      </c>
      <c r="M471">
        <v>1</v>
      </c>
      <c r="N471">
        <v>0</v>
      </c>
      <c r="O471">
        <v>1.46794293034161E-3</v>
      </c>
      <c r="P471">
        <v>0</v>
      </c>
      <c r="Q471">
        <v>0</v>
      </c>
      <c r="R471">
        <v>0</v>
      </c>
      <c r="S471">
        <v>0</v>
      </c>
      <c r="T471">
        <v>62.358898000000003</v>
      </c>
      <c r="U471">
        <f t="shared" si="14"/>
        <v>0</v>
      </c>
      <c r="V471">
        <f t="shared" si="15"/>
        <v>0</v>
      </c>
    </row>
    <row r="472" spans="1:22" x14ac:dyDescent="0.2">
      <c r="A472" t="s">
        <v>892</v>
      </c>
      <c r="B472" t="s">
        <v>15</v>
      </c>
      <c r="C472" t="s">
        <v>76</v>
      </c>
      <c r="D472" t="s">
        <v>77</v>
      </c>
      <c r="E472">
        <v>15</v>
      </c>
      <c r="F472" t="s">
        <v>88</v>
      </c>
      <c r="G472">
        <v>73</v>
      </c>
      <c r="H472">
        <v>375745</v>
      </c>
      <c r="I472">
        <v>0</v>
      </c>
      <c r="J472">
        <v>94</v>
      </c>
      <c r="K472">
        <v>103</v>
      </c>
      <c r="L472">
        <v>-375745</v>
      </c>
      <c r="M472">
        <v>1</v>
      </c>
      <c r="N472">
        <v>0</v>
      </c>
      <c r="O472" s="1" t="s">
        <v>898</v>
      </c>
      <c r="P472">
        <v>0</v>
      </c>
      <c r="Q472">
        <v>0</v>
      </c>
      <c r="R472">
        <v>0</v>
      </c>
      <c r="S472">
        <v>0</v>
      </c>
      <c r="T472">
        <v>62.358898000000003</v>
      </c>
      <c r="U472">
        <f t="shared" si="14"/>
        <v>0</v>
      </c>
      <c r="V472">
        <f t="shared" si="15"/>
        <v>0</v>
      </c>
    </row>
    <row r="473" spans="1:22" x14ac:dyDescent="0.2">
      <c r="A473" t="s">
        <v>892</v>
      </c>
      <c r="B473" t="s">
        <v>15</v>
      </c>
      <c r="C473" t="s">
        <v>76</v>
      </c>
      <c r="D473" t="s">
        <v>77</v>
      </c>
      <c r="E473">
        <v>16</v>
      </c>
      <c r="F473" t="s">
        <v>95</v>
      </c>
      <c r="G473">
        <v>85</v>
      </c>
      <c r="H473">
        <v>927963</v>
      </c>
      <c r="I473">
        <v>289838</v>
      </c>
      <c r="J473">
        <v>100</v>
      </c>
      <c r="K473">
        <v>85</v>
      </c>
      <c r="L473">
        <v>-638125</v>
      </c>
      <c r="M473" s="1" t="s">
        <v>899</v>
      </c>
      <c r="N473" s="1" t="s">
        <v>900</v>
      </c>
      <c r="O473">
        <v>3.1401887780513299E-3</v>
      </c>
      <c r="P473">
        <v>0</v>
      </c>
      <c r="Q473">
        <v>0</v>
      </c>
      <c r="R473">
        <v>0</v>
      </c>
      <c r="S473">
        <v>0</v>
      </c>
      <c r="T473">
        <v>62.358898000000003</v>
      </c>
      <c r="U473">
        <f t="shared" si="14"/>
        <v>0</v>
      </c>
      <c r="V473">
        <f t="shared" si="15"/>
        <v>0</v>
      </c>
    </row>
    <row r="474" spans="1:22" x14ac:dyDescent="0.2">
      <c r="A474" t="s">
        <v>892</v>
      </c>
      <c r="B474" t="s">
        <v>15</v>
      </c>
      <c r="C474" t="s">
        <v>76</v>
      </c>
      <c r="D474" t="s">
        <v>77</v>
      </c>
      <c r="E474" s="1" t="s">
        <v>82</v>
      </c>
      <c r="F474" t="s">
        <v>83</v>
      </c>
      <c r="G474" s="1" t="s">
        <v>99</v>
      </c>
      <c r="H474">
        <v>733922</v>
      </c>
      <c r="I474">
        <v>0</v>
      </c>
      <c r="J474">
        <v>65</v>
      </c>
      <c r="K474">
        <v>90</v>
      </c>
      <c r="L474">
        <v>-733922</v>
      </c>
      <c r="M474">
        <v>1</v>
      </c>
      <c r="N474">
        <v>0</v>
      </c>
      <c r="O474">
        <v>1.8924714533532E-3</v>
      </c>
      <c r="P474">
        <v>0</v>
      </c>
      <c r="Q474">
        <v>0</v>
      </c>
      <c r="R474">
        <v>0</v>
      </c>
      <c r="S474">
        <v>0</v>
      </c>
      <c r="T474">
        <v>62.358898000000003</v>
      </c>
      <c r="U474">
        <f t="shared" si="14"/>
        <v>0</v>
      </c>
      <c r="V474">
        <f t="shared" si="15"/>
        <v>0</v>
      </c>
    </row>
    <row r="475" spans="1:22" x14ac:dyDescent="0.2">
      <c r="A475" t="s">
        <v>892</v>
      </c>
      <c r="B475" t="s">
        <v>15</v>
      </c>
      <c r="C475" t="s">
        <v>76</v>
      </c>
      <c r="D475" t="s">
        <v>77</v>
      </c>
      <c r="E475" s="1" t="s">
        <v>89</v>
      </c>
      <c r="F475" t="s">
        <v>90</v>
      </c>
      <c r="G475">
        <v>38</v>
      </c>
      <c r="H475">
        <v>252737</v>
      </c>
      <c r="I475">
        <v>0</v>
      </c>
      <c r="J475">
        <v>88</v>
      </c>
      <c r="K475">
        <v>87</v>
      </c>
      <c r="L475">
        <v>-252737</v>
      </c>
      <c r="M475">
        <v>1</v>
      </c>
      <c r="N475">
        <v>0</v>
      </c>
      <c r="O475" s="1" t="s">
        <v>901</v>
      </c>
      <c r="P475">
        <v>0</v>
      </c>
      <c r="Q475">
        <v>0</v>
      </c>
      <c r="R475">
        <v>0</v>
      </c>
      <c r="S475">
        <v>0</v>
      </c>
      <c r="T475">
        <v>62.358898000000003</v>
      </c>
      <c r="U475">
        <f t="shared" si="14"/>
        <v>0</v>
      </c>
      <c r="V475">
        <f t="shared" si="15"/>
        <v>0</v>
      </c>
    </row>
    <row r="476" spans="1:22" x14ac:dyDescent="0.2">
      <c r="A476" t="s">
        <v>892</v>
      </c>
      <c r="B476" t="s">
        <v>15</v>
      </c>
      <c r="C476" t="s">
        <v>76</v>
      </c>
      <c r="D476" t="s">
        <v>77</v>
      </c>
      <c r="E476" s="1" t="s">
        <v>93</v>
      </c>
      <c r="F476" t="s">
        <v>94</v>
      </c>
      <c r="G476">
        <v>44</v>
      </c>
      <c r="H476">
        <v>122193</v>
      </c>
      <c r="I476">
        <v>575172</v>
      </c>
      <c r="J476">
        <v>111</v>
      </c>
      <c r="K476">
        <v>49</v>
      </c>
      <c r="L476">
        <v>452979</v>
      </c>
      <c r="M476" s="1" t="s">
        <v>902</v>
      </c>
      <c r="N476" s="1" t="s">
        <v>903</v>
      </c>
      <c r="O476">
        <v>1.7982065601898499E-3</v>
      </c>
      <c r="P476">
        <v>0</v>
      </c>
      <c r="Q476">
        <v>0</v>
      </c>
      <c r="R476">
        <v>0</v>
      </c>
      <c r="S476">
        <v>0</v>
      </c>
      <c r="T476">
        <v>62.358898000000003</v>
      </c>
      <c r="U476">
        <f t="shared" si="14"/>
        <v>0</v>
      </c>
      <c r="V476">
        <f t="shared" si="15"/>
        <v>0</v>
      </c>
    </row>
    <row r="477" spans="1:22" x14ac:dyDescent="0.2">
      <c r="A477" t="s">
        <v>892</v>
      </c>
      <c r="B477" t="s">
        <v>15</v>
      </c>
      <c r="C477" t="s">
        <v>76</v>
      </c>
      <c r="D477" t="s">
        <v>77</v>
      </c>
      <c r="E477" s="1" t="s">
        <v>99</v>
      </c>
      <c r="F477" t="s">
        <v>100</v>
      </c>
      <c r="G477">
        <v>40</v>
      </c>
      <c r="H477">
        <v>65458</v>
      </c>
      <c r="I477">
        <v>0</v>
      </c>
      <c r="J477">
        <v>116</v>
      </c>
      <c r="K477">
        <v>97</v>
      </c>
      <c r="L477">
        <v>-65458</v>
      </c>
      <c r="M477">
        <v>1</v>
      </c>
      <c r="N477">
        <v>0</v>
      </c>
      <c r="O477" s="1" t="s">
        <v>904</v>
      </c>
      <c r="P477">
        <v>0</v>
      </c>
      <c r="Q477">
        <v>0</v>
      </c>
      <c r="R477">
        <v>0</v>
      </c>
      <c r="S477">
        <v>0</v>
      </c>
      <c r="T477">
        <v>62.358898000000003</v>
      </c>
      <c r="U477">
        <f t="shared" si="14"/>
        <v>0</v>
      </c>
      <c r="V477">
        <f t="shared" si="15"/>
        <v>0</v>
      </c>
    </row>
    <row r="478" spans="1:22" x14ac:dyDescent="0.2">
      <c r="A478" t="s">
        <v>892</v>
      </c>
      <c r="B478" t="s">
        <v>15</v>
      </c>
      <c r="C478" t="s">
        <v>76</v>
      </c>
      <c r="D478" t="s">
        <v>77</v>
      </c>
      <c r="E478">
        <v>17</v>
      </c>
      <c r="F478" t="s">
        <v>97</v>
      </c>
      <c r="G478">
        <v>88</v>
      </c>
      <c r="H478">
        <v>16857</v>
      </c>
      <c r="I478">
        <v>0</v>
      </c>
      <c r="J478">
        <v>93</v>
      </c>
      <c r="K478">
        <v>87</v>
      </c>
      <c r="L478">
        <v>-16857</v>
      </c>
      <c r="M478">
        <v>1</v>
      </c>
      <c r="N478">
        <v>0</v>
      </c>
      <c r="O478" s="1" t="s">
        <v>905</v>
      </c>
      <c r="P478">
        <v>0</v>
      </c>
      <c r="Q478">
        <v>0</v>
      </c>
      <c r="R478">
        <v>0</v>
      </c>
      <c r="S478">
        <v>0</v>
      </c>
      <c r="T478">
        <v>62.358898000000003</v>
      </c>
      <c r="U478">
        <f t="shared" si="14"/>
        <v>0</v>
      </c>
      <c r="V478">
        <f t="shared" si="15"/>
        <v>0</v>
      </c>
    </row>
    <row r="479" spans="1:22" x14ac:dyDescent="0.2">
      <c r="A479" t="s">
        <v>892</v>
      </c>
      <c r="B479" t="s">
        <v>15</v>
      </c>
      <c r="C479" t="s">
        <v>76</v>
      </c>
      <c r="D479" t="s">
        <v>77</v>
      </c>
      <c r="E479">
        <v>16</v>
      </c>
      <c r="F479" t="s">
        <v>95</v>
      </c>
      <c r="G479">
        <v>84</v>
      </c>
      <c r="H479">
        <v>685217</v>
      </c>
      <c r="I479">
        <v>43293</v>
      </c>
      <c r="J479">
        <v>109</v>
      </c>
      <c r="K479">
        <v>97</v>
      </c>
      <c r="L479">
        <v>-641924</v>
      </c>
      <c r="M479" s="1" t="s">
        <v>906</v>
      </c>
      <c r="N479">
        <v>5.9426775198693202E-2</v>
      </c>
      <c r="O479">
        <v>1.8785162162768599E-3</v>
      </c>
      <c r="P479">
        <v>0</v>
      </c>
      <c r="Q479">
        <v>0</v>
      </c>
      <c r="R479">
        <v>0</v>
      </c>
      <c r="S479">
        <v>0</v>
      </c>
      <c r="T479">
        <v>62.358898000000003</v>
      </c>
      <c r="U479">
        <f t="shared" si="14"/>
        <v>0</v>
      </c>
      <c r="V479">
        <f t="shared" si="15"/>
        <v>0</v>
      </c>
    </row>
    <row r="480" spans="1:22" x14ac:dyDescent="0.2">
      <c r="A480" t="s">
        <v>892</v>
      </c>
      <c r="B480" t="s">
        <v>15</v>
      </c>
      <c r="C480" t="s">
        <v>76</v>
      </c>
      <c r="D480" t="s">
        <v>77</v>
      </c>
      <c r="E480">
        <v>19</v>
      </c>
      <c r="F480" t="s">
        <v>838</v>
      </c>
      <c r="G480">
        <v>93</v>
      </c>
      <c r="H480">
        <v>13502</v>
      </c>
      <c r="I480">
        <v>0</v>
      </c>
      <c r="J480">
        <v>69</v>
      </c>
      <c r="K480">
        <v>36</v>
      </c>
      <c r="L480">
        <v>-13502</v>
      </c>
      <c r="M480">
        <v>1</v>
      </c>
      <c r="N480">
        <v>0</v>
      </c>
      <c r="O480" s="1" t="s">
        <v>907</v>
      </c>
      <c r="P480">
        <v>0</v>
      </c>
      <c r="Q480">
        <v>0</v>
      </c>
      <c r="R480">
        <v>0</v>
      </c>
      <c r="S480">
        <v>0</v>
      </c>
      <c r="T480">
        <v>62.358898000000003</v>
      </c>
      <c r="U480">
        <f t="shared" si="14"/>
        <v>0</v>
      </c>
      <c r="V480">
        <f t="shared" si="15"/>
        <v>0</v>
      </c>
    </row>
    <row r="481" spans="1:22" x14ac:dyDescent="0.2">
      <c r="A481" t="s">
        <v>892</v>
      </c>
      <c r="B481" t="s">
        <v>15</v>
      </c>
      <c r="C481" t="s">
        <v>76</v>
      </c>
      <c r="D481" t="s">
        <v>77</v>
      </c>
      <c r="E481" s="1" t="s">
        <v>89</v>
      </c>
      <c r="F481" t="s">
        <v>90</v>
      </c>
      <c r="G481">
        <v>29</v>
      </c>
      <c r="H481">
        <v>132435</v>
      </c>
      <c r="I481">
        <v>0</v>
      </c>
      <c r="J481">
        <v>102</v>
      </c>
      <c r="K481">
        <v>81</v>
      </c>
      <c r="L481">
        <v>-132435</v>
      </c>
      <c r="M481">
        <v>1</v>
      </c>
      <c r="N481">
        <v>0</v>
      </c>
      <c r="O481" s="1" t="s">
        <v>908</v>
      </c>
      <c r="P481">
        <v>0</v>
      </c>
      <c r="Q481">
        <v>0</v>
      </c>
      <c r="R481">
        <v>0</v>
      </c>
      <c r="S481">
        <v>0</v>
      </c>
      <c r="T481">
        <v>62.358898000000003</v>
      </c>
      <c r="U481">
        <f t="shared" si="14"/>
        <v>0</v>
      </c>
      <c r="V481">
        <f t="shared" si="15"/>
        <v>0</v>
      </c>
    </row>
    <row r="482" spans="1:22" x14ac:dyDescent="0.2">
      <c r="A482" t="s">
        <v>892</v>
      </c>
      <c r="B482" t="s">
        <v>15</v>
      </c>
      <c r="C482" t="s">
        <v>76</v>
      </c>
      <c r="D482" t="s">
        <v>77</v>
      </c>
      <c r="E482">
        <v>11</v>
      </c>
      <c r="F482" t="s">
        <v>127</v>
      </c>
      <c r="G482">
        <v>61</v>
      </c>
      <c r="H482">
        <v>2284</v>
      </c>
      <c r="I482">
        <v>0</v>
      </c>
      <c r="J482">
        <v>100</v>
      </c>
      <c r="K482">
        <v>104</v>
      </c>
      <c r="L482">
        <v>-2284</v>
      </c>
      <c r="M482">
        <v>1</v>
      </c>
      <c r="N482">
        <v>0</v>
      </c>
      <c r="O482" s="1" t="s">
        <v>909</v>
      </c>
      <c r="P482">
        <v>0</v>
      </c>
      <c r="Q482">
        <v>0</v>
      </c>
      <c r="R482">
        <v>0</v>
      </c>
      <c r="S482">
        <v>0</v>
      </c>
      <c r="T482">
        <v>62.358898000000003</v>
      </c>
      <c r="U482">
        <f t="shared" si="14"/>
        <v>0</v>
      </c>
      <c r="V482">
        <f t="shared" si="15"/>
        <v>0</v>
      </c>
    </row>
    <row r="483" spans="1:22" x14ac:dyDescent="0.2">
      <c r="A483" t="s">
        <v>892</v>
      </c>
      <c r="B483" t="s">
        <v>15</v>
      </c>
      <c r="C483" t="s">
        <v>76</v>
      </c>
      <c r="D483" t="s">
        <v>77</v>
      </c>
      <c r="E483">
        <v>18</v>
      </c>
      <c r="F483" t="s">
        <v>147</v>
      </c>
      <c r="G483">
        <v>90</v>
      </c>
      <c r="H483">
        <v>73707</v>
      </c>
      <c r="I483">
        <v>793836</v>
      </c>
      <c r="J483">
        <v>117</v>
      </c>
      <c r="K483">
        <v>67</v>
      </c>
      <c r="L483">
        <v>720129</v>
      </c>
      <c r="M483">
        <v>8.4960630193546605E-2</v>
      </c>
      <c r="N483" s="1" t="s">
        <v>910</v>
      </c>
      <c r="O483">
        <v>2.2370229561948E-3</v>
      </c>
      <c r="P483">
        <v>0</v>
      </c>
      <c r="Q483">
        <v>0</v>
      </c>
      <c r="R483">
        <v>0</v>
      </c>
      <c r="S483">
        <v>0</v>
      </c>
      <c r="T483">
        <v>62.358898000000003</v>
      </c>
      <c r="U483">
        <f t="shared" si="14"/>
        <v>0</v>
      </c>
      <c r="V483">
        <f t="shared" si="15"/>
        <v>0</v>
      </c>
    </row>
    <row r="484" spans="1:22" x14ac:dyDescent="0.2">
      <c r="A484" t="s">
        <v>892</v>
      </c>
      <c r="B484" t="s">
        <v>15</v>
      </c>
      <c r="C484" t="s">
        <v>76</v>
      </c>
      <c r="D484" t="s">
        <v>77</v>
      </c>
      <c r="E484">
        <v>15</v>
      </c>
      <c r="F484" t="s">
        <v>88</v>
      </c>
      <c r="G484">
        <v>83</v>
      </c>
      <c r="H484">
        <v>256865</v>
      </c>
      <c r="I484">
        <v>0</v>
      </c>
      <c r="J484">
        <v>46</v>
      </c>
      <c r="K484">
        <v>85</v>
      </c>
      <c r="L484">
        <v>-256865</v>
      </c>
      <c r="M484">
        <v>1</v>
      </c>
      <c r="N484">
        <v>0</v>
      </c>
      <c r="O484" s="1" t="s">
        <v>911</v>
      </c>
      <c r="P484">
        <v>0</v>
      </c>
      <c r="Q484">
        <v>0</v>
      </c>
      <c r="R484">
        <v>0</v>
      </c>
      <c r="S484">
        <v>0</v>
      </c>
      <c r="T484">
        <v>62.358898000000003</v>
      </c>
      <c r="U484">
        <f t="shared" si="14"/>
        <v>0</v>
      </c>
      <c r="V484">
        <f t="shared" si="15"/>
        <v>0</v>
      </c>
    </row>
    <row r="485" spans="1:22" x14ac:dyDescent="0.2">
      <c r="A485" t="s">
        <v>892</v>
      </c>
      <c r="B485" t="s">
        <v>15</v>
      </c>
      <c r="C485" t="s">
        <v>76</v>
      </c>
      <c r="D485" t="s">
        <v>77</v>
      </c>
      <c r="E485">
        <v>13</v>
      </c>
      <c r="F485" t="s">
        <v>91</v>
      </c>
      <c r="G485">
        <v>68</v>
      </c>
      <c r="H485">
        <v>35648</v>
      </c>
      <c r="I485">
        <v>0</v>
      </c>
      <c r="J485">
        <v>93</v>
      </c>
      <c r="K485">
        <v>85</v>
      </c>
      <c r="L485">
        <v>-35648</v>
      </c>
      <c r="M485">
        <v>1</v>
      </c>
      <c r="N485">
        <v>0</v>
      </c>
      <c r="O485" s="1" t="s">
        <v>912</v>
      </c>
      <c r="P485">
        <v>0</v>
      </c>
      <c r="Q485">
        <v>0</v>
      </c>
      <c r="R485">
        <v>0</v>
      </c>
      <c r="S485">
        <v>0</v>
      </c>
      <c r="T485">
        <v>62.358898000000003</v>
      </c>
      <c r="U485">
        <f t="shared" si="14"/>
        <v>0</v>
      </c>
      <c r="V485">
        <f t="shared" si="15"/>
        <v>0</v>
      </c>
    </row>
    <row r="486" spans="1:22" x14ac:dyDescent="0.2">
      <c r="A486" t="s">
        <v>892</v>
      </c>
      <c r="B486" t="s">
        <v>15</v>
      </c>
      <c r="C486" t="s">
        <v>76</v>
      </c>
      <c r="D486" t="s">
        <v>77</v>
      </c>
      <c r="E486" s="1" t="s">
        <v>89</v>
      </c>
      <c r="F486" t="s">
        <v>90</v>
      </c>
      <c r="G486">
        <v>30</v>
      </c>
      <c r="H486">
        <v>302099</v>
      </c>
      <c r="I486">
        <v>0</v>
      </c>
      <c r="J486">
        <v>79</v>
      </c>
      <c r="K486">
        <v>91</v>
      </c>
      <c r="L486">
        <v>-302099</v>
      </c>
      <c r="M486">
        <v>1</v>
      </c>
      <c r="N486">
        <v>0</v>
      </c>
      <c r="O486" s="1" t="s">
        <v>913</v>
      </c>
      <c r="P486">
        <v>0</v>
      </c>
      <c r="Q486">
        <v>0</v>
      </c>
      <c r="R486">
        <v>0</v>
      </c>
      <c r="S486">
        <v>0</v>
      </c>
      <c r="T486">
        <v>62.358898000000003</v>
      </c>
      <c r="U486">
        <f t="shared" si="14"/>
        <v>0</v>
      </c>
      <c r="V486">
        <f t="shared" si="15"/>
        <v>0</v>
      </c>
    </row>
    <row r="487" spans="1:22" x14ac:dyDescent="0.2">
      <c r="A487" t="s">
        <v>892</v>
      </c>
      <c r="B487" t="s">
        <v>15</v>
      </c>
      <c r="C487" t="s">
        <v>76</v>
      </c>
      <c r="D487" t="s">
        <v>77</v>
      </c>
      <c r="E487" s="1" t="s">
        <v>138</v>
      </c>
      <c r="F487" t="s">
        <v>139</v>
      </c>
      <c r="G487">
        <v>19</v>
      </c>
      <c r="H487">
        <v>161</v>
      </c>
      <c r="I487">
        <v>0</v>
      </c>
      <c r="J487">
        <v>101</v>
      </c>
      <c r="K487">
        <v>86</v>
      </c>
      <c r="L487">
        <v>-161</v>
      </c>
      <c r="M487">
        <v>1</v>
      </c>
      <c r="N487">
        <v>0</v>
      </c>
      <c r="O487" s="1" t="s">
        <v>914</v>
      </c>
      <c r="P487">
        <v>0</v>
      </c>
      <c r="Q487">
        <v>0</v>
      </c>
      <c r="R487">
        <v>0</v>
      </c>
      <c r="S487">
        <v>0</v>
      </c>
      <c r="T487">
        <v>62.358898000000003</v>
      </c>
      <c r="U487">
        <f t="shared" si="14"/>
        <v>0</v>
      </c>
      <c r="V487">
        <f t="shared" si="15"/>
        <v>0</v>
      </c>
    </row>
    <row r="488" spans="1:22" x14ac:dyDescent="0.2">
      <c r="A488" t="s">
        <v>892</v>
      </c>
      <c r="B488" t="s">
        <v>15</v>
      </c>
      <c r="C488" t="s">
        <v>76</v>
      </c>
      <c r="D488" t="s">
        <v>77</v>
      </c>
      <c r="E488" s="1" t="s">
        <v>82</v>
      </c>
      <c r="F488" t="s">
        <v>83</v>
      </c>
      <c r="G488" s="1" t="s">
        <v>163</v>
      </c>
      <c r="H488">
        <v>157</v>
      </c>
      <c r="I488">
        <v>126</v>
      </c>
      <c r="J488">
        <v>70</v>
      </c>
      <c r="K488">
        <v>104</v>
      </c>
      <c r="L488">
        <v>-31</v>
      </c>
      <c r="M488" s="1" t="s">
        <v>915</v>
      </c>
      <c r="N488" s="1" t="s">
        <v>916</v>
      </c>
      <c r="O488" s="1" t="s">
        <v>917</v>
      </c>
      <c r="P488">
        <v>0</v>
      </c>
      <c r="Q488">
        <v>0</v>
      </c>
      <c r="R488">
        <v>0</v>
      </c>
      <c r="S488">
        <v>0</v>
      </c>
      <c r="T488">
        <v>62.358898000000003</v>
      </c>
      <c r="U488">
        <f t="shared" si="14"/>
        <v>0</v>
      </c>
      <c r="V488">
        <f t="shared" si="15"/>
        <v>0</v>
      </c>
    </row>
    <row r="489" spans="1:22" x14ac:dyDescent="0.2">
      <c r="A489" t="s">
        <v>892</v>
      </c>
      <c r="B489" t="s">
        <v>15</v>
      </c>
      <c r="C489" t="s">
        <v>76</v>
      </c>
      <c r="D489" t="s">
        <v>77</v>
      </c>
      <c r="E489">
        <v>13</v>
      </c>
      <c r="F489" t="s">
        <v>91</v>
      </c>
      <c r="G489">
        <v>70</v>
      </c>
      <c r="H489">
        <v>2305</v>
      </c>
      <c r="I489">
        <v>0</v>
      </c>
      <c r="J489">
        <v>114</v>
      </c>
      <c r="K489">
        <v>88</v>
      </c>
      <c r="L489">
        <v>-2305</v>
      </c>
      <c r="M489">
        <v>1</v>
      </c>
      <c r="N489">
        <v>0</v>
      </c>
      <c r="O489" s="1" t="s">
        <v>918</v>
      </c>
      <c r="P489">
        <v>0</v>
      </c>
      <c r="Q489">
        <v>0</v>
      </c>
      <c r="R489">
        <v>0</v>
      </c>
      <c r="S489">
        <v>0</v>
      </c>
      <c r="T489">
        <v>62.358898000000003</v>
      </c>
      <c r="U489">
        <f t="shared" si="14"/>
        <v>0</v>
      </c>
      <c r="V489">
        <f t="shared" si="15"/>
        <v>0</v>
      </c>
    </row>
    <row r="490" spans="1:22" x14ac:dyDescent="0.2">
      <c r="A490" t="s">
        <v>892</v>
      </c>
      <c r="B490" t="s">
        <v>15</v>
      </c>
      <c r="C490" t="s">
        <v>76</v>
      </c>
      <c r="D490" t="s">
        <v>77</v>
      </c>
      <c r="E490">
        <v>10</v>
      </c>
      <c r="F490" t="s">
        <v>119</v>
      </c>
      <c r="G490">
        <v>49</v>
      </c>
      <c r="H490">
        <v>44</v>
      </c>
      <c r="I490">
        <v>0</v>
      </c>
      <c r="J490">
        <v>134</v>
      </c>
      <c r="K490">
        <v>109</v>
      </c>
      <c r="L490">
        <v>-44</v>
      </c>
      <c r="M490">
        <v>1</v>
      </c>
      <c r="N490">
        <v>0</v>
      </c>
      <c r="O490" s="1" t="s">
        <v>919</v>
      </c>
      <c r="P490">
        <v>0</v>
      </c>
      <c r="Q490">
        <v>0</v>
      </c>
      <c r="R490">
        <v>0</v>
      </c>
      <c r="S490">
        <v>0</v>
      </c>
      <c r="T490">
        <v>62.358898000000003</v>
      </c>
      <c r="U490">
        <f t="shared" si="14"/>
        <v>0</v>
      </c>
      <c r="V490">
        <f t="shared" si="15"/>
        <v>0</v>
      </c>
    </row>
    <row r="491" spans="1:22" x14ac:dyDescent="0.2">
      <c r="A491" t="s">
        <v>892</v>
      </c>
      <c r="B491" t="s">
        <v>15</v>
      </c>
      <c r="C491" t="s">
        <v>76</v>
      </c>
      <c r="D491" t="s">
        <v>77</v>
      </c>
      <c r="E491" s="1" t="s">
        <v>82</v>
      </c>
      <c r="F491" t="s">
        <v>83</v>
      </c>
      <c r="G491" s="1" t="s">
        <v>93</v>
      </c>
      <c r="H491">
        <v>0</v>
      </c>
      <c r="I491">
        <v>3277735</v>
      </c>
      <c r="J491">
        <v>105</v>
      </c>
      <c r="K491">
        <v>47</v>
      </c>
      <c r="L491">
        <v>3277735</v>
      </c>
      <c r="M491">
        <v>0</v>
      </c>
      <c r="N491">
        <v>1</v>
      </c>
      <c r="O491">
        <v>8.4518789723658401E-3</v>
      </c>
      <c r="P491">
        <v>0</v>
      </c>
      <c r="Q491">
        <v>0</v>
      </c>
      <c r="R491">
        <v>0</v>
      </c>
      <c r="S491">
        <v>0</v>
      </c>
      <c r="T491">
        <v>62.358898000000003</v>
      </c>
      <c r="U491">
        <f t="shared" si="14"/>
        <v>0</v>
      </c>
      <c r="V491">
        <f t="shared" si="15"/>
        <v>0</v>
      </c>
    </row>
    <row r="492" spans="1:22" x14ac:dyDescent="0.2">
      <c r="A492" t="s">
        <v>920</v>
      </c>
      <c r="B492" t="s">
        <v>16</v>
      </c>
      <c r="C492" t="s">
        <v>76</v>
      </c>
      <c r="D492" t="s">
        <v>77</v>
      </c>
      <c r="E492" s="1" t="s">
        <v>89</v>
      </c>
      <c r="F492" t="s">
        <v>90</v>
      </c>
      <c r="G492">
        <v>31</v>
      </c>
      <c r="H492">
        <v>678462508</v>
      </c>
      <c r="I492">
        <v>0</v>
      </c>
      <c r="J492">
        <v>14</v>
      </c>
      <c r="K492">
        <v>51</v>
      </c>
      <c r="L492">
        <v>-678462508</v>
      </c>
      <c r="M492">
        <v>1</v>
      </c>
      <c r="N492">
        <v>0</v>
      </c>
      <c r="O492" s="1" t="s">
        <v>921</v>
      </c>
      <c r="P492">
        <v>0</v>
      </c>
      <c r="Q492">
        <v>0</v>
      </c>
      <c r="R492">
        <v>0</v>
      </c>
      <c r="S492">
        <v>0</v>
      </c>
      <c r="T492">
        <v>8.9011500350000006</v>
      </c>
      <c r="U492">
        <f t="shared" si="14"/>
        <v>0</v>
      </c>
      <c r="V492">
        <f t="shared" si="15"/>
        <v>0</v>
      </c>
    </row>
    <row r="493" spans="1:22" x14ac:dyDescent="0.2">
      <c r="A493" t="s">
        <v>920</v>
      </c>
      <c r="B493" t="s">
        <v>16</v>
      </c>
      <c r="C493" t="s">
        <v>76</v>
      </c>
      <c r="D493" t="s">
        <v>77</v>
      </c>
      <c r="E493">
        <v>17</v>
      </c>
      <c r="F493" t="s">
        <v>97</v>
      </c>
      <c r="G493">
        <v>88</v>
      </c>
      <c r="H493">
        <v>80933199</v>
      </c>
      <c r="I493">
        <v>349500</v>
      </c>
      <c r="J493">
        <v>16</v>
      </c>
      <c r="K493">
        <v>54</v>
      </c>
      <c r="L493">
        <v>-80583699</v>
      </c>
      <c r="M493" s="1" t="s">
        <v>922</v>
      </c>
      <c r="N493">
        <v>4.2998080071135402E-3</v>
      </c>
      <c r="O493">
        <v>4.5765135155837001E-2</v>
      </c>
      <c r="P493">
        <v>0</v>
      </c>
      <c r="Q493">
        <v>0</v>
      </c>
      <c r="R493">
        <v>0</v>
      </c>
      <c r="S493">
        <v>0</v>
      </c>
      <c r="T493">
        <v>8.9011500350000006</v>
      </c>
      <c r="U493">
        <f t="shared" si="14"/>
        <v>0</v>
      </c>
      <c r="V493">
        <f t="shared" si="15"/>
        <v>0</v>
      </c>
    </row>
    <row r="494" spans="1:22" x14ac:dyDescent="0.2">
      <c r="A494" t="s">
        <v>920</v>
      </c>
      <c r="B494" t="s">
        <v>16</v>
      </c>
      <c r="C494" t="s">
        <v>76</v>
      </c>
      <c r="D494" t="s">
        <v>77</v>
      </c>
      <c r="E494">
        <v>15</v>
      </c>
      <c r="F494" t="s">
        <v>88</v>
      </c>
      <c r="G494">
        <v>76</v>
      </c>
      <c r="H494">
        <v>73495671</v>
      </c>
      <c r="I494">
        <v>11930</v>
      </c>
      <c r="J494">
        <v>45</v>
      </c>
      <c r="K494">
        <v>73</v>
      </c>
      <c r="L494">
        <v>-73483741</v>
      </c>
      <c r="M494" s="1" t="s">
        <v>923</v>
      </c>
      <c r="N494" s="1" t="s">
        <v>924</v>
      </c>
      <c r="O494">
        <v>4.1387470348964901E-2</v>
      </c>
      <c r="P494">
        <v>0</v>
      </c>
      <c r="Q494">
        <v>0</v>
      </c>
      <c r="R494">
        <v>0</v>
      </c>
      <c r="S494">
        <v>0</v>
      </c>
      <c r="T494">
        <v>8.9011500350000006</v>
      </c>
      <c r="U494">
        <f t="shared" si="14"/>
        <v>0</v>
      </c>
      <c r="V494">
        <f t="shared" si="15"/>
        <v>0</v>
      </c>
    </row>
    <row r="495" spans="1:22" x14ac:dyDescent="0.2">
      <c r="A495" t="s">
        <v>920</v>
      </c>
      <c r="B495" t="s">
        <v>16</v>
      </c>
      <c r="C495" t="s">
        <v>76</v>
      </c>
      <c r="D495" t="s">
        <v>77</v>
      </c>
      <c r="E495">
        <v>15</v>
      </c>
      <c r="F495" t="s">
        <v>88</v>
      </c>
      <c r="G495">
        <v>72</v>
      </c>
      <c r="H495">
        <v>200016740</v>
      </c>
      <c r="I495">
        <v>0</v>
      </c>
      <c r="J495">
        <v>56</v>
      </c>
      <c r="K495">
        <v>74</v>
      </c>
      <c r="L495">
        <v>-200016740</v>
      </c>
      <c r="M495">
        <v>1</v>
      </c>
      <c r="N495">
        <v>0</v>
      </c>
      <c r="O495" s="1" t="s">
        <v>925</v>
      </c>
      <c r="P495">
        <v>0</v>
      </c>
      <c r="Q495">
        <v>0</v>
      </c>
      <c r="R495">
        <v>0</v>
      </c>
      <c r="S495">
        <v>0</v>
      </c>
      <c r="T495">
        <v>8.9011500350000006</v>
      </c>
      <c r="U495">
        <f t="shared" si="14"/>
        <v>0</v>
      </c>
      <c r="V495">
        <f t="shared" si="15"/>
        <v>0</v>
      </c>
    </row>
    <row r="496" spans="1:22" x14ac:dyDescent="0.2">
      <c r="A496" t="s">
        <v>920</v>
      </c>
      <c r="B496" t="s">
        <v>16</v>
      </c>
      <c r="C496" t="s">
        <v>76</v>
      </c>
      <c r="D496" t="s">
        <v>77</v>
      </c>
      <c r="E496">
        <v>15</v>
      </c>
      <c r="F496" t="s">
        <v>88</v>
      </c>
      <c r="G496">
        <v>74</v>
      </c>
      <c r="H496">
        <v>26448383</v>
      </c>
      <c r="I496">
        <v>4747012</v>
      </c>
      <c r="J496">
        <v>35</v>
      </c>
      <c r="K496">
        <v>40</v>
      </c>
      <c r="L496">
        <v>-21701371</v>
      </c>
      <c r="M496" s="1" t="s">
        <v>926</v>
      </c>
      <c r="N496" s="1" t="s">
        <v>927</v>
      </c>
      <c r="O496">
        <v>1.75641493943837E-2</v>
      </c>
      <c r="P496">
        <v>0</v>
      </c>
      <c r="Q496">
        <v>0</v>
      </c>
      <c r="R496">
        <v>0</v>
      </c>
      <c r="S496">
        <v>0</v>
      </c>
      <c r="T496">
        <v>8.9011500350000006</v>
      </c>
      <c r="U496">
        <f t="shared" si="14"/>
        <v>0</v>
      </c>
      <c r="V496">
        <f t="shared" si="15"/>
        <v>0</v>
      </c>
    </row>
    <row r="497" spans="1:22" x14ac:dyDescent="0.2">
      <c r="A497" t="s">
        <v>920</v>
      </c>
      <c r="B497" t="s">
        <v>16</v>
      </c>
      <c r="C497" t="s">
        <v>76</v>
      </c>
      <c r="D497" t="s">
        <v>77</v>
      </c>
      <c r="E497">
        <v>15</v>
      </c>
      <c r="F497" t="s">
        <v>88</v>
      </c>
      <c r="G497">
        <v>73</v>
      </c>
      <c r="H497">
        <v>14565676</v>
      </c>
      <c r="I497">
        <v>546790</v>
      </c>
      <c r="J497">
        <v>46</v>
      </c>
      <c r="K497">
        <v>68</v>
      </c>
      <c r="L497">
        <v>-14018886</v>
      </c>
      <c r="M497" s="1" t="s">
        <v>928</v>
      </c>
      <c r="N497">
        <v>3.6181388265819701E-2</v>
      </c>
      <c r="O497">
        <v>8.5088715992070098E-3</v>
      </c>
      <c r="P497">
        <v>0</v>
      </c>
      <c r="Q497">
        <v>0</v>
      </c>
      <c r="R497">
        <v>0</v>
      </c>
      <c r="S497">
        <v>0</v>
      </c>
      <c r="T497">
        <v>8.9011500350000006</v>
      </c>
      <c r="U497">
        <f t="shared" si="14"/>
        <v>0</v>
      </c>
      <c r="V497">
        <f t="shared" si="15"/>
        <v>0</v>
      </c>
    </row>
    <row r="498" spans="1:22" x14ac:dyDescent="0.2">
      <c r="A498" t="s">
        <v>920</v>
      </c>
      <c r="B498" t="s">
        <v>16</v>
      </c>
      <c r="C498" t="s">
        <v>76</v>
      </c>
      <c r="D498" t="s">
        <v>77</v>
      </c>
      <c r="E498" s="1" t="s">
        <v>99</v>
      </c>
      <c r="F498" t="s">
        <v>100</v>
      </c>
      <c r="G498">
        <v>40</v>
      </c>
      <c r="H498">
        <v>10725633</v>
      </c>
      <c r="I498">
        <v>48341</v>
      </c>
      <c r="J498">
        <v>63</v>
      </c>
      <c r="K498">
        <v>75</v>
      </c>
      <c r="L498">
        <v>-10677292</v>
      </c>
      <c r="M498">
        <v>0.99551316904978604</v>
      </c>
      <c r="N498">
        <v>4.48683095021391E-3</v>
      </c>
      <c r="O498">
        <v>6.0661417785287204E-3</v>
      </c>
      <c r="P498">
        <v>0</v>
      </c>
      <c r="Q498">
        <v>0</v>
      </c>
      <c r="R498">
        <v>0</v>
      </c>
      <c r="S498">
        <v>0</v>
      </c>
      <c r="T498">
        <v>8.9011500350000006</v>
      </c>
      <c r="U498">
        <f t="shared" si="14"/>
        <v>0</v>
      </c>
      <c r="V498">
        <f t="shared" si="15"/>
        <v>0</v>
      </c>
    </row>
    <row r="499" spans="1:22" x14ac:dyDescent="0.2">
      <c r="A499" t="s">
        <v>920</v>
      </c>
      <c r="B499" t="s">
        <v>16</v>
      </c>
      <c r="C499" t="s">
        <v>76</v>
      </c>
      <c r="D499" t="s">
        <v>77</v>
      </c>
      <c r="E499">
        <v>16</v>
      </c>
      <c r="F499" t="s">
        <v>95</v>
      </c>
      <c r="G499">
        <v>84</v>
      </c>
      <c r="H499">
        <v>45939861</v>
      </c>
      <c r="I499">
        <v>2421074</v>
      </c>
      <c r="J499">
        <v>45</v>
      </c>
      <c r="K499">
        <v>72</v>
      </c>
      <c r="L499">
        <v>-43518787</v>
      </c>
      <c r="M499" s="1" t="s">
        <v>929</v>
      </c>
      <c r="N499">
        <v>5.0062597011410102E-2</v>
      </c>
      <c r="O499" s="1" t="s">
        <v>930</v>
      </c>
      <c r="P499">
        <v>0</v>
      </c>
      <c r="Q499">
        <v>0</v>
      </c>
      <c r="R499">
        <v>0</v>
      </c>
      <c r="S499">
        <v>0</v>
      </c>
      <c r="T499">
        <v>8.9011500350000006</v>
      </c>
      <c r="U499">
        <f t="shared" si="14"/>
        <v>0</v>
      </c>
      <c r="V499">
        <f t="shared" si="15"/>
        <v>0</v>
      </c>
    </row>
    <row r="500" spans="1:22" x14ac:dyDescent="0.2">
      <c r="A500" t="s">
        <v>920</v>
      </c>
      <c r="B500" t="s">
        <v>16</v>
      </c>
      <c r="C500" t="s">
        <v>76</v>
      </c>
      <c r="D500" t="s">
        <v>77</v>
      </c>
      <c r="E500" s="1" t="s">
        <v>99</v>
      </c>
      <c r="F500" t="s">
        <v>100</v>
      </c>
      <c r="G500">
        <v>39</v>
      </c>
      <c r="H500">
        <v>19385931</v>
      </c>
      <c r="I500">
        <v>176804</v>
      </c>
      <c r="J500">
        <v>42</v>
      </c>
      <c r="K500">
        <v>79</v>
      </c>
      <c r="L500">
        <v>-19209127</v>
      </c>
      <c r="M500" s="1" t="s">
        <v>931</v>
      </c>
      <c r="N500">
        <v>9.0377955843086305E-3</v>
      </c>
      <c r="O500" s="1" t="s">
        <v>932</v>
      </c>
      <c r="P500">
        <v>0</v>
      </c>
      <c r="Q500">
        <v>0</v>
      </c>
      <c r="R500">
        <v>0</v>
      </c>
      <c r="S500">
        <v>0</v>
      </c>
      <c r="T500">
        <v>8.9011500350000006</v>
      </c>
      <c r="U500">
        <f t="shared" si="14"/>
        <v>0</v>
      </c>
      <c r="V500">
        <f t="shared" si="15"/>
        <v>0</v>
      </c>
    </row>
    <row r="501" spans="1:22" x14ac:dyDescent="0.2">
      <c r="A501" t="s">
        <v>920</v>
      </c>
      <c r="B501" t="s">
        <v>16</v>
      </c>
      <c r="C501" t="s">
        <v>76</v>
      </c>
      <c r="D501" t="s">
        <v>77</v>
      </c>
      <c r="E501" s="1" t="s">
        <v>89</v>
      </c>
      <c r="F501" t="s">
        <v>90</v>
      </c>
      <c r="G501">
        <v>28</v>
      </c>
      <c r="H501">
        <v>25077123</v>
      </c>
      <c r="I501">
        <v>129801</v>
      </c>
      <c r="J501">
        <v>55</v>
      </c>
      <c r="K501">
        <v>68</v>
      </c>
      <c r="L501">
        <v>-24947322</v>
      </c>
      <c r="M501" s="1" t="s">
        <v>933</v>
      </c>
      <c r="N501">
        <v>5.1494184693062902E-3</v>
      </c>
      <c r="O501" s="1" t="s">
        <v>934</v>
      </c>
      <c r="P501">
        <v>0</v>
      </c>
      <c r="Q501">
        <v>0</v>
      </c>
      <c r="R501">
        <v>0</v>
      </c>
      <c r="S501">
        <v>0</v>
      </c>
      <c r="T501">
        <v>8.9011500350000006</v>
      </c>
      <c r="U501">
        <f t="shared" si="14"/>
        <v>0</v>
      </c>
      <c r="V501">
        <f t="shared" si="15"/>
        <v>0</v>
      </c>
    </row>
    <row r="502" spans="1:22" x14ac:dyDescent="0.2">
      <c r="A502" t="s">
        <v>920</v>
      </c>
      <c r="B502" t="s">
        <v>16</v>
      </c>
      <c r="C502" t="s">
        <v>76</v>
      </c>
      <c r="D502" t="s">
        <v>77</v>
      </c>
      <c r="E502">
        <v>16</v>
      </c>
      <c r="F502" t="s">
        <v>95</v>
      </c>
      <c r="G502">
        <v>85</v>
      </c>
      <c r="H502">
        <v>34311324</v>
      </c>
      <c r="I502">
        <v>676268</v>
      </c>
      <c r="J502">
        <v>45</v>
      </c>
      <c r="K502">
        <v>79</v>
      </c>
      <c r="L502">
        <v>-33635056</v>
      </c>
      <c r="M502" s="1" t="s">
        <v>935</v>
      </c>
      <c r="N502">
        <v>1.9328795191163699E-2</v>
      </c>
      <c r="O502">
        <v>1.9699295131148101E-2</v>
      </c>
      <c r="P502">
        <v>0</v>
      </c>
      <c r="Q502">
        <v>0</v>
      </c>
      <c r="R502">
        <v>0</v>
      </c>
      <c r="S502">
        <v>0</v>
      </c>
      <c r="T502">
        <v>8.9011500350000006</v>
      </c>
      <c r="U502">
        <f t="shared" si="14"/>
        <v>0</v>
      </c>
      <c r="V502">
        <f t="shared" si="15"/>
        <v>0</v>
      </c>
    </row>
    <row r="503" spans="1:22" x14ac:dyDescent="0.2">
      <c r="A503" t="s">
        <v>920</v>
      </c>
      <c r="B503" t="s">
        <v>16</v>
      </c>
      <c r="C503" t="s">
        <v>76</v>
      </c>
      <c r="D503" t="s">
        <v>77</v>
      </c>
      <c r="E503" s="1" t="s">
        <v>89</v>
      </c>
      <c r="F503" t="s">
        <v>90</v>
      </c>
      <c r="G503">
        <v>36</v>
      </c>
      <c r="H503">
        <v>1168251</v>
      </c>
      <c r="I503">
        <v>0</v>
      </c>
      <c r="J503">
        <v>21</v>
      </c>
      <c r="K503">
        <v>37</v>
      </c>
      <c r="L503">
        <v>-1168251</v>
      </c>
      <c r="M503">
        <v>1</v>
      </c>
      <c r="N503">
        <v>0</v>
      </c>
      <c r="O503" s="1" t="s">
        <v>936</v>
      </c>
      <c r="P503">
        <v>0</v>
      </c>
      <c r="Q503">
        <v>0</v>
      </c>
      <c r="R503">
        <v>0</v>
      </c>
      <c r="S503">
        <v>0</v>
      </c>
      <c r="T503">
        <v>8.9011500350000006</v>
      </c>
      <c r="U503">
        <f t="shared" si="14"/>
        <v>0</v>
      </c>
      <c r="V503">
        <f t="shared" si="15"/>
        <v>0</v>
      </c>
    </row>
    <row r="504" spans="1:22" x14ac:dyDescent="0.2">
      <c r="A504" t="s">
        <v>920</v>
      </c>
      <c r="B504" t="s">
        <v>16</v>
      </c>
      <c r="C504" t="s">
        <v>76</v>
      </c>
      <c r="D504" t="s">
        <v>77</v>
      </c>
      <c r="E504" s="1" t="s">
        <v>89</v>
      </c>
      <c r="F504" t="s">
        <v>90</v>
      </c>
      <c r="G504">
        <v>29</v>
      </c>
      <c r="H504">
        <v>38687670</v>
      </c>
      <c r="I504">
        <v>9875</v>
      </c>
      <c r="J504">
        <v>37</v>
      </c>
      <c r="K504">
        <v>71</v>
      </c>
      <c r="L504">
        <v>-38677795</v>
      </c>
      <c r="M504" s="1" t="s">
        <v>937</v>
      </c>
      <c r="N504" s="1" t="s">
        <v>938</v>
      </c>
      <c r="O504" s="1" t="s">
        <v>939</v>
      </c>
      <c r="P504">
        <v>0</v>
      </c>
      <c r="Q504">
        <v>0</v>
      </c>
      <c r="R504">
        <v>0</v>
      </c>
      <c r="S504">
        <v>0</v>
      </c>
      <c r="T504">
        <v>8.9011500350000006</v>
      </c>
      <c r="U504">
        <f t="shared" si="14"/>
        <v>0</v>
      </c>
      <c r="V504">
        <f t="shared" si="15"/>
        <v>0</v>
      </c>
    </row>
    <row r="505" spans="1:22" x14ac:dyDescent="0.2">
      <c r="A505" t="s">
        <v>920</v>
      </c>
      <c r="B505" t="s">
        <v>16</v>
      </c>
      <c r="C505" t="s">
        <v>76</v>
      </c>
      <c r="D505" t="s">
        <v>77</v>
      </c>
      <c r="E505" s="1" t="s">
        <v>89</v>
      </c>
      <c r="F505" t="s">
        <v>90</v>
      </c>
      <c r="G505">
        <v>38</v>
      </c>
      <c r="H505">
        <v>11202245</v>
      </c>
      <c r="I505">
        <v>716625</v>
      </c>
      <c r="J505">
        <v>36</v>
      </c>
      <c r="K505">
        <v>60</v>
      </c>
      <c r="L505">
        <v>-10485620</v>
      </c>
      <c r="M505" s="1" t="s">
        <v>940</v>
      </c>
      <c r="N505">
        <v>6.0125246772554701E-2</v>
      </c>
      <c r="O505">
        <v>6.7107601391884304E-3</v>
      </c>
      <c r="P505">
        <v>0</v>
      </c>
      <c r="Q505">
        <v>0</v>
      </c>
      <c r="R505">
        <v>0</v>
      </c>
      <c r="S505">
        <v>0</v>
      </c>
      <c r="T505">
        <v>8.9011500350000006</v>
      </c>
      <c r="U505">
        <f t="shared" si="14"/>
        <v>0</v>
      </c>
      <c r="V505">
        <f t="shared" si="15"/>
        <v>0</v>
      </c>
    </row>
    <row r="506" spans="1:22" x14ac:dyDescent="0.2">
      <c r="A506" t="s">
        <v>920</v>
      </c>
      <c r="B506" t="s">
        <v>16</v>
      </c>
      <c r="C506" t="s">
        <v>76</v>
      </c>
      <c r="D506" t="s">
        <v>77</v>
      </c>
      <c r="E506" s="1" t="s">
        <v>89</v>
      </c>
      <c r="F506" t="s">
        <v>90</v>
      </c>
      <c r="G506">
        <v>33</v>
      </c>
      <c r="H506">
        <v>2575868</v>
      </c>
      <c r="I506">
        <v>239423</v>
      </c>
      <c r="J506">
        <v>49</v>
      </c>
      <c r="K506">
        <v>64</v>
      </c>
      <c r="L506">
        <v>-2336445</v>
      </c>
      <c r="M506" s="1" t="s">
        <v>941</v>
      </c>
      <c r="N506">
        <v>8.5043784106154499E-2</v>
      </c>
      <c r="O506">
        <v>1.58511189592771E-3</v>
      </c>
      <c r="P506">
        <v>0</v>
      </c>
      <c r="Q506">
        <v>0</v>
      </c>
      <c r="R506">
        <v>0</v>
      </c>
      <c r="S506">
        <v>0</v>
      </c>
      <c r="T506">
        <v>8.9011500350000006</v>
      </c>
      <c r="U506">
        <f t="shared" si="14"/>
        <v>0</v>
      </c>
      <c r="V506">
        <f t="shared" si="15"/>
        <v>0</v>
      </c>
    </row>
    <row r="507" spans="1:22" x14ac:dyDescent="0.2">
      <c r="A507" t="s">
        <v>920</v>
      </c>
      <c r="B507" t="s">
        <v>16</v>
      </c>
      <c r="C507" t="s">
        <v>76</v>
      </c>
      <c r="D507" t="s">
        <v>77</v>
      </c>
      <c r="E507" s="1" t="s">
        <v>85</v>
      </c>
      <c r="F507" t="s">
        <v>86</v>
      </c>
      <c r="G507">
        <v>27</v>
      </c>
      <c r="H507">
        <v>3597406</v>
      </c>
      <c r="I507">
        <v>2933227</v>
      </c>
      <c r="J507">
        <v>108</v>
      </c>
      <c r="K507">
        <v>48</v>
      </c>
      <c r="L507">
        <v>-664179</v>
      </c>
      <c r="M507" s="1" t="s">
        <v>942</v>
      </c>
      <c r="N507" s="1" t="s">
        <v>943</v>
      </c>
      <c r="O507">
        <v>3.6769854541637398E-3</v>
      </c>
      <c r="P507">
        <v>0</v>
      </c>
      <c r="Q507">
        <v>0</v>
      </c>
      <c r="R507">
        <v>0</v>
      </c>
      <c r="S507">
        <v>0</v>
      </c>
      <c r="T507">
        <v>8.9011500350000006</v>
      </c>
      <c r="U507">
        <f t="shared" si="14"/>
        <v>0</v>
      </c>
      <c r="V507">
        <f t="shared" si="15"/>
        <v>0</v>
      </c>
    </row>
    <row r="508" spans="1:22" x14ac:dyDescent="0.2">
      <c r="A508" t="s">
        <v>920</v>
      </c>
      <c r="B508" t="s">
        <v>16</v>
      </c>
      <c r="C508" t="s">
        <v>76</v>
      </c>
      <c r="D508" t="s">
        <v>77</v>
      </c>
      <c r="E508">
        <v>18</v>
      </c>
      <c r="F508" t="s">
        <v>147</v>
      </c>
      <c r="G508">
        <v>90</v>
      </c>
      <c r="H508">
        <v>8948843</v>
      </c>
      <c r="I508">
        <v>3149916</v>
      </c>
      <c r="J508">
        <v>49</v>
      </c>
      <c r="K508">
        <v>61</v>
      </c>
      <c r="L508">
        <v>-5798927</v>
      </c>
      <c r="M508" s="1" t="s">
        <v>944</v>
      </c>
      <c r="N508" s="1" t="s">
        <v>945</v>
      </c>
      <c r="O508">
        <v>6.8120442316131702E-3</v>
      </c>
      <c r="P508">
        <v>0</v>
      </c>
      <c r="Q508">
        <v>0</v>
      </c>
      <c r="R508">
        <v>0</v>
      </c>
      <c r="S508">
        <v>0</v>
      </c>
      <c r="T508">
        <v>8.9011500350000006</v>
      </c>
      <c r="U508">
        <f t="shared" si="14"/>
        <v>0</v>
      </c>
      <c r="V508">
        <f t="shared" si="15"/>
        <v>0</v>
      </c>
    </row>
    <row r="509" spans="1:22" x14ac:dyDescent="0.2">
      <c r="A509" t="s">
        <v>920</v>
      </c>
      <c r="B509" t="s">
        <v>16</v>
      </c>
      <c r="C509" t="s">
        <v>76</v>
      </c>
      <c r="D509" t="s">
        <v>77</v>
      </c>
      <c r="E509" s="1" t="s">
        <v>93</v>
      </c>
      <c r="F509" t="s">
        <v>94</v>
      </c>
      <c r="G509">
        <v>44</v>
      </c>
      <c r="H509">
        <v>13447370</v>
      </c>
      <c r="I509">
        <v>6417</v>
      </c>
      <c r="J509">
        <v>66</v>
      </c>
      <c r="K509">
        <v>82</v>
      </c>
      <c r="L509">
        <v>-13440953</v>
      </c>
      <c r="M509" s="1" t="s">
        <v>946</v>
      </c>
      <c r="N509" s="1" t="s">
        <v>947</v>
      </c>
      <c r="O509">
        <v>7.5749746008414798E-3</v>
      </c>
      <c r="P509">
        <v>0</v>
      </c>
      <c r="Q509">
        <v>0</v>
      </c>
      <c r="R509">
        <v>0</v>
      </c>
      <c r="S509">
        <v>0</v>
      </c>
      <c r="T509">
        <v>8.9011500350000006</v>
      </c>
      <c r="U509">
        <f t="shared" si="14"/>
        <v>0</v>
      </c>
      <c r="V509">
        <f t="shared" si="15"/>
        <v>0</v>
      </c>
    </row>
    <row r="510" spans="1:22" x14ac:dyDescent="0.2">
      <c r="A510" t="s">
        <v>920</v>
      </c>
      <c r="B510" t="s">
        <v>16</v>
      </c>
      <c r="C510" t="s">
        <v>76</v>
      </c>
      <c r="D510" t="s">
        <v>77</v>
      </c>
      <c r="E510">
        <v>10</v>
      </c>
      <c r="F510" t="s">
        <v>119</v>
      </c>
      <c r="G510">
        <v>48</v>
      </c>
      <c r="H510">
        <v>10096021</v>
      </c>
      <c r="I510">
        <v>1803082</v>
      </c>
      <c r="J510">
        <v>73</v>
      </c>
      <c r="K510">
        <v>51</v>
      </c>
      <c r="L510">
        <v>-8292939</v>
      </c>
      <c r="M510" s="1" t="s">
        <v>948</v>
      </c>
      <c r="N510" s="1" t="s">
        <v>949</v>
      </c>
      <c r="O510">
        <v>6.6996305945528E-3</v>
      </c>
      <c r="P510">
        <v>0</v>
      </c>
      <c r="Q510">
        <v>0</v>
      </c>
      <c r="R510">
        <v>0</v>
      </c>
      <c r="S510">
        <v>0</v>
      </c>
      <c r="T510">
        <v>8.9011500350000006</v>
      </c>
      <c r="U510">
        <f t="shared" si="14"/>
        <v>0</v>
      </c>
      <c r="V510">
        <f t="shared" si="15"/>
        <v>0</v>
      </c>
    </row>
    <row r="511" spans="1:22" x14ac:dyDescent="0.2">
      <c r="A511" t="s">
        <v>920</v>
      </c>
      <c r="B511" t="s">
        <v>16</v>
      </c>
      <c r="C511" t="s">
        <v>76</v>
      </c>
      <c r="D511" t="s">
        <v>77</v>
      </c>
      <c r="E511">
        <v>11</v>
      </c>
      <c r="F511" t="s">
        <v>127</v>
      </c>
      <c r="G511">
        <v>52</v>
      </c>
      <c r="H511">
        <v>155595</v>
      </c>
      <c r="I511">
        <v>0</v>
      </c>
      <c r="J511">
        <v>29</v>
      </c>
      <c r="K511">
        <v>67</v>
      </c>
      <c r="L511">
        <v>-155595</v>
      </c>
      <c r="M511">
        <v>1</v>
      </c>
      <c r="N511">
        <v>0</v>
      </c>
      <c r="O511" s="1" t="s">
        <v>950</v>
      </c>
      <c r="P511">
        <v>0</v>
      </c>
      <c r="Q511">
        <v>0</v>
      </c>
      <c r="R511">
        <v>0</v>
      </c>
      <c r="S511">
        <v>0</v>
      </c>
      <c r="T511">
        <v>8.9011500350000006</v>
      </c>
      <c r="U511">
        <f t="shared" si="14"/>
        <v>0</v>
      </c>
      <c r="V511">
        <f t="shared" si="15"/>
        <v>0</v>
      </c>
    </row>
    <row r="512" spans="1:22" x14ac:dyDescent="0.2">
      <c r="A512" t="s">
        <v>920</v>
      </c>
      <c r="B512" t="s">
        <v>16</v>
      </c>
      <c r="C512" t="s">
        <v>76</v>
      </c>
      <c r="D512" t="s">
        <v>77</v>
      </c>
      <c r="E512" s="1" t="s">
        <v>138</v>
      </c>
      <c r="F512" t="s">
        <v>139</v>
      </c>
      <c r="G512">
        <v>22</v>
      </c>
      <c r="H512">
        <v>257348</v>
      </c>
      <c r="I512">
        <v>124287</v>
      </c>
      <c r="J512">
        <v>91</v>
      </c>
      <c r="K512">
        <v>68</v>
      </c>
      <c r="L512">
        <v>-133061</v>
      </c>
      <c r="M512">
        <v>0.67433018460046901</v>
      </c>
      <c r="N512">
        <v>0.32566981539953099</v>
      </c>
      <c r="O512" s="1" t="s">
        <v>951</v>
      </c>
      <c r="P512">
        <v>0</v>
      </c>
      <c r="Q512">
        <v>0</v>
      </c>
      <c r="R512">
        <v>0</v>
      </c>
      <c r="S512">
        <v>0</v>
      </c>
      <c r="T512">
        <v>8.9011500350000006</v>
      </c>
      <c r="U512">
        <f t="shared" si="14"/>
        <v>0</v>
      </c>
      <c r="V512">
        <f t="shared" si="15"/>
        <v>0</v>
      </c>
    </row>
    <row r="513" spans="1:22" x14ac:dyDescent="0.2">
      <c r="A513" t="s">
        <v>920</v>
      </c>
      <c r="B513" t="s">
        <v>16</v>
      </c>
      <c r="C513" t="s">
        <v>76</v>
      </c>
      <c r="D513" t="s">
        <v>77</v>
      </c>
      <c r="E513" s="1" t="s">
        <v>89</v>
      </c>
      <c r="F513" t="s">
        <v>90</v>
      </c>
      <c r="G513">
        <v>34</v>
      </c>
      <c r="H513">
        <v>489314</v>
      </c>
      <c r="I513">
        <v>0</v>
      </c>
      <c r="J513">
        <v>58</v>
      </c>
      <c r="K513">
        <v>87</v>
      </c>
      <c r="L513">
        <v>-489314</v>
      </c>
      <c r="M513">
        <v>1</v>
      </c>
      <c r="N513">
        <v>0</v>
      </c>
      <c r="O513" s="1" t="s">
        <v>952</v>
      </c>
      <c r="P513">
        <v>0</v>
      </c>
      <c r="Q513">
        <v>0</v>
      </c>
      <c r="R513">
        <v>0</v>
      </c>
      <c r="S513">
        <v>0</v>
      </c>
      <c r="T513">
        <v>8.9011500350000006</v>
      </c>
      <c r="U513">
        <f t="shared" si="14"/>
        <v>0</v>
      </c>
      <c r="V513">
        <f t="shared" si="15"/>
        <v>0</v>
      </c>
    </row>
    <row r="514" spans="1:22" x14ac:dyDescent="0.2">
      <c r="A514" t="s">
        <v>920</v>
      </c>
      <c r="B514" t="s">
        <v>16</v>
      </c>
      <c r="C514" t="s">
        <v>76</v>
      </c>
      <c r="D514" t="s">
        <v>77</v>
      </c>
      <c r="E514" s="1" t="s">
        <v>85</v>
      </c>
      <c r="F514" t="s">
        <v>86</v>
      </c>
      <c r="G514">
        <v>25</v>
      </c>
      <c r="H514">
        <v>438095</v>
      </c>
      <c r="I514">
        <v>75474</v>
      </c>
      <c r="J514">
        <v>82</v>
      </c>
      <c r="K514">
        <v>68</v>
      </c>
      <c r="L514">
        <v>-362621</v>
      </c>
      <c r="M514" s="1" t="s">
        <v>953</v>
      </c>
      <c r="N514" s="1" t="s">
        <v>954</v>
      </c>
      <c r="O514" s="1" t="s">
        <v>955</v>
      </c>
      <c r="P514">
        <v>0</v>
      </c>
      <c r="Q514">
        <v>0</v>
      </c>
      <c r="R514">
        <v>0</v>
      </c>
      <c r="S514">
        <v>0</v>
      </c>
      <c r="T514">
        <v>8.9011500350000006</v>
      </c>
      <c r="U514">
        <f t="shared" si="14"/>
        <v>0</v>
      </c>
      <c r="V514">
        <f t="shared" si="15"/>
        <v>0</v>
      </c>
    </row>
    <row r="515" spans="1:22" x14ac:dyDescent="0.2">
      <c r="A515" t="s">
        <v>920</v>
      </c>
      <c r="B515" t="s">
        <v>16</v>
      </c>
      <c r="C515" t="s">
        <v>76</v>
      </c>
      <c r="D515" t="s">
        <v>77</v>
      </c>
      <c r="E515">
        <v>15</v>
      </c>
      <c r="F515" t="s">
        <v>88</v>
      </c>
      <c r="G515">
        <v>75</v>
      </c>
      <c r="H515">
        <v>161478</v>
      </c>
      <c r="I515">
        <v>5284</v>
      </c>
      <c r="J515">
        <v>55</v>
      </c>
      <c r="K515">
        <v>39</v>
      </c>
      <c r="L515">
        <v>-156194</v>
      </c>
      <c r="M515" s="1" t="s">
        <v>956</v>
      </c>
      <c r="N515">
        <v>3.1685875679111498E-2</v>
      </c>
      <c r="O515" s="1" t="s">
        <v>957</v>
      </c>
      <c r="P515">
        <v>0</v>
      </c>
      <c r="Q515">
        <v>0</v>
      </c>
      <c r="R515">
        <v>0</v>
      </c>
      <c r="S515">
        <v>0</v>
      </c>
      <c r="T515">
        <v>8.9011500350000006</v>
      </c>
      <c r="U515">
        <f t="shared" ref="U515:U578" si="16">IF(OR(P515=1,Q515=1),1,0)</f>
        <v>0</v>
      </c>
      <c r="V515">
        <f t="shared" ref="V515:V578" si="17">IF(OR(R515=1,S515=1),1,0)</f>
        <v>0</v>
      </c>
    </row>
    <row r="516" spans="1:22" x14ac:dyDescent="0.2">
      <c r="A516" t="s">
        <v>920</v>
      </c>
      <c r="B516" t="s">
        <v>16</v>
      </c>
      <c r="C516" t="s">
        <v>76</v>
      </c>
      <c r="D516" t="s">
        <v>77</v>
      </c>
      <c r="E516">
        <v>13</v>
      </c>
      <c r="F516" t="s">
        <v>91</v>
      </c>
      <c r="G516">
        <v>68</v>
      </c>
      <c r="H516">
        <v>2556063</v>
      </c>
      <c r="I516">
        <v>40135</v>
      </c>
      <c r="J516">
        <v>45</v>
      </c>
      <c r="K516">
        <v>68</v>
      </c>
      <c r="L516">
        <v>-2515928</v>
      </c>
      <c r="M516" s="1" t="s">
        <v>958</v>
      </c>
      <c r="N516">
        <v>1.5459144487438899E-2</v>
      </c>
      <c r="O516">
        <v>1.4617545163124301E-3</v>
      </c>
      <c r="P516">
        <v>0</v>
      </c>
      <c r="Q516">
        <v>0</v>
      </c>
      <c r="R516">
        <v>0</v>
      </c>
      <c r="S516">
        <v>0</v>
      </c>
      <c r="T516">
        <v>8.9011500350000006</v>
      </c>
      <c r="U516">
        <f t="shared" si="16"/>
        <v>0</v>
      </c>
      <c r="V516">
        <f t="shared" si="17"/>
        <v>0</v>
      </c>
    </row>
    <row r="517" spans="1:22" x14ac:dyDescent="0.2">
      <c r="A517" t="s">
        <v>920</v>
      </c>
      <c r="B517" t="s">
        <v>16</v>
      </c>
      <c r="C517" t="s">
        <v>76</v>
      </c>
      <c r="D517" t="s">
        <v>77</v>
      </c>
      <c r="E517">
        <v>17</v>
      </c>
      <c r="F517" t="s">
        <v>97</v>
      </c>
      <c r="G517">
        <v>87</v>
      </c>
      <c r="H517">
        <v>906830</v>
      </c>
      <c r="I517">
        <v>1246</v>
      </c>
      <c r="J517">
        <v>92</v>
      </c>
      <c r="K517">
        <v>90</v>
      </c>
      <c r="L517">
        <v>-905584</v>
      </c>
      <c r="M517" s="1" t="s">
        <v>959</v>
      </c>
      <c r="N517">
        <v>1.3721318479951001E-3</v>
      </c>
      <c r="O517" s="1" t="s">
        <v>960</v>
      </c>
      <c r="P517">
        <v>0</v>
      </c>
      <c r="Q517">
        <v>0</v>
      </c>
      <c r="R517">
        <v>0</v>
      </c>
      <c r="S517">
        <v>0</v>
      </c>
      <c r="T517">
        <v>8.9011500350000006</v>
      </c>
      <c r="U517">
        <f t="shared" si="16"/>
        <v>0</v>
      </c>
      <c r="V517">
        <f t="shared" si="17"/>
        <v>0</v>
      </c>
    </row>
    <row r="518" spans="1:22" x14ac:dyDescent="0.2">
      <c r="A518" t="s">
        <v>920</v>
      </c>
      <c r="B518" t="s">
        <v>16</v>
      </c>
      <c r="C518" t="s">
        <v>76</v>
      </c>
      <c r="D518" t="s">
        <v>77</v>
      </c>
      <c r="E518" s="1" t="s">
        <v>163</v>
      </c>
      <c r="F518" t="s">
        <v>224</v>
      </c>
      <c r="G518">
        <v>43</v>
      </c>
      <c r="H518">
        <v>20710</v>
      </c>
      <c r="I518">
        <v>0</v>
      </c>
      <c r="J518">
        <v>37</v>
      </c>
      <c r="K518">
        <v>58</v>
      </c>
      <c r="L518">
        <v>-20710</v>
      </c>
      <c r="M518">
        <v>1</v>
      </c>
      <c r="N518">
        <v>0</v>
      </c>
      <c r="O518" s="1" t="s">
        <v>961</v>
      </c>
      <c r="P518">
        <v>0</v>
      </c>
      <c r="Q518">
        <v>0</v>
      </c>
      <c r="R518">
        <v>0</v>
      </c>
      <c r="S518">
        <v>0</v>
      </c>
      <c r="T518">
        <v>8.9011500350000006</v>
      </c>
      <c r="U518">
        <f t="shared" si="16"/>
        <v>0</v>
      </c>
      <c r="V518">
        <f t="shared" si="17"/>
        <v>0</v>
      </c>
    </row>
    <row r="519" spans="1:22" x14ac:dyDescent="0.2">
      <c r="A519" t="s">
        <v>920</v>
      </c>
      <c r="B519" t="s">
        <v>16</v>
      </c>
      <c r="C519" t="s">
        <v>76</v>
      </c>
      <c r="D519" t="s">
        <v>77</v>
      </c>
      <c r="E519">
        <v>15</v>
      </c>
      <c r="F519" t="s">
        <v>88</v>
      </c>
      <c r="G519">
        <v>82</v>
      </c>
      <c r="H519">
        <v>1291446</v>
      </c>
      <c r="I519">
        <v>190477</v>
      </c>
      <c r="J519">
        <v>57</v>
      </c>
      <c r="K519">
        <v>62</v>
      </c>
      <c r="L519">
        <v>-1100969</v>
      </c>
      <c r="M519" s="1" t="s">
        <v>962</v>
      </c>
      <c r="N519" s="1" t="s">
        <v>963</v>
      </c>
      <c r="O519" s="1" t="s">
        <v>964</v>
      </c>
      <c r="P519">
        <v>0</v>
      </c>
      <c r="Q519">
        <v>0</v>
      </c>
      <c r="R519">
        <v>0</v>
      </c>
      <c r="S519">
        <v>0</v>
      </c>
      <c r="T519">
        <v>8.9011500350000006</v>
      </c>
      <c r="U519">
        <f t="shared" si="16"/>
        <v>0</v>
      </c>
      <c r="V519">
        <f t="shared" si="17"/>
        <v>0</v>
      </c>
    </row>
    <row r="520" spans="1:22" x14ac:dyDescent="0.2">
      <c r="A520" t="s">
        <v>920</v>
      </c>
      <c r="B520" t="s">
        <v>16</v>
      </c>
      <c r="C520" t="s">
        <v>76</v>
      </c>
      <c r="D520" t="s">
        <v>77</v>
      </c>
      <c r="E520">
        <v>10</v>
      </c>
      <c r="F520" t="s">
        <v>119</v>
      </c>
      <c r="G520">
        <v>47</v>
      </c>
      <c r="H520">
        <v>2132494</v>
      </c>
      <c r="I520">
        <v>0</v>
      </c>
      <c r="J520">
        <v>45</v>
      </c>
      <c r="K520">
        <v>37</v>
      </c>
      <c r="L520">
        <v>-2132494</v>
      </c>
      <c r="M520">
        <v>1</v>
      </c>
      <c r="N520">
        <v>0</v>
      </c>
      <c r="O520">
        <v>1.2006721889120701E-3</v>
      </c>
      <c r="P520">
        <v>0</v>
      </c>
      <c r="Q520">
        <v>0</v>
      </c>
      <c r="R520">
        <v>0</v>
      </c>
      <c r="S520">
        <v>0</v>
      </c>
      <c r="T520">
        <v>8.9011500350000006</v>
      </c>
      <c r="U520">
        <f t="shared" si="16"/>
        <v>0</v>
      </c>
      <c r="V520">
        <f t="shared" si="17"/>
        <v>0</v>
      </c>
    </row>
    <row r="521" spans="1:22" x14ac:dyDescent="0.2">
      <c r="A521" t="s">
        <v>920</v>
      </c>
      <c r="B521" t="s">
        <v>16</v>
      </c>
      <c r="C521" t="s">
        <v>76</v>
      </c>
      <c r="D521" t="s">
        <v>77</v>
      </c>
      <c r="E521">
        <v>15</v>
      </c>
      <c r="F521" t="s">
        <v>88</v>
      </c>
      <c r="G521">
        <v>81</v>
      </c>
      <c r="H521">
        <v>63226</v>
      </c>
      <c r="I521">
        <v>5055</v>
      </c>
      <c r="J521">
        <v>61</v>
      </c>
      <c r="K521">
        <v>52</v>
      </c>
      <c r="L521">
        <v>-58171</v>
      </c>
      <c r="M521" s="1" t="s">
        <v>965</v>
      </c>
      <c r="N521">
        <v>7.4032307669776296E-2</v>
      </c>
      <c r="O521" s="1" t="s">
        <v>966</v>
      </c>
      <c r="P521">
        <v>0</v>
      </c>
      <c r="Q521">
        <v>0</v>
      </c>
      <c r="R521">
        <v>0</v>
      </c>
      <c r="S521">
        <v>0</v>
      </c>
      <c r="T521">
        <v>8.9011500350000006</v>
      </c>
      <c r="U521">
        <f t="shared" si="16"/>
        <v>0</v>
      </c>
      <c r="V521">
        <f t="shared" si="17"/>
        <v>0</v>
      </c>
    </row>
    <row r="522" spans="1:22" x14ac:dyDescent="0.2">
      <c r="A522" t="s">
        <v>920</v>
      </c>
      <c r="B522" t="s">
        <v>16</v>
      </c>
      <c r="C522" t="s">
        <v>76</v>
      </c>
      <c r="D522" t="s">
        <v>77</v>
      </c>
      <c r="E522">
        <v>11</v>
      </c>
      <c r="F522" t="s">
        <v>127</v>
      </c>
      <c r="G522">
        <v>63</v>
      </c>
      <c r="H522">
        <v>102023</v>
      </c>
      <c r="I522">
        <v>322</v>
      </c>
      <c r="J522">
        <v>64</v>
      </c>
      <c r="K522">
        <v>100</v>
      </c>
      <c r="L522">
        <v>-101701</v>
      </c>
      <c r="M522" s="1" t="s">
        <v>967</v>
      </c>
      <c r="N522">
        <v>3.1462211148566102E-3</v>
      </c>
      <c r="O522" s="1" t="s">
        <v>968</v>
      </c>
      <c r="P522">
        <v>0</v>
      </c>
      <c r="Q522">
        <v>0</v>
      </c>
      <c r="R522">
        <v>0</v>
      </c>
      <c r="S522">
        <v>0</v>
      </c>
      <c r="T522">
        <v>8.9011500350000006</v>
      </c>
      <c r="U522">
        <f t="shared" si="16"/>
        <v>0</v>
      </c>
      <c r="V522">
        <f t="shared" si="17"/>
        <v>0</v>
      </c>
    </row>
    <row r="523" spans="1:22" x14ac:dyDescent="0.2">
      <c r="A523" t="s">
        <v>920</v>
      </c>
      <c r="B523" t="s">
        <v>16</v>
      </c>
      <c r="C523" t="s">
        <v>76</v>
      </c>
      <c r="D523" t="s">
        <v>77</v>
      </c>
      <c r="E523" s="1" t="s">
        <v>138</v>
      </c>
      <c r="F523" t="s">
        <v>139</v>
      </c>
      <c r="G523">
        <v>19</v>
      </c>
      <c r="H523">
        <v>14760</v>
      </c>
      <c r="I523">
        <v>3414</v>
      </c>
      <c r="J523">
        <v>77</v>
      </c>
      <c r="K523">
        <v>75</v>
      </c>
      <c r="L523">
        <v>-11346</v>
      </c>
      <c r="M523" s="1" t="s">
        <v>969</v>
      </c>
      <c r="N523" s="1" t="s">
        <v>970</v>
      </c>
      <c r="O523" s="1" t="s">
        <v>971</v>
      </c>
      <c r="P523">
        <v>0</v>
      </c>
      <c r="Q523">
        <v>0</v>
      </c>
      <c r="R523">
        <v>0</v>
      </c>
      <c r="S523">
        <v>0</v>
      </c>
      <c r="T523">
        <v>8.9011500350000006</v>
      </c>
      <c r="U523">
        <f t="shared" si="16"/>
        <v>0</v>
      </c>
      <c r="V523">
        <f t="shared" si="17"/>
        <v>0</v>
      </c>
    </row>
    <row r="524" spans="1:22" x14ac:dyDescent="0.2">
      <c r="A524" t="s">
        <v>920</v>
      </c>
      <c r="B524" t="s">
        <v>16</v>
      </c>
      <c r="C524" t="s">
        <v>76</v>
      </c>
      <c r="D524" t="s">
        <v>77</v>
      </c>
      <c r="E524">
        <v>13</v>
      </c>
      <c r="F524" t="s">
        <v>91</v>
      </c>
      <c r="G524">
        <v>70</v>
      </c>
      <c r="H524">
        <v>88224</v>
      </c>
      <c r="I524">
        <v>26451</v>
      </c>
      <c r="J524">
        <v>90</v>
      </c>
      <c r="K524">
        <v>65</v>
      </c>
      <c r="L524">
        <v>-61773</v>
      </c>
      <c r="M524" s="1" t="s">
        <v>972</v>
      </c>
      <c r="N524" s="1" t="s">
        <v>973</v>
      </c>
      <c r="O524" s="1" t="s">
        <v>974</v>
      </c>
      <c r="P524">
        <v>0</v>
      </c>
      <c r="Q524">
        <v>0</v>
      </c>
      <c r="R524">
        <v>0</v>
      </c>
      <c r="S524">
        <v>0</v>
      </c>
      <c r="T524">
        <v>8.9011500350000006</v>
      </c>
      <c r="U524">
        <f t="shared" si="16"/>
        <v>0</v>
      </c>
      <c r="V524">
        <f t="shared" si="17"/>
        <v>0</v>
      </c>
    </row>
    <row r="525" spans="1:22" x14ac:dyDescent="0.2">
      <c r="A525" t="s">
        <v>920</v>
      </c>
      <c r="B525" t="s">
        <v>16</v>
      </c>
      <c r="C525" t="s">
        <v>76</v>
      </c>
      <c r="D525" t="s">
        <v>77</v>
      </c>
      <c r="E525" s="1" t="s">
        <v>138</v>
      </c>
      <c r="F525" t="s">
        <v>139</v>
      </c>
      <c r="G525">
        <v>16</v>
      </c>
      <c r="H525">
        <v>79869</v>
      </c>
      <c r="I525">
        <v>0</v>
      </c>
      <c r="J525">
        <v>52</v>
      </c>
      <c r="K525">
        <v>73</v>
      </c>
      <c r="L525">
        <v>-79869</v>
      </c>
      <c r="M525">
        <v>1</v>
      </c>
      <c r="N525">
        <v>0</v>
      </c>
      <c r="O525" s="1" t="s">
        <v>975</v>
      </c>
      <c r="P525">
        <v>0</v>
      </c>
      <c r="Q525">
        <v>0</v>
      </c>
      <c r="R525">
        <v>0</v>
      </c>
      <c r="S525">
        <v>0</v>
      </c>
      <c r="T525">
        <v>8.9011500350000006</v>
      </c>
      <c r="U525">
        <f t="shared" si="16"/>
        <v>0</v>
      </c>
      <c r="V525">
        <f t="shared" si="17"/>
        <v>0</v>
      </c>
    </row>
    <row r="526" spans="1:22" x14ac:dyDescent="0.2">
      <c r="A526" t="s">
        <v>920</v>
      </c>
      <c r="B526" t="s">
        <v>16</v>
      </c>
      <c r="C526" t="s">
        <v>76</v>
      </c>
      <c r="D526" t="s">
        <v>77</v>
      </c>
      <c r="E526">
        <v>99</v>
      </c>
      <c r="F526" t="s">
        <v>78</v>
      </c>
      <c r="G526">
        <v>99</v>
      </c>
      <c r="H526">
        <v>31188</v>
      </c>
      <c r="I526">
        <v>38200</v>
      </c>
      <c r="J526">
        <v>90</v>
      </c>
      <c r="K526">
        <v>76</v>
      </c>
      <c r="L526">
        <v>7012</v>
      </c>
      <c r="M526">
        <v>0.44947253127341902</v>
      </c>
      <c r="N526">
        <v>0.55052746872658098</v>
      </c>
      <c r="O526" s="1" t="s">
        <v>976</v>
      </c>
      <c r="P526">
        <v>0</v>
      </c>
      <c r="Q526">
        <v>0</v>
      </c>
      <c r="R526">
        <v>0</v>
      </c>
      <c r="S526">
        <v>0</v>
      </c>
      <c r="T526">
        <v>8.9011500350000006</v>
      </c>
      <c r="U526">
        <f t="shared" si="16"/>
        <v>0</v>
      </c>
      <c r="V526">
        <f t="shared" si="17"/>
        <v>0</v>
      </c>
    </row>
    <row r="527" spans="1:22" x14ac:dyDescent="0.2">
      <c r="A527" t="s">
        <v>920</v>
      </c>
      <c r="B527" t="s">
        <v>16</v>
      </c>
      <c r="C527" t="s">
        <v>76</v>
      </c>
      <c r="D527" t="s">
        <v>77</v>
      </c>
      <c r="E527">
        <v>11</v>
      </c>
      <c r="F527" t="s">
        <v>127</v>
      </c>
      <c r="G527">
        <v>54</v>
      </c>
      <c r="H527">
        <v>4551</v>
      </c>
      <c r="I527">
        <v>0</v>
      </c>
      <c r="J527">
        <v>63</v>
      </c>
      <c r="K527">
        <v>68</v>
      </c>
      <c r="L527">
        <v>-4551</v>
      </c>
      <c r="M527">
        <v>1</v>
      </c>
      <c r="N527">
        <v>0</v>
      </c>
      <c r="O527" s="1" t="s">
        <v>977</v>
      </c>
      <c r="P527">
        <v>0</v>
      </c>
      <c r="Q527">
        <v>0</v>
      </c>
      <c r="R527">
        <v>0</v>
      </c>
      <c r="S527">
        <v>0</v>
      </c>
      <c r="T527">
        <v>8.9011500350000006</v>
      </c>
      <c r="U527">
        <f t="shared" si="16"/>
        <v>0</v>
      </c>
      <c r="V527">
        <f t="shared" si="17"/>
        <v>0</v>
      </c>
    </row>
    <row r="528" spans="1:22" x14ac:dyDescent="0.2">
      <c r="A528" t="s">
        <v>920</v>
      </c>
      <c r="B528" t="s">
        <v>16</v>
      </c>
      <c r="C528" t="s">
        <v>76</v>
      </c>
      <c r="D528" t="s">
        <v>77</v>
      </c>
      <c r="E528">
        <v>19</v>
      </c>
      <c r="F528" t="s">
        <v>838</v>
      </c>
      <c r="G528">
        <v>93</v>
      </c>
      <c r="H528">
        <v>9077</v>
      </c>
      <c r="I528">
        <v>0</v>
      </c>
      <c r="J528">
        <v>70</v>
      </c>
      <c r="K528">
        <v>36</v>
      </c>
      <c r="L528">
        <v>-9077</v>
      </c>
      <c r="M528">
        <v>1</v>
      </c>
      <c r="N528">
        <v>0</v>
      </c>
      <c r="O528" s="1" t="s">
        <v>978</v>
      </c>
      <c r="P528">
        <v>0</v>
      </c>
      <c r="Q528">
        <v>0</v>
      </c>
      <c r="R528">
        <v>0</v>
      </c>
      <c r="S528">
        <v>0</v>
      </c>
      <c r="T528">
        <v>8.9011500350000006</v>
      </c>
      <c r="U528">
        <f t="shared" si="16"/>
        <v>0</v>
      </c>
      <c r="V528">
        <f t="shared" si="17"/>
        <v>0</v>
      </c>
    </row>
    <row r="529" spans="1:22" x14ac:dyDescent="0.2">
      <c r="A529" t="s">
        <v>920</v>
      </c>
      <c r="B529" t="s">
        <v>16</v>
      </c>
      <c r="C529" t="s">
        <v>76</v>
      </c>
      <c r="D529" t="s">
        <v>77</v>
      </c>
      <c r="E529" s="1" t="s">
        <v>89</v>
      </c>
      <c r="F529" t="s">
        <v>90</v>
      </c>
      <c r="G529">
        <v>35</v>
      </c>
      <c r="H529">
        <v>23043</v>
      </c>
      <c r="I529">
        <v>1523821</v>
      </c>
      <c r="J529">
        <v>53</v>
      </c>
      <c r="K529">
        <v>42</v>
      </c>
      <c r="L529">
        <v>1500778</v>
      </c>
      <c r="M529">
        <v>1.4896590779797001E-2</v>
      </c>
      <c r="N529" s="1" t="s">
        <v>979</v>
      </c>
      <c r="O529" s="1" t="s">
        <v>980</v>
      </c>
      <c r="P529">
        <v>0</v>
      </c>
      <c r="Q529">
        <v>0</v>
      </c>
      <c r="R529">
        <v>0</v>
      </c>
      <c r="S529">
        <v>0</v>
      </c>
      <c r="T529">
        <v>8.9011500350000006</v>
      </c>
      <c r="U529">
        <f t="shared" si="16"/>
        <v>0</v>
      </c>
      <c r="V529">
        <f t="shared" si="17"/>
        <v>0</v>
      </c>
    </row>
    <row r="530" spans="1:22" x14ac:dyDescent="0.2">
      <c r="A530" t="s">
        <v>920</v>
      </c>
      <c r="B530" t="s">
        <v>16</v>
      </c>
      <c r="C530" t="s">
        <v>76</v>
      </c>
      <c r="D530" t="s">
        <v>77</v>
      </c>
      <c r="E530">
        <v>15</v>
      </c>
      <c r="F530" t="s">
        <v>88</v>
      </c>
      <c r="G530">
        <v>83</v>
      </c>
      <c r="H530">
        <v>149488</v>
      </c>
      <c r="I530">
        <v>0</v>
      </c>
      <c r="J530">
        <v>54</v>
      </c>
      <c r="K530">
        <v>85</v>
      </c>
      <c r="L530">
        <v>-149488</v>
      </c>
      <c r="M530">
        <v>1</v>
      </c>
      <c r="N530">
        <v>0</v>
      </c>
      <c r="O530" s="1" t="s">
        <v>981</v>
      </c>
      <c r="P530">
        <v>0</v>
      </c>
      <c r="Q530">
        <v>0</v>
      </c>
      <c r="R530">
        <v>0</v>
      </c>
      <c r="S530">
        <v>0</v>
      </c>
      <c r="T530">
        <v>8.9011500350000006</v>
      </c>
      <c r="U530">
        <f t="shared" si="16"/>
        <v>0</v>
      </c>
      <c r="V530">
        <f t="shared" si="17"/>
        <v>0</v>
      </c>
    </row>
    <row r="531" spans="1:22" x14ac:dyDescent="0.2">
      <c r="A531" t="s">
        <v>920</v>
      </c>
      <c r="B531" t="s">
        <v>16</v>
      </c>
      <c r="C531" t="s">
        <v>76</v>
      </c>
      <c r="D531" t="s">
        <v>77</v>
      </c>
      <c r="E531" s="1" t="s">
        <v>89</v>
      </c>
      <c r="F531" t="s">
        <v>90</v>
      </c>
      <c r="G531">
        <v>32</v>
      </c>
      <c r="H531">
        <v>36576</v>
      </c>
      <c r="I531">
        <v>3819179</v>
      </c>
      <c r="J531">
        <v>101</v>
      </c>
      <c r="K531">
        <v>46</v>
      </c>
      <c r="L531">
        <v>3782603</v>
      </c>
      <c r="M531">
        <v>9.4860798987487505E-3</v>
      </c>
      <c r="N531" s="1" t="s">
        <v>982</v>
      </c>
      <c r="O531">
        <v>2.17093121751277E-3</v>
      </c>
      <c r="P531">
        <v>0</v>
      </c>
      <c r="Q531">
        <v>0</v>
      </c>
      <c r="R531">
        <v>0</v>
      </c>
      <c r="S531">
        <v>0</v>
      </c>
      <c r="T531">
        <v>8.9011500350000006</v>
      </c>
      <c r="U531">
        <f t="shared" si="16"/>
        <v>0</v>
      </c>
      <c r="V531">
        <f t="shared" si="17"/>
        <v>0</v>
      </c>
    </row>
    <row r="532" spans="1:22" x14ac:dyDescent="0.2">
      <c r="A532" t="s">
        <v>920</v>
      </c>
      <c r="B532" t="s">
        <v>16</v>
      </c>
      <c r="C532" t="s">
        <v>76</v>
      </c>
      <c r="D532" t="s">
        <v>77</v>
      </c>
      <c r="E532" s="1" t="s">
        <v>155</v>
      </c>
      <c r="F532" t="s">
        <v>156</v>
      </c>
      <c r="G532" s="1" t="s">
        <v>155</v>
      </c>
      <c r="H532">
        <v>33126</v>
      </c>
      <c r="I532">
        <v>500</v>
      </c>
      <c r="J532">
        <v>54</v>
      </c>
      <c r="K532">
        <v>67</v>
      </c>
      <c r="L532">
        <v>-32626</v>
      </c>
      <c r="M532" s="1" t="s">
        <v>983</v>
      </c>
      <c r="N532">
        <v>1.48694462618212E-2</v>
      </c>
      <c r="O532" s="1" t="s">
        <v>984</v>
      </c>
      <c r="P532">
        <v>0</v>
      </c>
      <c r="Q532">
        <v>0</v>
      </c>
      <c r="R532">
        <v>0</v>
      </c>
      <c r="S532">
        <v>0</v>
      </c>
      <c r="T532">
        <v>8.9011500350000006</v>
      </c>
      <c r="U532">
        <f t="shared" si="16"/>
        <v>0</v>
      </c>
      <c r="V532">
        <f t="shared" si="17"/>
        <v>0</v>
      </c>
    </row>
    <row r="533" spans="1:22" x14ac:dyDescent="0.2">
      <c r="A533" t="s">
        <v>920</v>
      </c>
      <c r="B533" t="s">
        <v>16</v>
      </c>
      <c r="C533" t="s">
        <v>76</v>
      </c>
      <c r="D533" t="s">
        <v>77</v>
      </c>
      <c r="E533">
        <v>10</v>
      </c>
      <c r="F533" t="s">
        <v>119</v>
      </c>
      <c r="G533">
        <v>49</v>
      </c>
      <c r="H533">
        <v>3019907</v>
      </c>
      <c r="I533">
        <v>320</v>
      </c>
      <c r="J533">
        <v>29</v>
      </c>
      <c r="K533">
        <v>91</v>
      </c>
      <c r="L533">
        <v>-3019587</v>
      </c>
      <c r="M533" s="1" t="s">
        <v>985</v>
      </c>
      <c r="N533" s="1" t="s">
        <v>986</v>
      </c>
      <c r="O533">
        <v>1.70049836627974E-3</v>
      </c>
      <c r="P533">
        <v>0</v>
      </c>
      <c r="Q533">
        <v>0</v>
      </c>
      <c r="R533">
        <v>0</v>
      </c>
      <c r="S533">
        <v>0</v>
      </c>
      <c r="T533">
        <v>8.9011500350000006</v>
      </c>
      <c r="U533">
        <f t="shared" si="16"/>
        <v>0</v>
      </c>
      <c r="V533">
        <f t="shared" si="17"/>
        <v>0</v>
      </c>
    </row>
    <row r="534" spans="1:22" x14ac:dyDescent="0.2">
      <c r="A534" t="s">
        <v>920</v>
      </c>
      <c r="B534" t="s">
        <v>16</v>
      </c>
      <c r="C534" t="s">
        <v>76</v>
      </c>
      <c r="D534" t="s">
        <v>77</v>
      </c>
      <c r="E534">
        <v>11</v>
      </c>
      <c r="F534" t="s">
        <v>127</v>
      </c>
      <c r="G534">
        <v>62</v>
      </c>
      <c r="H534">
        <v>27317</v>
      </c>
      <c r="I534">
        <v>230048</v>
      </c>
      <c r="J534">
        <v>75</v>
      </c>
      <c r="K534">
        <v>68</v>
      </c>
      <c r="L534">
        <v>202731</v>
      </c>
      <c r="M534" s="1" t="s">
        <v>987</v>
      </c>
      <c r="N534" s="1" t="s">
        <v>988</v>
      </c>
      <c r="O534" s="1" t="s">
        <v>989</v>
      </c>
      <c r="P534">
        <v>0</v>
      </c>
      <c r="Q534">
        <v>0</v>
      </c>
      <c r="R534">
        <v>0</v>
      </c>
      <c r="S534">
        <v>0</v>
      </c>
      <c r="T534">
        <v>8.9011500350000006</v>
      </c>
      <c r="U534">
        <f t="shared" si="16"/>
        <v>0</v>
      </c>
      <c r="V534">
        <f t="shared" si="17"/>
        <v>0</v>
      </c>
    </row>
    <row r="535" spans="1:22" x14ac:dyDescent="0.2">
      <c r="A535" t="s">
        <v>920</v>
      </c>
      <c r="B535" t="s">
        <v>16</v>
      </c>
      <c r="C535" t="s">
        <v>76</v>
      </c>
      <c r="D535" t="s">
        <v>77</v>
      </c>
      <c r="E535">
        <v>11</v>
      </c>
      <c r="F535" t="s">
        <v>127</v>
      </c>
      <c r="G535">
        <v>53</v>
      </c>
      <c r="H535">
        <v>176</v>
      </c>
      <c r="I535">
        <v>0</v>
      </c>
      <c r="J535">
        <v>71</v>
      </c>
      <c r="K535">
        <v>49</v>
      </c>
      <c r="L535">
        <v>-176</v>
      </c>
      <c r="M535">
        <v>1</v>
      </c>
      <c r="N535">
        <v>0</v>
      </c>
      <c r="O535" s="1" t="s">
        <v>990</v>
      </c>
      <c r="P535">
        <v>0</v>
      </c>
      <c r="Q535">
        <v>0</v>
      </c>
      <c r="R535">
        <v>0</v>
      </c>
      <c r="S535">
        <v>0</v>
      </c>
      <c r="T535">
        <v>8.9011500350000006</v>
      </c>
      <c r="U535">
        <f t="shared" si="16"/>
        <v>0</v>
      </c>
      <c r="V535">
        <f t="shared" si="17"/>
        <v>0</v>
      </c>
    </row>
    <row r="536" spans="1:22" x14ac:dyDescent="0.2">
      <c r="A536" t="s">
        <v>920</v>
      </c>
      <c r="B536" t="s">
        <v>16</v>
      </c>
      <c r="C536" t="s">
        <v>76</v>
      </c>
      <c r="D536" t="s">
        <v>77</v>
      </c>
      <c r="E536">
        <v>14</v>
      </c>
      <c r="F536" t="s">
        <v>261</v>
      </c>
      <c r="G536">
        <v>71</v>
      </c>
      <c r="H536">
        <v>2595403</v>
      </c>
      <c r="I536">
        <v>869691</v>
      </c>
      <c r="J536">
        <v>42</v>
      </c>
      <c r="K536">
        <v>39</v>
      </c>
      <c r="L536">
        <v>-1725712</v>
      </c>
      <c r="M536" s="1" t="s">
        <v>991</v>
      </c>
      <c r="N536" s="1" t="s">
        <v>992</v>
      </c>
      <c r="O536">
        <v>1.9509747730901499E-3</v>
      </c>
      <c r="P536">
        <v>0</v>
      </c>
      <c r="Q536">
        <v>0</v>
      </c>
      <c r="R536">
        <v>0</v>
      </c>
      <c r="S536">
        <v>0</v>
      </c>
      <c r="T536">
        <v>8.9011500350000006</v>
      </c>
      <c r="U536">
        <f t="shared" si="16"/>
        <v>0</v>
      </c>
      <c r="V536">
        <f t="shared" si="17"/>
        <v>0</v>
      </c>
    </row>
    <row r="537" spans="1:22" x14ac:dyDescent="0.2">
      <c r="A537" t="s">
        <v>920</v>
      </c>
      <c r="B537" t="s">
        <v>16</v>
      </c>
      <c r="C537" t="s">
        <v>76</v>
      </c>
      <c r="D537" t="s">
        <v>77</v>
      </c>
      <c r="E537">
        <v>15</v>
      </c>
      <c r="F537" t="s">
        <v>88</v>
      </c>
      <c r="G537">
        <v>78</v>
      </c>
      <c r="H537">
        <v>5777</v>
      </c>
      <c r="I537">
        <v>0</v>
      </c>
      <c r="J537">
        <v>62</v>
      </c>
      <c r="K537">
        <v>44</v>
      </c>
      <c r="L537">
        <v>-5777</v>
      </c>
      <c r="M537">
        <v>1</v>
      </c>
      <c r="N537">
        <v>0</v>
      </c>
      <c r="O537" s="1" t="s">
        <v>993</v>
      </c>
      <c r="P537">
        <v>0</v>
      </c>
      <c r="Q537">
        <v>0</v>
      </c>
      <c r="R537">
        <v>0</v>
      </c>
      <c r="S537">
        <v>0</v>
      </c>
      <c r="T537">
        <v>8.9011500350000006</v>
      </c>
      <c r="U537">
        <f t="shared" si="16"/>
        <v>0</v>
      </c>
      <c r="V537">
        <f t="shared" si="17"/>
        <v>0</v>
      </c>
    </row>
    <row r="538" spans="1:22" x14ac:dyDescent="0.2">
      <c r="A538" t="s">
        <v>920</v>
      </c>
      <c r="B538" t="s">
        <v>16</v>
      </c>
      <c r="C538" t="s">
        <v>76</v>
      </c>
      <c r="D538" t="s">
        <v>77</v>
      </c>
      <c r="E538" s="1" t="s">
        <v>155</v>
      </c>
      <c r="F538" t="s">
        <v>156</v>
      </c>
      <c r="G538" s="1" t="s">
        <v>138</v>
      </c>
      <c r="H538">
        <v>0</v>
      </c>
      <c r="I538">
        <v>20215570</v>
      </c>
      <c r="J538">
        <v>75</v>
      </c>
      <c r="K538">
        <v>28</v>
      </c>
      <c r="L538">
        <v>20215570</v>
      </c>
      <c r="M538">
        <v>0</v>
      </c>
      <c r="N538">
        <v>1</v>
      </c>
      <c r="O538" s="1" t="s">
        <v>994</v>
      </c>
      <c r="P538">
        <v>0</v>
      </c>
      <c r="Q538">
        <v>0</v>
      </c>
      <c r="R538">
        <v>0</v>
      </c>
      <c r="S538">
        <v>0</v>
      </c>
      <c r="T538">
        <v>8.9011500350000006</v>
      </c>
      <c r="U538">
        <f t="shared" si="16"/>
        <v>0</v>
      </c>
      <c r="V538">
        <f t="shared" si="17"/>
        <v>0</v>
      </c>
    </row>
    <row r="539" spans="1:22" x14ac:dyDescent="0.2">
      <c r="A539" t="s">
        <v>920</v>
      </c>
      <c r="B539" t="s">
        <v>16</v>
      </c>
      <c r="C539" t="s">
        <v>76</v>
      </c>
      <c r="D539" t="s">
        <v>77</v>
      </c>
      <c r="E539" s="1" t="s">
        <v>82</v>
      </c>
      <c r="F539" t="s">
        <v>83</v>
      </c>
      <c r="G539" s="1" t="s">
        <v>89</v>
      </c>
      <c r="H539">
        <v>0</v>
      </c>
      <c r="I539">
        <v>124271797</v>
      </c>
      <c r="J539">
        <v>49</v>
      </c>
      <c r="K539">
        <v>6</v>
      </c>
      <c r="L539">
        <v>124271797</v>
      </c>
      <c r="M539">
        <v>0</v>
      </c>
      <c r="N539">
        <v>1</v>
      </c>
      <c r="O539">
        <v>6.9969571086262103E-2</v>
      </c>
      <c r="P539">
        <v>0</v>
      </c>
      <c r="Q539">
        <v>0</v>
      </c>
      <c r="R539">
        <v>0</v>
      </c>
      <c r="S539">
        <v>1</v>
      </c>
      <c r="T539">
        <v>8.9011500350000006</v>
      </c>
      <c r="U539">
        <f t="shared" si="16"/>
        <v>0</v>
      </c>
      <c r="V539">
        <f t="shared" si="17"/>
        <v>1</v>
      </c>
    </row>
    <row r="540" spans="1:22" x14ac:dyDescent="0.2">
      <c r="A540" t="s">
        <v>920</v>
      </c>
      <c r="B540" t="s">
        <v>16</v>
      </c>
      <c r="C540" t="s">
        <v>76</v>
      </c>
      <c r="D540" t="s">
        <v>77</v>
      </c>
      <c r="E540">
        <v>11</v>
      </c>
      <c r="F540" t="s">
        <v>127</v>
      </c>
      <c r="G540">
        <v>61</v>
      </c>
      <c r="H540">
        <v>17815</v>
      </c>
      <c r="I540">
        <v>534087</v>
      </c>
      <c r="J540">
        <v>75</v>
      </c>
      <c r="K540">
        <v>61</v>
      </c>
      <c r="L540">
        <v>516272</v>
      </c>
      <c r="M540" s="1" t="s">
        <v>995</v>
      </c>
      <c r="N540" s="1" t="s">
        <v>996</v>
      </c>
      <c r="O540" s="1" t="s">
        <v>997</v>
      </c>
      <c r="P540">
        <v>0</v>
      </c>
      <c r="Q540">
        <v>0</v>
      </c>
      <c r="R540">
        <v>0</v>
      </c>
      <c r="S540">
        <v>0</v>
      </c>
      <c r="T540">
        <v>8.9011500350000006</v>
      </c>
      <c r="U540">
        <f t="shared" si="16"/>
        <v>0</v>
      </c>
      <c r="V540">
        <f t="shared" si="17"/>
        <v>0</v>
      </c>
    </row>
    <row r="541" spans="1:22" x14ac:dyDescent="0.2">
      <c r="A541" t="s">
        <v>920</v>
      </c>
      <c r="B541" t="s">
        <v>16</v>
      </c>
      <c r="C541" t="s">
        <v>76</v>
      </c>
      <c r="D541" t="s">
        <v>77</v>
      </c>
      <c r="E541" s="1" t="s">
        <v>163</v>
      </c>
      <c r="F541" t="s">
        <v>224</v>
      </c>
      <c r="G541">
        <v>42</v>
      </c>
      <c r="H541">
        <v>5674</v>
      </c>
      <c r="I541">
        <v>39586</v>
      </c>
      <c r="J541">
        <v>77</v>
      </c>
      <c r="K541">
        <v>59</v>
      </c>
      <c r="L541">
        <v>33912</v>
      </c>
      <c r="M541" s="1" t="s">
        <v>998</v>
      </c>
      <c r="N541" s="1" t="s">
        <v>999</v>
      </c>
      <c r="O541" s="1" t="s">
        <v>1000</v>
      </c>
      <c r="P541">
        <v>0</v>
      </c>
      <c r="Q541">
        <v>0</v>
      </c>
      <c r="R541">
        <v>0</v>
      </c>
      <c r="S541">
        <v>0</v>
      </c>
      <c r="T541">
        <v>8.9011500350000006</v>
      </c>
      <c r="U541">
        <f t="shared" si="16"/>
        <v>0</v>
      </c>
      <c r="V541">
        <f t="shared" si="17"/>
        <v>0</v>
      </c>
    </row>
    <row r="542" spans="1:22" x14ac:dyDescent="0.2">
      <c r="A542" t="s">
        <v>920</v>
      </c>
      <c r="B542" t="s">
        <v>16</v>
      </c>
      <c r="C542" t="s">
        <v>76</v>
      </c>
      <c r="D542" t="s">
        <v>77</v>
      </c>
      <c r="E542" s="1" t="s">
        <v>82</v>
      </c>
      <c r="F542" t="s">
        <v>83</v>
      </c>
      <c r="G542" s="1" t="s">
        <v>99</v>
      </c>
      <c r="H542">
        <v>0</v>
      </c>
      <c r="I542">
        <v>12331</v>
      </c>
      <c r="J542">
        <v>106</v>
      </c>
      <c r="K542">
        <v>73</v>
      </c>
      <c r="L542">
        <v>12331</v>
      </c>
      <c r="M542">
        <v>0</v>
      </c>
      <c r="N542">
        <v>1</v>
      </c>
      <c r="O542" s="1" t="s">
        <v>1001</v>
      </c>
      <c r="P542">
        <v>0</v>
      </c>
      <c r="Q542">
        <v>0</v>
      </c>
      <c r="R542">
        <v>0</v>
      </c>
      <c r="S542">
        <v>0</v>
      </c>
      <c r="T542">
        <v>8.9011500350000006</v>
      </c>
      <c r="U542">
        <f t="shared" si="16"/>
        <v>0</v>
      </c>
      <c r="V542">
        <f t="shared" si="17"/>
        <v>0</v>
      </c>
    </row>
    <row r="543" spans="1:22" x14ac:dyDescent="0.2">
      <c r="A543" t="s">
        <v>920</v>
      </c>
      <c r="B543" t="s">
        <v>16</v>
      </c>
      <c r="C543" t="s">
        <v>76</v>
      </c>
      <c r="D543" t="s">
        <v>77</v>
      </c>
      <c r="E543" s="1" t="s">
        <v>138</v>
      </c>
      <c r="F543" t="s">
        <v>139</v>
      </c>
      <c r="G543">
        <v>18</v>
      </c>
      <c r="H543">
        <v>0</v>
      </c>
      <c r="I543">
        <v>12361417</v>
      </c>
      <c r="J543">
        <v>110</v>
      </c>
      <c r="K543">
        <v>29</v>
      </c>
      <c r="L543">
        <v>12361417</v>
      </c>
      <c r="M543">
        <v>0</v>
      </c>
      <c r="N543">
        <v>1</v>
      </c>
      <c r="O543">
        <v>6.95993030106766E-3</v>
      </c>
      <c r="P543">
        <v>0</v>
      </c>
      <c r="Q543">
        <v>0</v>
      </c>
      <c r="R543">
        <v>0</v>
      </c>
      <c r="S543">
        <v>0</v>
      </c>
      <c r="T543">
        <v>8.9011500350000006</v>
      </c>
      <c r="U543">
        <f t="shared" si="16"/>
        <v>0</v>
      </c>
      <c r="V543">
        <f t="shared" si="17"/>
        <v>0</v>
      </c>
    </row>
    <row r="544" spans="1:22" x14ac:dyDescent="0.2">
      <c r="A544" t="s">
        <v>920</v>
      </c>
      <c r="B544" t="s">
        <v>16</v>
      </c>
      <c r="C544" t="s">
        <v>76</v>
      </c>
      <c r="D544" t="s">
        <v>77</v>
      </c>
      <c r="E544" s="1" t="s">
        <v>82</v>
      </c>
      <c r="F544" t="s">
        <v>83</v>
      </c>
      <c r="G544">
        <v>11</v>
      </c>
      <c r="H544">
        <v>0</v>
      </c>
      <c r="I544">
        <v>1703</v>
      </c>
      <c r="J544">
        <v>105</v>
      </c>
      <c r="K544">
        <v>56</v>
      </c>
      <c r="L544">
        <v>1703</v>
      </c>
      <c r="M544">
        <v>0</v>
      </c>
      <c r="N544">
        <v>1</v>
      </c>
      <c r="O544" s="1" t="s">
        <v>1002</v>
      </c>
      <c r="P544">
        <v>0</v>
      </c>
      <c r="Q544">
        <v>0</v>
      </c>
      <c r="R544">
        <v>0</v>
      </c>
      <c r="S544">
        <v>0</v>
      </c>
      <c r="T544">
        <v>8.9011500350000006</v>
      </c>
      <c r="U544">
        <f t="shared" si="16"/>
        <v>0</v>
      </c>
      <c r="V544">
        <f t="shared" si="17"/>
        <v>0</v>
      </c>
    </row>
    <row r="545" spans="1:22" x14ac:dyDescent="0.2">
      <c r="A545" t="s">
        <v>920</v>
      </c>
      <c r="B545" t="s">
        <v>16</v>
      </c>
      <c r="C545" t="s">
        <v>76</v>
      </c>
      <c r="D545" t="s">
        <v>77</v>
      </c>
      <c r="E545" s="1" t="s">
        <v>138</v>
      </c>
      <c r="F545" t="s">
        <v>139</v>
      </c>
      <c r="G545">
        <v>17</v>
      </c>
      <c r="H545">
        <v>0</v>
      </c>
      <c r="I545">
        <v>14249722</v>
      </c>
      <c r="J545">
        <v>119</v>
      </c>
      <c r="K545">
        <v>19</v>
      </c>
      <c r="L545">
        <v>14249722</v>
      </c>
      <c r="M545">
        <v>0</v>
      </c>
      <c r="N545">
        <v>1</v>
      </c>
      <c r="O545">
        <v>8.0231151436433602E-3</v>
      </c>
      <c r="P545">
        <v>0</v>
      </c>
      <c r="Q545">
        <v>0</v>
      </c>
      <c r="R545">
        <v>0</v>
      </c>
      <c r="S545">
        <v>0</v>
      </c>
      <c r="T545">
        <v>8.9011500350000006</v>
      </c>
      <c r="U545">
        <f t="shared" si="16"/>
        <v>0</v>
      </c>
      <c r="V545">
        <f t="shared" si="17"/>
        <v>0</v>
      </c>
    </row>
    <row r="546" spans="1:22" x14ac:dyDescent="0.2">
      <c r="A546" t="s">
        <v>920</v>
      </c>
      <c r="B546" t="s">
        <v>16</v>
      </c>
      <c r="C546" t="s">
        <v>76</v>
      </c>
      <c r="D546" t="s">
        <v>77</v>
      </c>
      <c r="E546" s="1" t="s">
        <v>82</v>
      </c>
      <c r="F546" t="s">
        <v>83</v>
      </c>
      <c r="G546" s="1" t="s">
        <v>163</v>
      </c>
      <c r="H546">
        <v>0</v>
      </c>
      <c r="I546">
        <v>27519701</v>
      </c>
      <c r="J546">
        <v>74</v>
      </c>
      <c r="K546">
        <v>39</v>
      </c>
      <c r="L546">
        <v>27519701</v>
      </c>
      <c r="M546">
        <v>0</v>
      </c>
      <c r="N546">
        <v>1</v>
      </c>
      <c r="O546" s="1" t="s">
        <v>1003</v>
      </c>
      <c r="P546">
        <v>0</v>
      </c>
      <c r="Q546">
        <v>0</v>
      </c>
      <c r="R546">
        <v>0</v>
      </c>
      <c r="S546">
        <v>0</v>
      </c>
      <c r="T546">
        <v>8.9011500350000006</v>
      </c>
      <c r="U546">
        <f t="shared" si="16"/>
        <v>0</v>
      </c>
      <c r="V546">
        <f t="shared" si="17"/>
        <v>0</v>
      </c>
    </row>
    <row r="547" spans="1:22" x14ac:dyDescent="0.2">
      <c r="A547" t="s">
        <v>920</v>
      </c>
      <c r="B547" t="s">
        <v>16</v>
      </c>
      <c r="C547" t="s">
        <v>76</v>
      </c>
      <c r="D547" t="s">
        <v>77</v>
      </c>
      <c r="E547" s="1" t="s">
        <v>82</v>
      </c>
      <c r="F547" t="s">
        <v>83</v>
      </c>
      <c r="G547" s="1" t="s">
        <v>93</v>
      </c>
      <c r="H547">
        <v>127</v>
      </c>
      <c r="I547">
        <v>72436698</v>
      </c>
      <c r="J547">
        <v>100</v>
      </c>
      <c r="K547">
        <v>15</v>
      </c>
      <c r="L547">
        <v>72436571</v>
      </c>
      <c r="M547" s="1" t="s">
        <v>1004</v>
      </c>
      <c r="N547" s="1" t="s">
        <v>1005</v>
      </c>
      <c r="O547">
        <v>4.078458426171E-2</v>
      </c>
      <c r="P547">
        <v>0</v>
      </c>
      <c r="Q547">
        <v>0</v>
      </c>
      <c r="R547">
        <v>0</v>
      </c>
      <c r="S547">
        <v>0</v>
      </c>
      <c r="T547">
        <v>8.9011500350000006</v>
      </c>
      <c r="U547">
        <f t="shared" si="16"/>
        <v>0</v>
      </c>
      <c r="V547">
        <f t="shared" si="17"/>
        <v>0</v>
      </c>
    </row>
    <row r="548" spans="1:22" x14ac:dyDescent="0.2">
      <c r="A548" t="s">
        <v>920</v>
      </c>
      <c r="B548" t="s">
        <v>16</v>
      </c>
      <c r="C548" t="s">
        <v>76</v>
      </c>
      <c r="D548" t="s">
        <v>77</v>
      </c>
      <c r="E548" s="1" t="s">
        <v>110</v>
      </c>
      <c r="F548" t="s">
        <v>111</v>
      </c>
      <c r="G548">
        <v>15</v>
      </c>
      <c r="H548">
        <v>0</v>
      </c>
      <c r="I548">
        <v>14086</v>
      </c>
      <c r="J548">
        <v>110</v>
      </c>
      <c r="K548">
        <v>70</v>
      </c>
      <c r="L548">
        <v>14086</v>
      </c>
      <c r="M548">
        <v>0</v>
      </c>
      <c r="N548">
        <v>1</v>
      </c>
      <c r="O548" s="1" t="s">
        <v>1006</v>
      </c>
      <c r="P548">
        <v>0</v>
      </c>
      <c r="Q548">
        <v>0</v>
      </c>
      <c r="R548">
        <v>0</v>
      </c>
      <c r="S548">
        <v>0</v>
      </c>
      <c r="T548">
        <v>8.9011500350000006</v>
      </c>
      <c r="U548">
        <f t="shared" si="16"/>
        <v>0</v>
      </c>
      <c r="V548">
        <f t="shared" si="17"/>
        <v>0</v>
      </c>
    </row>
    <row r="549" spans="1:22" x14ac:dyDescent="0.2">
      <c r="A549" t="s">
        <v>920</v>
      </c>
      <c r="B549" t="s">
        <v>16</v>
      </c>
      <c r="C549" t="s">
        <v>76</v>
      </c>
      <c r="D549" t="s">
        <v>77</v>
      </c>
      <c r="E549" s="1" t="s">
        <v>155</v>
      </c>
      <c r="F549" t="s">
        <v>156</v>
      </c>
      <c r="G549" s="1" t="s">
        <v>110</v>
      </c>
      <c r="H549">
        <v>2681</v>
      </c>
      <c r="I549">
        <v>32599</v>
      </c>
      <c r="J549">
        <v>98</v>
      </c>
      <c r="K549">
        <v>57</v>
      </c>
      <c r="L549">
        <v>29918</v>
      </c>
      <c r="M549">
        <v>7.5992063492063402E-2</v>
      </c>
      <c r="N549" s="1" t="s">
        <v>1007</v>
      </c>
      <c r="O549" s="1" t="s">
        <v>1008</v>
      </c>
      <c r="P549">
        <v>0</v>
      </c>
      <c r="Q549">
        <v>0</v>
      </c>
      <c r="R549">
        <v>0</v>
      </c>
      <c r="S549">
        <v>0</v>
      </c>
      <c r="T549">
        <v>8.9011500350000006</v>
      </c>
      <c r="U549">
        <f t="shared" si="16"/>
        <v>0</v>
      </c>
      <c r="V549">
        <f t="shared" si="17"/>
        <v>0</v>
      </c>
    </row>
    <row r="550" spans="1:22" x14ac:dyDescent="0.2">
      <c r="A550" t="s">
        <v>920</v>
      </c>
      <c r="B550" t="s">
        <v>16</v>
      </c>
      <c r="C550" t="s">
        <v>76</v>
      </c>
      <c r="D550" t="s">
        <v>77</v>
      </c>
      <c r="E550" s="1" t="s">
        <v>155</v>
      </c>
      <c r="F550" t="s">
        <v>156</v>
      </c>
      <c r="G550" s="1" t="s">
        <v>82</v>
      </c>
      <c r="H550">
        <v>0</v>
      </c>
      <c r="I550">
        <v>118495218</v>
      </c>
      <c r="J550">
        <v>61</v>
      </c>
      <c r="K550">
        <v>8</v>
      </c>
      <c r="L550">
        <v>118495218</v>
      </c>
      <c r="M550">
        <v>0</v>
      </c>
      <c r="N550">
        <v>1</v>
      </c>
      <c r="O550">
        <v>6.6717145638709396E-2</v>
      </c>
      <c r="P550">
        <v>0</v>
      </c>
      <c r="Q550">
        <v>0</v>
      </c>
      <c r="R550">
        <v>0</v>
      </c>
      <c r="S550">
        <v>1</v>
      </c>
      <c r="T550">
        <v>8.9011500350000006</v>
      </c>
      <c r="U550">
        <f t="shared" si="16"/>
        <v>0</v>
      </c>
      <c r="V550">
        <f t="shared" si="17"/>
        <v>1</v>
      </c>
    </row>
    <row r="551" spans="1:22" x14ac:dyDescent="0.2">
      <c r="A551" t="s">
        <v>920</v>
      </c>
      <c r="B551" t="s">
        <v>16</v>
      </c>
      <c r="C551" t="s">
        <v>76</v>
      </c>
      <c r="D551" t="s">
        <v>77</v>
      </c>
      <c r="E551" s="1" t="s">
        <v>155</v>
      </c>
      <c r="F551" t="s">
        <v>156</v>
      </c>
      <c r="G551" s="1" t="s">
        <v>85</v>
      </c>
      <c r="H551">
        <v>0</v>
      </c>
      <c r="I551">
        <v>1059820</v>
      </c>
      <c r="J551">
        <v>74</v>
      </c>
      <c r="K551">
        <v>22</v>
      </c>
      <c r="L551">
        <v>1059820</v>
      </c>
      <c r="M551">
        <v>0</v>
      </c>
      <c r="N551">
        <v>1</v>
      </c>
      <c r="O551" s="1" t="s">
        <v>1009</v>
      </c>
      <c r="P551">
        <v>0</v>
      </c>
      <c r="Q551">
        <v>0</v>
      </c>
      <c r="R551">
        <v>0</v>
      </c>
      <c r="S551">
        <v>0</v>
      </c>
      <c r="T551">
        <v>8.9011500350000006</v>
      </c>
      <c r="U551">
        <f t="shared" si="16"/>
        <v>0</v>
      </c>
      <c r="V551">
        <f t="shared" si="17"/>
        <v>0</v>
      </c>
    </row>
    <row r="552" spans="1:22" x14ac:dyDescent="0.2">
      <c r="A552" t="s">
        <v>920</v>
      </c>
      <c r="B552" t="s">
        <v>16</v>
      </c>
      <c r="C552" t="s">
        <v>76</v>
      </c>
      <c r="D552" t="s">
        <v>77</v>
      </c>
      <c r="E552" s="1" t="s">
        <v>138</v>
      </c>
      <c r="F552" t="s">
        <v>139</v>
      </c>
      <c r="G552">
        <v>21</v>
      </c>
      <c r="H552">
        <v>238470</v>
      </c>
      <c r="I552">
        <v>42626362</v>
      </c>
      <c r="J552">
        <v>78</v>
      </c>
      <c r="K552">
        <v>29</v>
      </c>
      <c r="L552">
        <v>42387892</v>
      </c>
      <c r="M552">
        <v>5.5633018694672496E-3</v>
      </c>
      <c r="N552" s="1" t="s">
        <v>1010</v>
      </c>
      <c r="O552">
        <v>2.4134469623262E-2</v>
      </c>
      <c r="P552">
        <v>0</v>
      </c>
      <c r="Q552">
        <v>0</v>
      </c>
      <c r="R552">
        <v>0</v>
      </c>
      <c r="S552">
        <v>0</v>
      </c>
      <c r="T552">
        <v>8.9011500350000006</v>
      </c>
      <c r="U552">
        <f t="shared" si="16"/>
        <v>0</v>
      </c>
      <c r="V552">
        <f t="shared" si="17"/>
        <v>0</v>
      </c>
    </row>
    <row r="553" spans="1:22" x14ac:dyDescent="0.2">
      <c r="A553" t="s">
        <v>1011</v>
      </c>
      <c r="B553" t="s">
        <v>17</v>
      </c>
      <c r="C553" t="s">
        <v>76</v>
      </c>
      <c r="D553" t="s">
        <v>77</v>
      </c>
      <c r="E553">
        <v>16</v>
      </c>
      <c r="F553" t="s">
        <v>95</v>
      </c>
      <c r="G553">
        <v>84</v>
      </c>
      <c r="H553">
        <v>56579338</v>
      </c>
      <c r="I553">
        <v>1200464</v>
      </c>
      <c r="J553">
        <v>40</v>
      </c>
      <c r="K553">
        <v>77</v>
      </c>
      <c r="L553">
        <v>-55378874</v>
      </c>
      <c r="M553" s="1" t="s">
        <v>1012</v>
      </c>
      <c r="N553" s="1" t="s">
        <v>1013</v>
      </c>
      <c r="O553">
        <v>1.06776088851502E-2</v>
      </c>
      <c r="P553">
        <v>0</v>
      </c>
      <c r="Q553">
        <v>0</v>
      </c>
      <c r="R553">
        <v>0</v>
      </c>
      <c r="S553">
        <v>0</v>
      </c>
      <c r="T553">
        <v>10.352380159999999</v>
      </c>
      <c r="U553">
        <f t="shared" si="16"/>
        <v>0</v>
      </c>
      <c r="V553">
        <f t="shared" si="17"/>
        <v>0</v>
      </c>
    </row>
    <row r="554" spans="1:22" x14ac:dyDescent="0.2">
      <c r="A554" t="s">
        <v>1011</v>
      </c>
      <c r="B554" t="s">
        <v>17</v>
      </c>
      <c r="C554" t="s">
        <v>76</v>
      </c>
      <c r="D554" t="s">
        <v>77</v>
      </c>
      <c r="E554" s="1" t="s">
        <v>89</v>
      </c>
      <c r="F554" t="s">
        <v>90</v>
      </c>
      <c r="G554">
        <v>31</v>
      </c>
      <c r="H554">
        <v>547859334</v>
      </c>
      <c r="I554">
        <v>0</v>
      </c>
      <c r="J554">
        <v>19</v>
      </c>
      <c r="K554">
        <v>51</v>
      </c>
      <c r="L554">
        <v>-547859334</v>
      </c>
      <c r="M554">
        <v>1</v>
      </c>
      <c r="N554">
        <v>0</v>
      </c>
      <c r="O554" s="1" t="s">
        <v>1014</v>
      </c>
      <c r="P554">
        <v>0</v>
      </c>
      <c r="Q554">
        <v>0</v>
      </c>
      <c r="R554">
        <v>0</v>
      </c>
      <c r="S554">
        <v>0</v>
      </c>
      <c r="T554">
        <v>10.352380159999999</v>
      </c>
      <c r="U554">
        <f t="shared" si="16"/>
        <v>0</v>
      </c>
      <c r="V554">
        <f t="shared" si="17"/>
        <v>0</v>
      </c>
    </row>
    <row r="555" spans="1:22" x14ac:dyDescent="0.2">
      <c r="A555" t="s">
        <v>1011</v>
      </c>
      <c r="B555" t="s">
        <v>17</v>
      </c>
      <c r="C555" t="s">
        <v>76</v>
      </c>
      <c r="D555" t="s">
        <v>77</v>
      </c>
      <c r="E555">
        <v>16</v>
      </c>
      <c r="F555" t="s">
        <v>95</v>
      </c>
      <c r="G555">
        <v>85</v>
      </c>
      <c r="H555">
        <v>56041204</v>
      </c>
      <c r="I555">
        <v>344127</v>
      </c>
      <c r="J555">
        <v>37</v>
      </c>
      <c r="K555">
        <v>83</v>
      </c>
      <c r="L555">
        <v>-55697077</v>
      </c>
      <c r="M555" s="1" t="s">
        <v>1015</v>
      </c>
      <c r="N555">
        <v>6.1031299080251903E-3</v>
      </c>
      <c r="O555">
        <v>1.04199130221618E-2</v>
      </c>
      <c r="P555">
        <v>0</v>
      </c>
      <c r="Q555">
        <v>0</v>
      </c>
      <c r="R555">
        <v>0</v>
      </c>
      <c r="S555">
        <v>0</v>
      </c>
      <c r="T555">
        <v>10.352380159999999</v>
      </c>
      <c r="U555">
        <f t="shared" si="16"/>
        <v>0</v>
      </c>
      <c r="V555">
        <f t="shared" si="17"/>
        <v>0</v>
      </c>
    </row>
    <row r="556" spans="1:22" x14ac:dyDescent="0.2">
      <c r="A556" t="s">
        <v>1011</v>
      </c>
      <c r="B556" t="s">
        <v>17</v>
      </c>
      <c r="C556" t="s">
        <v>76</v>
      </c>
      <c r="D556" t="s">
        <v>77</v>
      </c>
      <c r="E556" s="1" t="s">
        <v>82</v>
      </c>
      <c r="F556" t="s">
        <v>83</v>
      </c>
      <c r="G556">
        <v>10</v>
      </c>
      <c r="H556">
        <v>44987708</v>
      </c>
      <c r="I556">
        <v>0</v>
      </c>
      <c r="J556">
        <v>69</v>
      </c>
      <c r="K556">
        <v>65</v>
      </c>
      <c r="L556">
        <v>-44987708</v>
      </c>
      <c r="M556">
        <v>1</v>
      </c>
      <c r="N556">
        <v>0</v>
      </c>
      <c r="O556">
        <v>8.3136517266594791E-3</v>
      </c>
      <c r="P556">
        <v>0</v>
      </c>
      <c r="Q556">
        <v>0</v>
      </c>
      <c r="R556">
        <v>0</v>
      </c>
      <c r="S556">
        <v>0</v>
      </c>
      <c r="T556">
        <v>10.352380159999999</v>
      </c>
      <c r="U556">
        <f t="shared" si="16"/>
        <v>0</v>
      </c>
      <c r="V556">
        <f t="shared" si="17"/>
        <v>0</v>
      </c>
    </row>
    <row r="557" spans="1:22" x14ac:dyDescent="0.2">
      <c r="A557" t="s">
        <v>1011</v>
      </c>
      <c r="B557" t="s">
        <v>17</v>
      </c>
      <c r="C557" t="s">
        <v>76</v>
      </c>
      <c r="D557" t="s">
        <v>77</v>
      </c>
      <c r="E557" s="1" t="s">
        <v>99</v>
      </c>
      <c r="F557" t="s">
        <v>100</v>
      </c>
      <c r="G557">
        <v>40</v>
      </c>
      <c r="H557">
        <v>15350057</v>
      </c>
      <c r="I557">
        <v>18024</v>
      </c>
      <c r="J557">
        <v>60</v>
      </c>
      <c r="K557">
        <v>83</v>
      </c>
      <c r="L557">
        <v>-15332033</v>
      </c>
      <c r="M557" s="1" t="s">
        <v>1016</v>
      </c>
      <c r="N557">
        <v>1.1728204712091201E-3</v>
      </c>
      <c r="O557">
        <v>2.8399951635920801E-3</v>
      </c>
      <c r="P557">
        <v>0</v>
      </c>
      <c r="Q557">
        <v>0</v>
      </c>
      <c r="R557">
        <v>0</v>
      </c>
      <c r="S557">
        <v>0</v>
      </c>
      <c r="T557">
        <v>10.352380159999999</v>
      </c>
      <c r="U557">
        <f t="shared" si="16"/>
        <v>0</v>
      </c>
      <c r="V557">
        <f t="shared" si="17"/>
        <v>0</v>
      </c>
    </row>
    <row r="558" spans="1:22" x14ac:dyDescent="0.2">
      <c r="A558" t="s">
        <v>1011</v>
      </c>
      <c r="B558" t="s">
        <v>17</v>
      </c>
      <c r="C558" t="s">
        <v>76</v>
      </c>
      <c r="D558" t="s">
        <v>77</v>
      </c>
      <c r="E558">
        <v>15</v>
      </c>
      <c r="F558" t="s">
        <v>88</v>
      </c>
      <c r="G558">
        <v>72</v>
      </c>
      <c r="H558">
        <v>42839922</v>
      </c>
      <c r="I558">
        <v>0</v>
      </c>
      <c r="J558">
        <v>75</v>
      </c>
      <c r="K558">
        <v>74</v>
      </c>
      <c r="L558">
        <v>-42839922</v>
      </c>
      <c r="M558">
        <v>1</v>
      </c>
      <c r="N558">
        <v>0</v>
      </c>
      <c r="O558">
        <v>7.9167445362021398E-3</v>
      </c>
      <c r="P558">
        <v>0</v>
      </c>
      <c r="Q558">
        <v>0</v>
      </c>
      <c r="R558">
        <v>0</v>
      </c>
      <c r="S558">
        <v>0</v>
      </c>
      <c r="T558">
        <v>10.352380159999999</v>
      </c>
      <c r="U558">
        <f t="shared" si="16"/>
        <v>0</v>
      </c>
      <c r="V558">
        <f t="shared" si="17"/>
        <v>0</v>
      </c>
    </row>
    <row r="559" spans="1:22" x14ac:dyDescent="0.2">
      <c r="A559" t="s">
        <v>1011</v>
      </c>
      <c r="B559" t="s">
        <v>17</v>
      </c>
      <c r="C559" t="s">
        <v>76</v>
      </c>
      <c r="D559" t="s">
        <v>77</v>
      </c>
      <c r="E559" s="1" t="s">
        <v>99</v>
      </c>
      <c r="F559" t="s">
        <v>100</v>
      </c>
      <c r="G559">
        <v>39</v>
      </c>
      <c r="H559">
        <v>17410842</v>
      </c>
      <c r="I559">
        <v>133929</v>
      </c>
      <c r="J559">
        <v>44</v>
      </c>
      <c r="K559">
        <v>80</v>
      </c>
      <c r="L559">
        <v>-17276913</v>
      </c>
      <c r="M559" s="1" t="s">
        <v>1017</v>
      </c>
      <c r="N559">
        <v>7.6335564596425902E-3</v>
      </c>
      <c r="O559">
        <v>3.2422437639631498E-3</v>
      </c>
      <c r="P559">
        <v>0</v>
      </c>
      <c r="Q559">
        <v>0</v>
      </c>
      <c r="R559">
        <v>0</v>
      </c>
      <c r="S559">
        <v>0</v>
      </c>
      <c r="T559">
        <v>10.352380159999999</v>
      </c>
      <c r="U559">
        <f t="shared" si="16"/>
        <v>0</v>
      </c>
      <c r="V559">
        <f t="shared" si="17"/>
        <v>0</v>
      </c>
    </row>
    <row r="560" spans="1:22" x14ac:dyDescent="0.2">
      <c r="A560" t="s">
        <v>1011</v>
      </c>
      <c r="B560" t="s">
        <v>17</v>
      </c>
      <c r="C560" t="s">
        <v>76</v>
      </c>
      <c r="D560" t="s">
        <v>77</v>
      </c>
      <c r="E560" s="1" t="s">
        <v>89</v>
      </c>
      <c r="F560" t="s">
        <v>90</v>
      </c>
      <c r="G560">
        <v>28</v>
      </c>
      <c r="H560">
        <v>22535622</v>
      </c>
      <c r="I560">
        <v>199000</v>
      </c>
      <c r="J560">
        <v>60</v>
      </c>
      <c r="K560">
        <v>65</v>
      </c>
      <c r="L560">
        <v>-22336622</v>
      </c>
      <c r="M560" s="1" t="s">
        <v>1018</v>
      </c>
      <c r="N560">
        <v>8.7531695050834801E-3</v>
      </c>
      <c r="O560">
        <v>4.2013193791790998E-3</v>
      </c>
      <c r="P560">
        <v>0</v>
      </c>
      <c r="Q560">
        <v>0</v>
      </c>
      <c r="R560">
        <v>0</v>
      </c>
      <c r="S560">
        <v>0</v>
      </c>
      <c r="T560">
        <v>10.352380159999999</v>
      </c>
      <c r="U560">
        <f t="shared" si="16"/>
        <v>0</v>
      </c>
      <c r="V560">
        <f t="shared" si="17"/>
        <v>0</v>
      </c>
    </row>
    <row r="561" spans="1:22" x14ac:dyDescent="0.2">
      <c r="A561" t="s">
        <v>1011</v>
      </c>
      <c r="B561" t="s">
        <v>17</v>
      </c>
      <c r="C561" t="s">
        <v>76</v>
      </c>
      <c r="D561" t="s">
        <v>77</v>
      </c>
      <c r="E561">
        <v>15</v>
      </c>
      <c r="F561" t="s">
        <v>88</v>
      </c>
      <c r="G561">
        <v>76</v>
      </c>
      <c r="H561">
        <v>20415549</v>
      </c>
      <c r="I561">
        <v>106398</v>
      </c>
      <c r="J561">
        <v>53</v>
      </c>
      <c r="K561">
        <v>63</v>
      </c>
      <c r="L561">
        <v>-20309151</v>
      </c>
      <c r="M561" s="1" t="s">
        <v>1019</v>
      </c>
      <c r="N561">
        <v>5.1845957890837499E-3</v>
      </c>
      <c r="O561">
        <v>3.79242081216861E-3</v>
      </c>
      <c r="P561">
        <v>0</v>
      </c>
      <c r="Q561">
        <v>0</v>
      </c>
      <c r="R561">
        <v>0</v>
      </c>
      <c r="S561">
        <v>0</v>
      </c>
      <c r="T561">
        <v>10.352380159999999</v>
      </c>
      <c r="U561">
        <f t="shared" si="16"/>
        <v>0</v>
      </c>
      <c r="V561">
        <f t="shared" si="17"/>
        <v>0</v>
      </c>
    </row>
    <row r="562" spans="1:22" x14ac:dyDescent="0.2">
      <c r="A562" t="s">
        <v>1011</v>
      </c>
      <c r="B562" t="s">
        <v>17</v>
      </c>
      <c r="C562" t="s">
        <v>76</v>
      </c>
      <c r="D562" t="s">
        <v>77</v>
      </c>
      <c r="E562">
        <v>10</v>
      </c>
      <c r="F562" t="s">
        <v>119</v>
      </c>
      <c r="G562">
        <v>48</v>
      </c>
      <c r="H562">
        <v>20691717</v>
      </c>
      <c r="I562">
        <v>0</v>
      </c>
      <c r="J562">
        <v>64</v>
      </c>
      <c r="K562">
        <v>97</v>
      </c>
      <c r="L562">
        <v>-20691717</v>
      </c>
      <c r="M562">
        <v>1</v>
      </c>
      <c r="N562">
        <v>0</v>
      </c>
      <c r="O562">
        <v>3.82379401868171E-3</v>
      </c>
      <c r="P562">
        <v>0</v>
      </c>
      <c r="Q562">
        <v>0</v>
      </c>
      <c r="R562">
        <v>0</v>
      </c>
      <c r="S562">
        <v>0</v>
      </c>
      <c r="T562">
        <v>10.352380159999999</v>
      </c>
      <c r="U562">
        <f t="shared" si="16"/>
        <v>0</v>
      </c>
      <c r="V562">
        <f t="shared" si="17"/>
        <v>0</v>
      </c>
    </row>
    <row r="563" spans="1:22" x14ac:dyDescent="0.2">
      <c r="A563" t="s">
        <v>1011</v>
      </c>
      <c r="B563" t="s">
        <v>17</v>
      </c>
      <c r="C563" t="s">
        <v>76</v>
      </c>
      <c r="D563" t="s">
        <v>77</v>
      </c>
      <c r="E563" s="1" t="s">
        <v>85</v>
      </c>
      <c r="F563" t="s">
        <v>86</v>
      </c>
      <c r="G563">
        <v>25</v>
      </c>
      <c r="H563">
        <v>3419657</v>
      </c>
      <c r="I563">
        <v>0</v>
      </c>
      <c r="J563">
        <v>54</v>
      </c>
      <c r="K563">
        <v>95</v>
      </c>
      <c r="L563">
        <v>-3419657</v>
      </c>
      <c r="M563">
        <v>1</v>
      </c>
      <c r="N563">
        <v>0</v>
      </c>
      <c r="O563" s="1" t="s">
        <v>1020</v>
      </c>
      <c r="P563">
        <v>0</v>
      </c>
      <c r="Q563">
        <v>0</v>
      </c>
      <c r="R563">
        <v>0</v>
      </c>
      <c r="S563">
        <v>0</v>
      </c>
      <c r="T563">
        <v>10.352380159999999</v>
      </c>
      <c r="U563">
        <f t="shared" si="16"/>
        <v>0</v>
      </c>
      <c r="V563">
        <f t="shared" si="17"/>
        <v>0</v>
      </c>
    </row>
    <row r="564" spans="1:22" x14ac:dyDescent="0.2">
      <c r="A564" t="s">
        <v>1011</v>
      </c>
      <c r="B564" t="s">
        <v>17</v>
      </c>
      <c r="C564" t="s">
        <v>76</v>
      </c>
      <c r="D564" t="s">
        <v>77</v>
      </c>
      <c r="E564" s="1" t="s">
        <v>89</v>
      </c>
      <c r="F564" t="s">
        <v>90</v>
      </c>
      <c r="G564">
        <v>38</v>
      </c>
      <c r="H564">
        <v>6291199</v>
      </c>
      <c r="I564">
        <v>0</v>
      </c>
      <c r="J564">
        <v>46</v>
      </c>
      <c r="K564">
        <v>87</v>
      </c>
      <c r="L564">
        <v>-6291199</v>
      </c>
      <c r="M564">
        <v>1</v>
      </c>
      <c r="N564">
        <v>0</v>
      </c>
      <c r="O564">
        <v>1.16260284762914E-3</v>
      </c>
      <c r="P564">
        <v>0</v>
      </c>
      <c r="Q564">
        <v>0</v>
      </c>
      <c r="R564">
        <v>0</v>
      </c>
      <c r="S564">
        <v>0</v>
      </c>
      <c r="T564">
        <v>10.352380159999999</v>
      </c>
      <c r="U564">
        <f t="shared" si="16"/>
        <v>0</v>
      </c>
      <c r="V564">
        <f t="shared" si="17"/>
        <v>0</v>
      </c>
    </row>
    <row r="565" spans="1:22" x14ac:dyDescent="0.2">
      <c r="A565" t="s">
        <v>1011</v>
      </c>
      <c r="B565" t="s">
        <v>17</v>
      </c>
      <c r="C565" t="s">
        <v>76</v>
      </c>
      <c r="D565" t="s">
        <v>77</v>
      </c>
      <c r="E565">
        <v>18</v>
      </c>
      <c r="F565" t="s">
        <v>147</v>
      </c>
      <c r="G565">
        <v>90</v>
      </c>
      <c r="H565">
        <v>4725389</v>
      </c>
      <c r="I565">
        <v>173202</v>
      </c>
      <c r="J565">
        <v>63</v>
      </c>
      <c r="K565">
        <v>83</v>
      </c>
      <c r="L565">
        <v>-4552187</v>
      </c>
      <c r="M565" s="1" t="s">
        <v>1021</v>
      </c>
      <c r="N565">
        <v>3.53575140280133E-2</v>
      </c>
      <c r="O565" s="1" t="s">
        <v>1022</v>
      </c>
      <c r="P565">
        <v>0</v>
      </c>
      <c r="Q565">
        <v>0</v>
      </c>
      <c r="R565">
        <v>0</v>
      </c>
      <c r="S565">
        <v>0</v>
      </c>
      <c r="T565">
        <v>10.352380159999999</v>
      </c>
      <c r="U565">
        <f t="shared" si="16"/>
        <v>0</v>
      </c>
      <c r="V565">
        <f t="shared" si="17"/>
        <v>0</v>
      </c>
    </row>
    <row r="566" spans="1:22" x14ac:dyDescent="0.2">
      <c r="A566" t="s">
        <v>1011</v>
      </c>
      <c r="B566" t="s">
        <v>17</v>
      </c>
      <c r="C566" t="s">
        <v>76</v>
      </c>
      <c r="D566" t="s">
        <v>77</v>
      </c>
      <c r="E566" s="1" t="s">
        <v>89</v>
      </c>
      <c r="F566" t="s">
        <v>90</v>
      </c>
      <c r="G566">
        <v>29</v>
      </c>
      <c r="H566">
        <v>7024691</v>
      </c>
      <c r="I566">
        <v>0</v>
      </c>
      <c r="J566">
        <v>63</v>
      </c>
      <c r="K566">
        <v>81</v>
      </c>
      <c r="L566">
        <v>-7024691</v>
      </c>
      <c r="M566">
        <v>1</v>
      </c>
      <c r="N566">
        <v>0</v>
      </c>
      <c r="O566">
        <v>1.2981509184997601E-3</v>
      </c>
      <c r="P566">
        <v>0</v>
      </c>
      <c r="Q566">
        <v>0</v>
      </c>
      <c r="R566">
        <v>0</v>
      </c>
      <c r="S566">
        <v>0</v>
      </c>
      <c r="T566">
        <v>10.352380159999999</v>
      </c>
      <c r="U566">
        <f t="shared" si="16"/>
        <v>0</v>
      </c>
      <c r="V566">
        <f t="shared" si="17"/>
        <v>0</v>
      </c>
    </row>
    <row r="567" spans="1:22" x14ac:dyDescent="0.2">
      <c r="A567" t="s">
        <v>1011</v>
      </c>
      <c r="B567" t="s">
        <v>17</v>
      </c>
      <c r="C567" t="s">
        <v>76</v>
      </c>
      <c r="D567" t="s">
        <v>77</v>
      </c>
      <c r="E567" s="1" t="s">
        <v>89</v>
      </c>
      <c r="F567" t="s">
        <v>90</v>
      </c>
      <c r="G567">
        <v>34</v>
      </c>
      <c r="H567">
        <v>1190952</v>
      </c>
      <c r="I567">
        <v>1289</v>
      </c>
      <c r="J567">
        <v>48</v>
      </c>
      <c r="K567">
        <v>81</v>
      </c>
      <c r="L567">
        <v>-1189663</v>
      </c>
      <c r="M567" s="1" t="s">
        <v>1023</v>
      </c>
      <c r="N567">
        <v>1.0811572492474199E-3</v>
      </c>
      <c r="O567" s="1" t="s">
        <v>1024</v>
      </c>
      <c r="P567">
        <v>0</v>
      </c>
      <c r="Q567">
        <v>0</v>
      </c>
      <c r="R567">
        <v>0</v>
      </c>
      <c r="S567">
        <v>0</v>
      </c>
      <c r="T567">
        <v>10.352380159999999</v>
      </c>
      <c r="U567">
        <f t="shared" si="16"/>
        <v>0</v>
      </c>
      <c r="V567">
        <f t="shared" si="17"/>
        <v>0</v>
      </c>
    </row>
    <row r="568" spans="1:22" x14ac:dyDescent="0.2">
      <c r="A568" t="s">
        <v>1011</v>
      </c>
      <c r="B568" t="s">
        <v>17</v>
      </c>
      <c r="C568" t="s">
        <v>76</v>
      </c>
      <c r="D568" t="s">
        <v>77</v>
      </c>
      <c r="E568" s="1" t="s">
        <v>93</v>
      </c>
      <c r="F568" t="s">
        <v>94</v>
      </c>
      <c r="G568">
        <v>44</v>
      </c>
      <c r="H568">
        <v>1046398</v>
      </c>
      <c r="I568">
        <v>28381</v>
      </c>
      <c r="J568">
        <v>92</v>
      </c>
      <c r="K568">
        <v>73</v>
      </c>
      <c r="L568">
        <v>-1018017</v>
      </c>
      <c r="M568" s="1" t="s">
        <v>1025</v>
      </c>
      <c r="N568" s="1" t="s">
        <v>1026</v>
      </c>
      <c r="O568" s="1" t="s">
        <v>1027</v>
      </c>
      <c r="P568">
        <v>0</v>
      </c>
      <c r="Q568">
        <v>0</v>
      </c>
      <c r="R568">
        <v>0</v>
      </c>
      <c r="S568">
        <v>0</v>
      </c>
      <c r="T568">
        <v>10.352380159999999</v>
      </c>
      <c r="U568">
        <f t="shared" si="16"/>
        <v>0</v>
      </c>
      <c r="V568">
        <f t="shared" si="17"/>
        <v>0</v>
      </c>
    </row>
    <row r="569" spans="1:22" x14ac:dyDescent="0.2">
      <c r="A569" t="s">
        <v>1011</v>
      </c>
      <c r="B569" t="s">
        <v>17</v>
      </c>
      <c r="C569" t="s">
        <v>76</v>
      </c>
      <c r="D569" t="s">
        <v>77</v>
      </c>
      <c r="E569">
        <v>15</v>
      </c>
      <c r="F569" t="s">
        <v>88</v>
      </c>
      <c r="G569">
        <v>73</v>
      </c>
      <c r="H569">
        <v>3644665</v>
      </c>
      <c r="I569">
        <v>115512</v>
      </c>
      <c r="J569">
        <v>61</v>
      </c>
      <c r="K569">
        <v>76</v>
      </c>
      <c r="L569">
        <v>-3529153</v>
      </c>
      <c r="M569" s="1" t="s">
        <v>1028</v>
      </c>
      <c r="N569" s="1" t="s">
        <v>1029</v>
      </c>
      <c r="O569" s="1" t="s">
        <v>1030</v>
      </c>
      <c r="P569">
        <v>0</v>
      </c>
      <c r="Q569">
        <v>0</v>
      </c>
      <c r="R569">
        <v>0</v>
      </c>
      <c r="S569">
        <v>0</v>
      </c>
      <c r="T569">
        <v>10.352380159999999</v>
      </c>
      <c r="U569">
        <f t="shared" si="16"/>
        <v>0</v>
      </c>
      <c r="V569">
        <f t="shared" si="17"/>
        <v>0</v>
      </c>
    </row>
    <row r="570" spans="1:22" x14ac:dyDescent="0.2">
      <c r="A570" t="s">
        <v>1011</v>
      </c>
      <c r="B570" t="s">
        <v>17</v>
      </c>
      <c r="C570" t="s">
        <v>76</v>
      </c>
      <c r="D570" t="s">
        <v>77</v>
      </c>
      <c r="E570">
        <v>17</v>
      </c>
      <c r="F570" t="s">
        <v>97</v>
      </c>
      <c r="G570">
        <v>87</v>
      </c>
      <c r="H570">
        <v>3018513</v>
      </c>
      <c r="I570">
        <v>0</v>
      </c>
      <c r="J570">
        <v>73</v>
      </c>
      <c r="K570">
        <v>96</v>
      </c>
      <c r="L570">
        <v>-3018513</v>
      </c>
      <c r="M570">
        <v>1</v>
      </c>
      <c r="N570">
        <v>0</v>
      </c>
      <c r="O570" s="1" t="s">
        <v>1031</v>
      </c>
      <c r="P570">
        <v>0</v>
      </c>
      <c r="Q570">
        <v>0</v>
      </c>
      <c r="R570">
        <v>0</v>
      </c>
      <c r="S570">
        <v>0</v>
      </c>
      <c r="T570">
        <v>10.352380159999999</v>
      </c>
      <c r="U570">
        <f t="shared" si="16"/>
        <v>0</v>
      </c>
      <c r="V570">
        <f t="shared" si="17"/>
        <v>0</v>
      </c>
    </row>
    <row r="571" spans="1:22" x14ac:dyDescent="0.2">
      <c r="A571" t="s">
        <v>1011</v>
      </c>
      <c r="B571" t="s">
        <v>17</v>
      </c>
      <c r="C571" t="s">
        <v>76</v>
      </c>
      <c r="D571" t="s">
        <v>77</v>
      </c>
      <c r="E571">
        <v>99</v>
      </c>
      <c r="F571" t="s">
        <v>78</v>
      </c>
      <c r="G571">
        <v>99</v>
      </c>
      <c r="H571">
        <v>451658</v>
      </c>
      <c r="I571">
        <v>6778</v>
      </c>
      <c r="J571">
        <v>62</v>
      </c>
      <c r="K571">
        <v>89</v>
      </c>
      <c r="L571">
        <v>-444880</v>
      </c>
      <c r="M571" s="1" t="s">
        <v>1032</v>
      </c>
      <c r="N571">
        <v>1.47850517847638E-2</v>
      </c>
      <c r="O571" s="1" t="s">
        <v>1033</v>
      </c>
      <c r="P571">
        <v>0</v>
      </c>
      <c r="Q571">
        <v>0</v>
      </c>
      <c r="R571">
        <v>0</v>
      </c>
      <c r="S571">
        <v>0</v>
      </c>
      <c r="T571">
        <v>10.352380159999999</v>
      </c>
      <c r="U571">
        <f t="shared" si="16"/>
        <v>0</v>
      </c>
      <c r="V571">
        <f t="shared" si="17"/>
        <v>0</v>
      </c>
    </row>
    <row r="572" spans="1:22" x14ac:dyDescent="0.2">
      <c r="A572" t="s">
        <v>1011</v>
      </c>
      <c r="B572" t="s">
        <v>17</v>
      </c>
      <c r="C572" t="s">
        <v>76</v>
      </c>
      <c r="D572" t="s">
        <v>77</v>
      </c>
      <c r="E572" s="1" t="s">
        <v>85</v>
      </c>
      <c r="F572" t="s">
        <v>86</v>
      </c>
      <c r="G572">
        <v>27</v>
      </c>
      <c r="H572">
        <v>250441854</v>
      </c>
      <c r="I572">
        <v>308350</v>
      </c>
      <c r="J572">
        <v>74</v>
      </c>
      <c r="K572">
        <v>64</v>
      </c>
      <c r="L572">
        <v>-250133504</v>
      </c>
      <c r="M572" s="1" t="s">
        <v>1034</v>
      </c>
      <c r="N572">
        <v>1.22970986695588E-3</v>
      </c>
      <c r="O572">
        <v>4.6338210127193302E-2</v>
      </c>
      <c r="P572">
        <v>0</v>
      </c>
      <c r="Q572">
        <v>0</v>
      </c>
      <c r="R572">
        <v>0</v>
      </c>
      <c r="S572">
        <v>0</v>
      </c>
      <c r="T572">
        <v>10.352380159999999</v>
      </c>
      <c r="U572">
        <f t="shared" si="16"/>
        <v>0</v>
      </c>
      <c r="V572">
        <f t="shared" si="17"/>
        <v>0</v>
      </c>
    </row>
    <row r="573" spans="1:22" x14ac:dyDescent="0.2">
      <c r="A573" t="s">
        <v>1011</v>
      </c>
      <c r="B573" t="s">
        <v>17</v>
      </c>
      <c r="C573" t="s">
        <v>76</v>
      </c>
      <c r="D573" t="s">
        <v>77</v>
      </c>
      <c r="E573">
        <v>15</v>
      </c>
      <c r="F573" t="s">
        <v>88</v>
      </c>
      <c r="G573">
        <v>82</v>
      </c>
      <c r="H573">
        <v>1051157</v>
      </c>
      <c r="I573">
        <v>53352</v>
      </c>
      <c r="J573">
        <v>61</v>
      </c>
      <c r="K573">
        <v>68</v>
      </c>
      <c r="L573">
        <v>-997805</v>
      </c>
      <c r="M573" s="1" t="s">
        <v>1035</v>
      </c>
      <c r="N573">
        <v>4.8303816446946098E-2</v>
      </c>
      <c r="O573" s="1" t="s">
        <v>1036</v>
      </c>
      <c r="P573">
        <v>0</v>
      </c>
      <c r="Q573">
        <v>0</v>
      </c>
      <c r="R573">
        <v>0</v>
      </c>
      <c r="S573">
        <v>0</v>
      </c>
      <c r="T573">
        <v>10.352380159999999</v>
      </c>
      <c r="U573">
        <f t="shared" si="16"/>
        <v>0</v>
      </c>
      <c r="V573">
        <f t="shared" si="17"/>
        <v>0</v>
      </c>
    </row>
    <row r="574" spans="1:22" x14ac:dyDescent="0.2">
      <c r="A574" t="s">
        <v>1011</v>
      </c>
      <c r="B574" t="s">
        <v>17</v>
      </c>
      <c r="C574" t="s">
        <v>76</v>
      </c>
      <c r="D574" t="s">
        <v>77</v>
      </c>
      <c r="E574" s="1" t="s">
        <v>89</v>
      </c>
      <c r="F574" t="s">
        <v>90</v>
      </c>
      <c r="G574">
        <v>33</v>
      </c>
      <c r="H574">
        <v>589961</v>
      </c>
      <c r="I574">
        <v>598</v>
      </c>
      <c r="J574">
        <v>73</v>
      </c>
      <c r="K574">
        <v>87</v>
      </c>
      <c r="L574">
        <v>-589363</v>
      </c>
      <c r="M574" s="1" t="s">
        <v>1037</v>
      </c>
      <c r="N574">
        <v>1.0125999265103E-3</v>
      </c>
      <c r="O574" s="1" t="s">
        <v>1038</v>
      </c>
      <c r="P574">
        <v>0</v>
      </c>
      <c r="Q574">
        <v>0</v>
      </c>
      <c r="R574">
        <v>0</v>
      </c>
      <c r="S574">
        <v>0</v>
      </c>
      <c r="T574">
        <v>10.352380159999999</v>
      </c>
      <c r="U574">
        <f t="shared" si="16"/>
        <v>0</v>
      </c>
      <c r="V574">
        <f t="shared" si="17"/>
        <v>0</v>
      </c>
    </row>
    <row r="575" spans="1:22" x14ac:dyDescent="0.2">
      <c r="A575" t="s">
        <v>1011</v>
      </c>
      <c r="B575" t="s">
        <v>17</v>
      </c>
      <c r="C575" t="s">
        <v>76</v>
      </c>
      <c r="D575" t="s">
        <v>77</v>
      </c>
      <c r="E575">
        <v>10</v>
      </c>
      <c r="F575" t="s">
        <v>119</v>
      </c>
      <c r="G575">
        <v>47</v>
      </c>
      <c r="H575">
        <v>1992920</v>
      </c>
      <c r="I575">
        <v>0</v>
      </c>
      <c r="J575">
        <v>46</v>
      </c>
      <c r="K575">
        <v>37</v>
      </c>
      <c r="L575">
        <v>-1992920</v>
      </c>
      <c r="M575">
        <v>1</v>
      </c>
      <c r="N575">
        <v>0</v>
      </c>
      <c r="O575" s="1" t="s">
        <v>1039</v>
      </c>
      <c r="P575">
        <v>0</v>
      </c>
      <c r="Q575">
        <v>0</v>
      </c>
      <c r="R575">
        <v>0</v>
      </c>
      <c r="S575">
        <v>0</v>
      </c>
      <c r="T575">
        <v>10.352380159999999</v>
      </c>
      <c r="U575">
        <f t="shared" si="16"/>
        <v>0</v>
      </c>
      <c r="V575">
        <f t="shared" si="17"/>
        <v>0</v>
      </c>
    </row>
    <row r="576" spans="1:22" x14ac:dyDescent="0.2">
      <c r="A576" t="s">
        <v>1011</v>
      </c>
      <c r="B576" t="s">
        <v>17</v>
      </c>
      <c r="C576" t="s">
        <v>76</v>
      </c>
      <c r="D576" t="s">
        <v>77</v>
      </c>
      <c r="E576">
        <v>17</v>
      </c>
      <c r="F576" t="s">
        <v>97</v>
      </c>
      <c r="G576">
        <v>86</v>
      </c>
      <c r="H576">
        <v>48914</v>
      </c>
      <c r="I576">
        <v>0</v>
      </c>
      <c r="J576">
        <v>56</v>
      </c>
      <c r="K576">
        <v>64</v>
      </c>
      <c r="L576">
        <v>-48914</v>
      </c>
      <c r="M576">
        <v>1</v>
      </c>
      <c r="N576">
        <v>0</v>
      </c>
      <c r="O576" s="1" t="s">
        <v>1040</v>
      </c>
      <c r="P576">
        <v>0</v>
      </c>
      <c r="Q576">
        <v>0</v>
      </c>
      <c r="R576">
        <v>0</v>
      </c>
      <c r="S576">
        <v>0</v>
      </c>
      <c r="T576">
        <v>10.352380159999999</v>
      </c>
      <c r="U576">
        <f t="shared" si="16"/>
        <v>0</v>
      </c>
      <c r="V576">
        <f t="shared" si="17"/>
        <v>0</v>
      </c>
    </row>
    <row r="577" spans="1:22" x14ac:dyDescent="0.2">
      <c r="A577" t="s">
        <v>1011</v>
      </c>
      <c r="B577" t="s">
        <v>17</v>
      </c>
      <c r="C577" t="s">
        <v>76</v>
      </c>
      <c r="D577" t="s">
        <v>77</v>
      </c>
      <c r="E577">
        <v>20</v>
      </c>
      <c r="F577" t="s">
        <v>104</v>
      </c>
      <c r="G577">
        <v>94</v>
      </c>
      <c r="H577">
        <v>99422</v>
      </c>
      <c r="I577">
        <v>0</v>
      </c>
      <c r="J577">
        <v>85</v>
      </c>
      <c r="K577">
        <v>103</v>
      </c>
      <c r="L577">
        <v>-99422</v>
      </c>
      <c r="M577">
        <v>1</v>
      </c>
      <c r="N577">
        <v>0</v>
      </c>
      <c r="O577" s="1" t="s">
        <v>1041</v>
      </c>
      <c r="P577">
        <v>0</v>
      </c>
      <c r="Q577">
        <v>0</v>
      </c>
      <c r="R577">
        <v>0</v>
      </c>
      <c r="S577">
        <v>0</v>
      </c>
      <c r="T577">
        <v>10.352380159999999</v>
      </c>
      <c r="U577">
        <f t="shared" si="16"/>
        <v>0</v>
      </c>
      <c r="V577">
        <f t="shared" si="17"/>
        <v>0</v>
      </c>
    </row>
    <row r="578" spans="1:22" x14ac:dyDescent="0.2">
      <c r="A578" t="s">
        <v>1011</v>
      </c>
      <c r="B578" t="s">
        <v>17</v>
      </c>
      <c r="C578" t="s">
        <v>76</v>
      </c>
      <c r="D578" t="s">
        <v>77</v>
      </c>
      <c r="E578" s="1" t="s">
        <v>155</v>
      </c>
      <c r="F578" t="s">
        <v>156</v>
      </c>
      <c r="G578" s="1" t="s">
        <v>85</v>
      </c>
      <c r="H578">
        <v>7749956</v>
      </c>
      <c r="I578">
        <v>0</v>
      </c>
      <c r="J578">
        <v>12</v>
      </c>
      <c r="K578">
        <v>72</v>
      </c>
      <c r="L578">
        <v>-7749956</v>
      </c>
      <c r="M578">
        <v>1</v>
      </c>
      <c r="N578">
        <v>0</v>
      </c>
      <c r="O578">
        <v>1.4321786537988301E-3</v>
      </c>
      <c r="P578">
        <v>0</v>
      </c>
      <c r="Q578">
        <v>0</v>
      </c>
      <c r="R578">
        <v>0</v>
      </c>
      <c r="S578">
        <v>0</v>
      </c>
      <c r="T578">
        <v>10.352380159999999</v>
      </c>
      <c r="U578">
        <f t="shared" si="16"/>
        <v>0</v>
      </c>
      <c r="V578">
        <f t="shared" si="17"/>
        <v>0</v>
      </c>
    </row>
    <row r="579" spans="1:22" x14ac:dyDescent="0.2">
      <c r="A579" t="s">
        <v>1011</v>
      </c>
      <c r="B579" t="s">
        <v>17</v>
      </c>
      <c r="C579" t="s">
        <v>76</v>
      </c>
      <c r="D579" t="s">
        <v>77</v>
      </c>
      <c r="E579">
        <v>15</v>
      </c>
      <c r="F579" t="s">
        <v>88</v>
      </c>
      <c r="G579">
        <v>83</v>
      </c>
      <c r="H579">
        <v>45747</v>
      </c>
      <c r="I579">
        <v>3791</v>
      </c>
      <c r="J579">
        <v>75</v>
      </c>
      <c r="K579">
        <v>72</v>
      </c>
      <c r="L579">
        <v>-41956</v>
      </c>
      <c r="M579" s="1" t="s">
        <v>1042</v>
      </c>
      <c r="N579">
        <v>7.6527110501029505E-2</v>
      </c>
      <c r="O579" s="1" t="s">
        <v>1043</v>
      </c>
      <c r="P579">
        <v>0</v>
      </c>
      <c r="Q579">
        <v>0</v>
      </c>
      <c r="R579">
        <v>0</v>
      </c>
      <c r="S579">
        <v>0</v>
      </c>
      <c r="T579">
        <v>10.352380159999999</v>
      </c>
      <c r="U579">
        <f t="shared" ref="U579:U642" si="18">IF(OR(P579=1,Q579=1),1,0)</f>
        <v>0</v>
      </c>
      <c r="V579">
        <f t="shared" ref="V579:V642" si="19">IF(OR(R579=1,S579=1),1,0)</f>
        <v>0</v>
      </c>
    </row>
    <row r="580" spans="1:22" x14ac:dyDescent="0.2">
      <c r="A580" t="s">
        <v>1011</v>
      </c>
      <c r="B580" t="s">
        <v>17</v>
      </c>
      <c r="C580" t="s">
        <v>76</v>
      </c>
      <c r="D580" t="s">
        <v>77</v>
      </c>
      <c r="E580">
        <v>13</v>
      </c>
      <c r="F580" t="s">
        <v>91</v>
      </c>
      <c r="G580">
        <v>70</v>
      </c>
      <c r="H580">
        <v>249896</v>
      </c>
      <c r="I580">
        <v>0</v>
      </c>
      <c r="J580">
        <v>78</v>
      </c>
      <c r="K580">
        <v>88</v>
      </c>
      <c r="L580">
        <v>-249896</v>
      </c>
      <c r="M580">
        <v>1</v>
      </c>
      <c r="N580">
        <v>0</v>
      </c>
      <c r="O580" s="1" t="s">
        <v>1044</v>
      </c>
      <c r="P580">
        <v>0</v>
      </c>
      <c r="Q580">
        <v>0</v>
      </c>
      <c r="R580">
        <v>0</v>
      </c>
      <c r="S580">
        <v>0</v>
      </c>
      <c r="T580">
        <v>10.352380159999999</v>
      </c>
      <c r="U580">
        <f t="shared" si="18"/>
        <v>0</v>
      </c>
      <c r="V580">
        <f t="shared" si="19"/>
        <v>0</v>
      </c>
    </row>
    <row r="581" spans="1:22" x14ac:dyDescent="0.2">
      <c r="A581" t="s">
        <v>1011</v>
      </c>
      <c r="B581" t="s">
        <v>17</v>
      </c>
      <c r="C581" t="s">
        <v>76</v>
      </c>
      <c r="D581" t="s">
        <v>77</v>
      </c>
      <c r="E581">
        <v>13</v>
      </c>
      <c r="F581" t="s">
        <v>91</v>
      </c>
      <c r="G581">
        <v>68</v>
      </c>
      <c r="H581">
        <v>12594</v>
      </c>
      <c r="I581">
        <v>0</v>
      </c>
      <c r="J581">
        <v>99</v>
      </c>
      <c r="K581">
        <v>85</v>
      </c>
      <c r="L581">
        <v>-12594</v>
      </c>
      <c r="M581">
        <v>1</v>
      </c>
      <c r="N581">
        <v>0</v>
      </c>
      <c r="O581" s="1" t="s">
        <v>1045</v>
      </c>
      <c r="P581">
        <v>0</v>
      </c>
      <c r="Q581">
        <v>0</v>
      </c>
      <c r="R581">
        <v>0</v>
      </c>
      <c r="S581">
        <v>0</v>
      </c>
      <c r="T581">
        <v>10.352380159999999</v>
      </c>
      <c r="U581">
        <f t="shared" si="18"/>
        <v>0</v>
      </c>
      <c r="V581">
        <f t="shared" si="19"/>
        <v>0</v>
      </c>
    </row>
    <row r="582" spans="1:22" x14ac:dyDescent="0.2">
      <c r="A582" t="s">
        <v>1011</v>
      </c>
      <c r="B582" t="s">
        <v>17</v>
      </c>
      <c r="C582" t="s">
        <v>76</v>
      </c>
      <c r="D582" t="s">
        <v>77</v>
      </c>
      <c r="E582">
        <v>18</v>
      </c>
      <c r="F582" t="s">
        <v>147</v>
      </c>
      <c r="G582">
        <v>92</v>
      </c>
      <c r="H582">
        <v>2098</v>
      </c>
      <c r="I582">
        <v>0</v>
      </c>
      <c r="J582">
        <v>73</v>
      </c>
      <c r="K582">
        <v>66</v>
      </c>
      <c r="L582">
        <v>-2098</v>
      </c>
      <c r="M582">
        <v>1</v>
      </c>
      <c r="N582">
        <v>0</v>
      </c>
      <c r="O582" s="1" t="s">
        <v>1046</v>
      </c>
      <c r="P582">
        <v>0</v>
      </c>
      <c r="Q582">
        <v>0</v>
      </c>
      <c r="R582">
        <v>0</v>
      </c>
      <c r="S582">
        <v>0</v>
      </c>
      <c r="T582">
        <v>10.352380159999999</v>
      </c>
      <c r="U582">
        <f t="shared" si="18"/>
        <v>0</v>
      </c>
      <c r="V582">
        <f t="shared" si="19"/>
        <v>0</v>
      </c>
    </row>
    <row r="583" spans="1:22" x14ac:dyDescent="0.2">
      <c r="A583" t="s">
        <v>1011</v>
      </c>
      <c r="B583" t="s">
        <v>17</v>
      </c>
      <c r="C583" t="s">
        <v>76</v>
      </c>
      <c r="D583" t="s">
        <v>77</v>
      </c>
      <c r="E583" s="1" t="s">
        <v>155</v>
      </c>
      <c r="F583" t="s">
        <v>156</v>
      </c>
      <c r="G583" s="1" t="s">
        <v>155</v>
      </c>
      <c r="H583">
        <v>2514</v>
      </c>
      <c r="I583">
        <v>64</v>
      </c>
      <c r="J583">
        <v>69</v>
      </c>
      <c r="K583">
        <v>73</v>
      </c>
      <c r="L583">
        <v>-2450</v>
      </c>
      <c r="M583" s="1" t="s">
        <v>1047</v>
      </c>
      <c r="N583">
        <v>2.48254460822342E-2</v>
      </c>
      <c r="O583" s="1" t="s">
        <v>1048</v>
      </c>
      <c r="P583">
        <v>0</v>
      </c>
      <c r="Q583">
        <v>0</v>
      </c>
      <c r="R583">
        <v>0</v>
      </c>
      <c r="S583">
        <v>0</v>
      </c>
      <c r="T583">
        <v>10.352380159999999</v>
      </c>
      <c r="U583">
        <f t="shared" si="18"/>
        <v>0</v>
      </c>
      <c r="V583">
        <f t="shared" si="19"/>
        <v>0</v>
      </c>
    </row>
    <row r="584" spans="1:22" x14ac:dyDescent="0.2">
      <c r="A584" t="s">
        <v>1011</v>
      </c>
      <c r="B584" t="s">
        <v>17</v>
      </c>
      <c r="C584" t="s">
        <v>76</v>
      </c>
      <c r="D584" t="s">
        <v>77</v>
      </c>
      <c r="E584" s="1" t="s">
        <v>89</v>
      </c>
      <c r="F584" t="s">
        <v>90</v>
      </c>
      <c r="G584">
        <v>35</v>
      </c>
      <c r="H584">
        <v>672</v>
      </c>
      <c r="I584">
        <v>0</v>
      </c>
      <c r="J584">
        <v>81</v>
      </c>
      <c r="K584">
        <v>73</v>
      </c>
      <c r="L584">
        <v>-672</v>
      </c>
      <c r="M584">
        <v>1</v>
      </c>
      <c r="N584">
        <v>0</v>
      </c>
      <c r="O584" s="1" t="s">
        <v>1049</v>
      </c>
      <c r="P584">
        <v>0</v>
      </c>
      <c r="Q584">
        <v>0</v>
      </c>
      <c r="R584">
        <v>0</v>
      </c>
      <c r="S584">
        <v>0</v>
      </c>
      <c r="T584">
        <v>10.352380159999999</v>
      </c>
      <c r="U584">
        <f t="shared" si="18"/>
        <v>0</v>
      </c>
      <c r="V584">
        <f t="shared" si="19"/>
        <v>0</v>
      </c>
    </row>
    <row r="585" spans="1:22" x14ac:dyDescent="0.2">
      <c r="A585" t="s">
        <v>1011</v>
      </c>
      <c r="B585" t="s">
        <v>17</v>
      </c>
      <c r="C585" t="s">
        <v>76</v>
      </c>
      <c r="D585" t="s">
        <v>77</v>
      </c>
      <c r="E585">
        <v>15</v>
      </c>
      <c r="F585" t="s">
        <v>88</v>
      </c>
      <c r="G585">
        <v>74</v>
      </c>
      <c r="H585">
        <v>11846</v>
      </c>
      <c r="I585">
        <v>3699511</v>
      </c>
      <c r="J585">
        <v>83</v>
      </c>
      <c r="K585">
        <v>44</v>
      </c>
      <c r="L585">
        <v>3687665</v>
      </c>
      <c r="M585">
        <v>3.1918244458832702E-3</v>
      </c>
      <c r="N585" s="1" t="s">
        <v>1050</v>
      </c>
      <c r="O585" s="1" t="s">
        <v>1051</v>
      </c>
      <c r="P585">
        <v>0</v>
      </c>
      <c r="Q585">
        <v>0</v>
      </c>
      <c r="R585">
        <v>0</v>
      </c>
      <c r="S585">
        <v>0</v>
      </c>
      <c r="T585">
        <v>10.352380159999999</v>
      </c>
      <c r="U585">
        <f t="shared" si="18"/>
        <v>0</v>
      </c>
      <c r="V585">
        <f t="shared" si="19"/>
        <v>0</v>
      </c>
    </row>
    <row r="586" spans="1:22" x14ac:dyDescent="0.2">
      <c r="A586" t="s">
        <v>1011</v>
      </c>
      <c r="B586" t="s">
        <v>17</v>
      </c>
      <c r="C586" t="s">
        <v>76</v>
      </c>
      <c r="D586" t="s">
        <v>77</v>
      </c>
      <c r="E586">
        <v>20</v>
      </c>
      <c r="F586" t="s">
        <v>104</v>
      </c>
      <c r="G586">
        <v>95</v>
      </c>
      <c r="H586">
        <v>89770</v>
      </c>
      <c r="I586">
        <v>370</v>
      </c>
      <c r="J586">
        <v>66</v>
      </c>
      <c r="K586">
        <v>83</v>
      </c>
      <c r="L586">
        <v>-89400</v>
      </c>
      <c r="M586" s="1" t="s">
        <v>1052</v>
      </c>
      <c r="N586">
        <v>4.1047259818060696E-3</v>
      </c>
      <c r="O586" s="1" t="s">
        <v>1053</v>
      </c>
      <c r="P586">
        <v>0</v>
      </c>
      <c r="Q586">
        <v>0</v>
      </c>
      <c r="R586">
        <v>0</v>
      </c>
      <c r="S586">
        <v>0</v>
      </c>
      <c r="T586">
        <v>10.352380159999999</v>
      </c>
      <c r="U586">
        <f t="shared" si="18"/>
        <v>0</v>
      </c>
      <c r="V586">
        <f t="shared" si="19"/>
        <v>0</v>
      </c>
    </row>
    <row r="587" spans="1:22" x14ac:dyDescent="0.2">
      <c r="A587" t="s">
        <v>1011</v>
      </c>
      <c r="B587" t="s">
        <v>17</v>
      </c>
      <c r="C587" t="s">
        <v>76</v>
      </c>
      <c r="D587" t="s">
        <v>77</v>
      </c>
      <c r="E587" s="1" t="s">
        <v>82</v>
      </c>
      <c r="F587" t="s">
        <v>83</v>
      </c>
      <c r="G587" s="1" t="s">
        <v>163</v>
      </c>
      <c r="H587">
        <v>0</v>
      </c>
      <c r="I587">
        <v>3175342189</v>
      </c>
      <c r="J587">
        <v>74</v>
      </c>
      <c r="K587">
        <v>1</v>
      </c>
      <c r="L587">
        <v>3175342189</v>
      </c>
      <c r="M587">
        <v>0</v>
      </c>
      <c r="N587">
        <v>1</v>
      </c>
      <c r="O587" s="1" t="s">
        <v>1054</v>
      </c>
      <c r="P587">
        <v>0</v>
      </c>
      <c r="Q587">
        <v>1</v>
      </c>
      <c r="R587">
        <v>0</v>
      </c>
      <c r="S587">
        <v>1</v>
      </c>
      <c r="T587">
        <v>10.352380159999999</v>
      </c>
      <c r="U587">
        <f t="shared" si="18"/>
        <v>1</v>
      </c>
      <c r="V587">
        <f t="shared" si="19"/>
        <v>1</v>
      </c>
    </row>
    <row r="588" spans="1:22" x14ac:dyDescent="0.2">
      <c r="A588" t="s">
        <v>1011</v>
      </c>
      <c r="B588" t="s">
        <v>17</v>
      </c>
      <c r="C588" t="s">
        <v>76</v>
      </c>
      <c r="D588" t="s">
        <v>77</v>
      </c>
      <c r="E588" s="1" t="s">
        <v>82</v>
      </c>
      <c r="F588" t="s">
        <v>83</v>
      </c>
      <c r="G588" s="1" t="s">
        <v>89</v>
      </c>
      <c r="H588">
        <v>0</v>
      </c>
      <c r="I588">
        <v>646367887</v>
      </c>
      <c r="J588">
        <v>49</v>
      </c>
      <c r="K588">
        <v>2</v>
      </c>
      <c r="L588">
        <v>646367887</v>
      </c>
      <c r="M588">
        <v>0</v>
      </c>
      <c r="N588">
        <v>1</v>
      </c>
      <c r="O588" s="1" t="s">
        <v>1055</v>
      </c>
      <c r="P588">
        <v>0</v>
      </c>
      <c r="Q588">
        <v>1</v>
      </c>
      <c r="R588">
        <v>0</v>
      </c>
      <c r="S588">
        <v>1</v>
      </c>
      <c r="T588">
        <v>10.352380159999999</v>
      </c>
      <c r="U588">
        <f t="shared" si="18"/>
        <v>1</v>
      </c>
      <c r="V588">
        <f t="shared" si="19"/>
        <v>1</v>
      </c>
    </row>
    <row r="589" spans="1:22" x14ac:dyDescent="0.2">
      <c r="A589" t="s">
        <v>1011</v>
      </c>
      <c r="B589" t="s">
        <v>17</v>
      </c>
      <c r="C589" t="s">
        <v>76</v>
      </c>
      <c r="D589" t="s">
        <v>77</v>
      </c>
      <c r="E589" s="1" t="s">
        <v>82</v>
      </c>
      <c r="F589" t="s">
        <v>83</v>
      </c>
      <c r="G589" s="1" t="s">
        <v>99</v>
      </c>
      <c r="H589">
        <v>0</v>
      </c>
      <c r="I589">
        <v>5869988</v>
      </c>
      <c r="J589">
        <v>106</v>
      </c>
      <c r="K589">
        <v>29</v>
      </c>
      <c r="L589">
        <v>5869988</v>
      </c>
      <c r="M589">
        <v>0</v>
      </c>
      <c r="N589">
        <v>1</v>
      </c>
      <c r="O589">
        <v>1.0847637730659701E-3</v>
      </c>
      <c r="P589">
        <v>0</v>
      </c>
      <c r="Q589">
        <v>0</v>
      </c>
      <c r="R589">
        <v>0</v>
      </c>
      <c r="S589">
        <v>0</v>
      </c>
      <c r="T589">
        <v>10.352380159999999</v>
      </c>
      <c r="U589">
        <f t="shared" si="18"/>
        <v>0</v>
      </c>
      <c r="V589">
        <f t="shared" si="19"/>
        <v>0</v>
      </c>
    </row>
    <row r="590" spans="1:22" x14ac:dyDescent="0.2">
      <c r="A590" t="s">
        <v>1011</v>
      </c>
      <c r="B590" t="s">
        <v>17</v>
      </c>
      <c r="C590" t="s">
        <v>76</v>
      </c>
      <c r="D590" t="s">
        <v>77</v>
      </c>
      <c r="E590" s="1" t="s">
        <v>138</v>
      </c>
      <c r="F590" t="s">
        <v>139</v>
      </c>
      <c r="G590">
        <v>18</v>
      </c>
      <c r="H590">
        <v>10452</v>
      </c>
      <c r="I590">
        <v>2244280</v>
      </c>
      <c r="J590">
        <v>86</v>
      </c>
      <c r="K590">
        <v>39</v>
      </c>
      <c r="L590">
        <v>2233828</v>
      </c>
      <c r="M590">
        <v>4.6355841847279403E-3</v>
      </c>
      <c r="N590">
        <v>0.99536441581527202</v>
      </c>
      <c r="O590" s="1" t="s">
        <v>1056</v>
      </c>
      <c r="P590">
        <v>0</v>
      </c>
      <c r="Q590">
        <v>0</v>
      </c>
      <c r="R590">
        <v>0</v>
      </c>
      <c r="S590">
        <v>0</v>
      </c>
      <c r="T590">
        <v>10.352380159999999</v>
      </c>
      <c r="U590">
        <f t="shared" si="18"/>
        <v>0</v>
      </c>
      <c r="V590">
        <f t="shared" si="19"/>
        <v>0</v>
      </c>
    </row>
    <row r="591" spans="1:22" x14ac:dyDescent="0.2">
      <c r="A591" t="s">
        <v>1011</v>
      </c>
      <c r="B591" t="s">
        <v>17</v>
      </c>
      <c r="C591" t="s">
        <v>76</v>
      </c>
      <c r="D591" t="s">
        <v>77</v>
      </c>
      <c r="E591" s="1" t="s">
        <v>155</v>
      </c>
      <c r="F591" t="s">
        <v>156</v>
      </c>
      <c r="G591" s="1" t="s">
        <v>110</v>
      </c>
      <c r="H591">
        <v>0</v>
      </c>
      <c r="I591">
        <v>262560586</v>
      </c>
      <c r="J591">
        <v>108</v>
      </c>
      <c r="K591">
        <v>10</v>
      </c>
      <c r="L591">
        <v>262560586</v>
      </c>
      <c r="M591">
        <v>0</v>
      </c>
      <c r="N591">
        <v>1</v>
      </c>
      <c r="O591" s="1" t="s">
        <v>1057</v>
      </c>
      <c r="P591">
        <v>0</v>
      </c>
      <c r="Q591">
        <v>0</v>
      </c>
      <c r="R591">
        <v>0</v>
      </c>
      <c r="S591">
        <v>1</v>
      </c>
      <c r="T591">
        <v>10.352380159999999</v>
      </c>
      <c r="U591">
        <f t="shared" si="18"/>
        <v>0</v>
      </c>
      <c r="V591">
        <f t="shared" si="19"/>
        <v>1</v>
      </c>
    </row>
    <row r="592" spans="1:22" x14ac:dyDescent="0.2">
      <c r="A592" t="s">
        <v>1011</v>
      </c>
      <c r="B592" t="s">
        <v>17</v>
      </c>
      <c r="C592" t="s">
        <v>76</v>
      </c>
      <c r="D592" t="s">
        <v>77</v>
      </c>
      <c r="E592">
        <v>11</v>
      </c>
      <c r="F592" t="s">
        <v>127</v>
      </c>
      <c r="G592">
        <v>62</v>
      </c>
      <c r="H592">
        <v>21529</v>
      </c>
      <c r="I592">
        <v>5634</v>
      </c>
      <c r="J592">
        <v>80</v>
      </c>
      <c r="K592">
        <v>85</v>
      </c>
      <c r="L592">
        <v>-15895</v>
      </c>
      <c r="M592" s="1" t="s">
        <v>1058</v>
      </c>
      <c r="N592" s="1" t="s">
        <v>1059</v>
      </c>
      <c r="O592" s="1" t="s">
        <v>1060</v>
      </c>
      <c r="P592">
        <v>0</v>
      </c>
      <c r="Q592">
        <v>0</v>
      </c>
      <c r="R592">
        <v>0</v>
      </c>
      <c r="S592">
        <v>0</v>
      </c>
      <c r="T592">
        <v>10.352380159999999</v>
      </c>
      <c r="U592">
        <f t="shared" si="18"/>
        <v>0</v>
      </c>
      <c r="V592">
        <f t="shared" si="19"/>
        <v>0</v>
      </c>
    </row>
    <row r="593" spans="1:22" x14ac:dyDescent="0.2">
      <c r="A593" t="s">
        <v>1011</v>
      </c>
      <c r="B593" t="s">
        <v>17</v>
      </c>
      <c r="C593" t="s">
        <v>76</v>
      </c>
      <c r="D593" t="s">
        <v>77</v>
      </c>
      <c r="E593">
        <v>17</v>
      </c>
      <c r="F593" t="s">
        <v>97</v>
      </c>
      <c r="G593">
        <v>88</v>
      </c>
      <c r="H593">
        <v>10180</v>
      </c>
      <c r="I593">
        <v>86542</v>
      </c>
      <c r="J593">
        <v>96</v>
      </c>
      <c r="K593">
        <v>59</v>
      </c>
      <c r="L593">
        <v>76362</v>
      </c>
      <c r="M593" s="1" t="s">
        <v>1061</v>
      </c>
      <c r="N593" s="1" t="s">
        <v>1062</v>
      </c>
      <c r="O593" s="1" t="s">
        <v>1063</v>
      </c>
      <c r="P593">
        <v>0</v>
      </c>
      <c r="Q593">
        <v>0</v>
      </c>
      <c r="R593">
        <v>0</v>
      </c>
      <c r="S593">
        <v>0</v>
      </c>
      <c r="T593">
        <v>10.352380159999999</v>
      </c>
      <c r="U593">
        <f t="shared" si="18"/>
        <v>0</v>
      </c>
      <c r="V593">
        <f t="shared" si="19"/>
        <v>0</v>
      </c>
    </row>
    <row r="594" spans="1:22" x14ac:dyDescent="0.2">
      <c r="A594" t="s">
        <v>1011</v>
      </c>
      <c r="B594" t="s">
        <v>17</v>
      </c>
      <c r="C594" t="s">
        <v>76</v>
      </c>
      <c r="D594" t="s">
        <v>77</v>
      </c>
      <c r="E594" s="1" t="s">
        <v>82</v>
      </c>
      <c r="F594" t="s">
        <v>83</v>
      </c>
      <c r="G594" s="1" t="s">
        <v>93</v>
      </c>
      <c r="H594">
        <v>0</v>
      </c>
      <c r="I594">
        <v>228523</v>
      </c>
      <c r="J594">
        <v>105</v>
      </c>
      <c r="K594">
        <v>73</v>
      </c>
      <c r="L594">
        <v>228523</v>
      </c>
      <c r="M594">
        <v>0</v>
      </c>
      <c r="N594">
        <v>1</v>
      </c>
      <c r="O594" s="1" t="s">
        <v>1064</v>
      </c>
      <c r="P594">
        <v>0</v>
      </c>
      <c r="Q594">
        <v>0</v>
      </c>
      <c r="R594">
        <v>0</v>
      </c>
      <c r="S594">
        <v>0</v>
      </c>
      <c r="T594">
        <v>10.352380159999999</v>
      </c>
      <c r="U594">
        <f t="shared" si="18"/>
        <v>0</v>
      </c>
      <c r="V594">
        <f t="shared" si="19"/>
        <v>0</v>
      </c>
    </row>
    <row r="595" spans="1:22" x14ac:dyDescent="0.2">
      <c r="A595" t="s">
        <v>1011</v>
      </c>
      <c r="B595" t="s">
        <v>17</v>
      </c>
      <c r="C595" t="s">
        <v>76</v>
      </c>
      <c r="D595" t="s">
        <v>77</v>
      </c>
      <c r="E595" s="1" t="s">
        <v>138</v>
      </c>
      <c r="F595" t="s">
        <v>139</v>
      </c>
      <c r="G595">
        <v>23</v>
      </c>
      <c r="H595">
        <v>0</v>
      </c>
      <c r="I595">
        <v>600060</v>
      </c>
      <c r="J595">
        <v>95</v>
      </c>
      <c r="K595">
        <v>47</v>
      </c>
      <c r="L595">
        <v>600060</v>
      </c>
      <c r="M595">
        <v>0</v>
      </c>
      <c r="N595">
        <v>1</v>
      </c>
      <c r="O595" s="1" t="s">
        <v>1065</v>
      </c>
      <c r="P595">
        <v>0</v>
      </c>
      <c r="Q595">
        <v>0</v>
      </c>
      <c r="R595">
        <v>0</v>
      </c>
      <c r="S595">
        <v>0</v>
      </c>
      <c r="T595">
        <v>10.352380159999999</v>
      </c>
      <c r="U595">
        <f t="shared" si="18"/>
        <v>0</v>
      </c>
      <c r="V595">
        <f t="shared" si="19"/>
        <v>0</v>
      </c>
    </row>
    <row r="596" spans="1:22" x14ac:dyDescent="0.2">
      <c r="A596" t="s">
        <v>1011</v>
      </c>
      <c r="B596" t="s">
        <v>17</v>
      </c>
      <c r="C596" t="s">
        <v>76</v>
      </c>
      <c r="D596" t="s">
        <v>77</v>
      </c>
      <c r="E596" s="1" t="s">
        <v>138</v>
      </c>
      <c r="F596" t="s">
        <v>139</v>
      </c>
      <c r="G596">
        <v>16</v>
      </c>
      <c r="H596">
        <v>0</v>
      </c>
      <c r="I596">
        <v>16307346</v>
      </c>
      <c r="J596">
        <v>83</v>
      </c>
      <c r="K596">
        <v>12</v>
      </c>
      <c r="L596">
        <v>16307346</v>
      </c>
      <c r="M596">
        <v>0</v>
      </c>
      <c r="N596">
        <v>1</v>
      </c>
      <c r="O596">
        <v>3.0135697339845201E-3</v>
      </c>
      <c r="P596">
        <v>0</v>
      </c>
      <c r="Q596">
        <v>0</v>
      </c>
      <c r="R596">
        <v>0</v>
      </c>
      <c r="S596">
        <v>0</v>
      </c>
      <c r="T596">
        <v>10.352380159999999</v>
      </c>
      <c r="U596">
        <f t="shared" si="18"/>
        <v>0</v>
      </c>
      <c r="V596">
        <f t="shared" si="19"/>
        <v>0</v>
      </c>
    </row>
    <row r="597" spans="1:22" x14ac:dyDescent="0.2">
      <c r="A597" t="s">
        <v>1011</v>
      </c>
      <c r="B597" t="s">
        <v>17</v>
      </c>
      <c r="C597" t="s">
        <v>76</v>
      </c>
      <c r="D597" t="s">
        <v>77</v>
      </c>
      <c r="E597" s="1" t="s">
        <v>138</v>
      </c>
      <c r="F597" t="s">
        <v>139</v>
      </c>
      <c r="G597">
        <v>20</v>
      </c>
      <c r="H597">
        <v>0</v>
      </c>
      <c r="I597">
        <v>29926240</v>
      </c>
      <c r="J597">
        <v>88</v>
      </c>
      <c r="K597">
        <v>30</v>
      </c>
      <c r="L597">
        <v>29926240</v>
      </c>
      <c r="M597">
        <v>0</v>
      </c>
      <c r="N597">
        <v>1</v>
      </c>
      <c r="O597">
        <v>5.5303181226397701E-3</v>
      </c>
      <c r="P597">
        <v>0</v>
      </c>
      <c r="Q597">
        <v>0</v>
      </c>
      <c r="R597">
        <v>0</v>
      </c>
      <c r="S597">
        <v>0</v>
      </c>
      <c r="T597">
        <v>10.352380159999999</v>
      </c>
      <c r="U597">
        <f t="shared" si="18"/>
        <v>0</v>
      </c>
      <c r="V597">
        <f t="shared" si="19"/>
        <v>0</v>
      </c>
    </row>
    <row r="598" spans="1:22" x14ac:dyDescent="0.2">
      <c r="A598" t="s">
        <v>1011</v>
      </c>
      <c r="B598" t="s">
        <v>17</v>
      </c>
      <c r="C598" t="s">
        <v>76</v>
      </c>
      <c r="D598" t="s">
        <v>77</v>
      </c>
      <c r="E598" s="1" t="s">
        <v>138</v>
      </c>
      <c r="F598" t="s">
        <v>139</v>
      </c>
      <c r="G598">
        <v>24</v>
      </c>
      <c r="H598">
        <v>0</v>
      </c>
      <c r="I598">
        <v>2249716</v>
      </c>
      <c r="J598">
        <v>98</v>
      </c>
      <c r="K598">
        <v>47</v>
      </c>
      <c r="L598">
        <v>2249716</v>
      </c>
      <c r="M598">
        <v>0</v>
      </c>
      <c r="N598">
        <v>1</v>
      </c>
      <c r="O598" s="1" t="s">
        <v>1066</v>
      </c>
      <c r="P598">
        <v>0</v>
      </c>
      <c r="Q598">
        <v>0</v>
      </c>
      <c r="R598">
        <v>0</v>
      </c>
      <c r="S598">
        <v>0</v>
      </c>
      <c r="T598">
        <v>10.352380159999999</v>
      </c>
      <c r="U598">
        <f t="shared" si="18"/>
        <v>0</v>
      </c>
      <c r="V598">
        <f t="shared" si="19"/>
        <v>0</v>
      </c>
    </row>
    <row r="599" spans="1:22" x14ac:dyDescent="0.2">
      <c r="A599" t="s">
        <v>1011</v>
      </c>
      <c r="B599" t="s">
        <v>17</v>
      </c>
      <c r="C599" t="s">
        <v>76</v>
      </c>
      <c r="D599" t="s">
        <v>77</v>
      </c>
      <c r="E599" s="1" t="s">
        <v>138</v>
      </c>
      <c r="F599" t="s">
        <v>139</v>
      </c>
      <c r="G599">
        <v>21</v>
      </c>
      <c r="H599">
        <v>0</v>
      </c>
      <c r="I599">
        <v>120861437</v>
      </c>
      <c r="J599">
        <v>122</v>
      </c>
      <c r="K599">
        <v>18</v>
      </c>
      <c r="L599">
        <v>120861437</v>
      </c>
      <c r="M599">
        <v>0</v>
      </c>
      <c r="N599">
        <v>1</v>
      </c>
      <c r="O599" s="1" t="s">
        <v>1067</v>
      </c>
      <c r="P599">
        <v>0</v>
      </c>
      <c r="Q599">
        <v>0</v>
      </c>
      <c r="R599">
        <v>0</v>
      </c>
      <c r="S599">
        <v>0</v>
      </c>
      <c r="T599">
        <v>10.352380159999999</v>
      </c>
      <c r="U599">
        <f t="shared" si="18"/>
        <v>0</v>
      </c>
      <c r="V599">
        <f t="shared" si="19"/>
        <v>0</v>
      </c>
    </row>
    <row r="600" spans="1:22" x14ac:dyDescent="0.2">
      <c r="A600" t="s">
        <v>1068</v>
      </c>
      <c r="B600" t="s">
        <v>18</v>
      </c>
      <c r="C600" t="s">
        <v>76</v>
      </c>
      <c r="D600" t="s">
        <v>77</v>
      </c>
      <c r="E600" s="1" t="s">
        <v>89</v>
      </c>
      <c r="F600" t="s">
        <v>90</v>
      </c>
      <c r="G600">
        <v>31</v>
      </c>
      <c r="H600">
        <v>87714465</v>
      </c>
      <c r="I600">
        <v>0</v>
      </c>
      <c r="J600">
        <v>61</v>
      </c>
      <c r="K600">
        <v>51</v>
      </c>
      <c r="L600">
        <v>-87714465</v>
      </c>
      <c r="M600">
        <v>1</v>
      </c>
      <c r="N600">
        <v>0</v>
      </c>
      <c r="O600" s="1" t="s">
        <v>1069</v>
      </c>
      <c r="P600">
        <v>0</v>
      </c>
      <c r="Q600">
        <v>0</v>
      </c>
      <c r="R600">
        <v>0</v>
      </c>
      <c r="S600">
        <v>0</v>
      </c>
      <c r="T600">
        <v>6.7062261379999999</v>
      </c>
      <c r="U600">
        <f t="shared" si="18"/>
        <v>0</v>
      </c>
      <c r="V600">
        <f t="shared" si="19"/>
        <v>0</v>
      </c>
    </row>
    <row r="601" spans="1:22" x14ac:dyDescent="0.2">
      <c r="A601" t="s">
        <v>1068</v>
      </c>
      <c r="B601" t="s">
        <v>18</v>
      </c>
      <c r="C601" t="s">
        <v>76</v>
      </c>
      <c r="D601" t="s">
        <v>77</v>
      </c>
      <c r="E601" s="1" t="s">
        <v>99</v>
      </c>
      <c r="F601" t="s">
        <v>100</v>
      </c>
      <c r="G601">
        <v>39</v>
      </c>
      <c r="H601">
        <v>2486963</v>
      </c>
      <c r="I601">
        <v>350</v>
      </c>
      <c r="J601">
        <v>75</v>
      </c>
      <c r="K601">
        <v>98</v>
      </c>
      <c r="L601">
        <v>-2486613</v>
      </c>
      <c r="M601" s="1" t="s">
        <v>1070</v>
      </c>
      <c r="N601" s="1" t="s">
        <v>1071</v>
      </c>
      <c r="O601" s="1" t="s">
        <v>1072</v>
      </c>
      <c r="P601">
        <v>0</v>
      </c>
      <c r="Q601">
        <v>0</v>
      </c>
      <c r="R601">
        <v>0</v>
      </c>
      <c r="S601">
        <v>0</v>
      </c>
      <c r="T601">
        <v>6.7062261379999999</v>
      </c>
      <c r="U601">
        <f t="shared" si="18"/>
        <v>0</v>
      </c>
      <c r="V601">
        <f t="shared" si="19"/>
        <v>0</v>
      </c>
    </row>
    <row r="602" spans="1:22" x14ac:dyDescent="0.2">
      <c r="A602" t="s">
        <v>1068</v>
      </c>
      <c r="B602" t="s">
        <v>18</v>
      </c>
      <c r="C602" t="s">
        <v>76</v>
      </c>
      <c r="D602" t="s">
        <v>77</v>
      </c>
      <c r="E602">
        <v>15</v>
      </c>
      <c r="F602" t="s">
        <v>88</v>
      </c>
      <c r="G602">
        <v>76</v>
      </c>
      <c r="H602">
        <v>629433</v>
      </c>
      <c r="I602">
        <v>0</v>
      </c>
      <c r="J602">
        <v>87</v>
      </c>
      <c r="K602">
        <v>92</v>
      </c>
      <c r="L602">
        <v>-629433</v>
      </c>
      <c r="M602">
        <v>1</v>
      </c>
      <c r="N602">
        <v>0</v>
      </c>
      <c r="O602">
        <v>4.1363822124859699E-3</v>
      </c>
      <c r="P602">
        <v>0</v>
      </c>
      <c r="Q602">
        <v>0</v>
      </c>
      <c r="R602">
        <v>0</v>
      </c>
      <c r="S602">
        <v>0</v>
      </c>
      <c r="T602">
        <v>6.7062261379999999</v>
      </c>
      <c r="U602">
        <f t="shared" si="18"/>
        <v>0</v>
      </c>
      <c r="V602">
        <f t="shared" si="19"/>
        <v>0</v>
      </c>
    </row>
    <row r="603" spans="1:22" x14ac:dyDescent="0.2">
      <c r="A603" t="s">
        <v>1068</v>
      </c>
      <c r="B603" t="s">
        <v>18</v>
      </c>
      <c r="C603" t="s">
        <v>76</v>
      </c>
      <c r="D603" t="s">
        <v>77</v>
      </c>
      <c r="E603">
        <v>10</v>
      </c>
      <c r="F603" t="s">
        <v>119</v>
      </c>
      <c r="G603">
        <v>48</v>
      </c>
      <c r="H603">
        <v>9322401</v>
      </c>
      <c r="I603">
        <v>1445</v>
      </c>
      <c r="J603">
        <v>74</v>
      </c>
      <c r="K603">
        <v>82</v>
      </c>
      <c r="L603">
        <v>-9320956</v>
      </c>
      <c r="M603" s="1" t="s">
        <v>1073</v>
      </c>
      <c r="N603" s="1" t="s">
        <v>1074</v>
      </c>
      <c r="O603">
        <v>6.1272590961005298E-2</v>
      </c>
      <c r="P603">
        <v>0</v>
      </c>
      <c r="Q603">
        <v>0</v>
      </c>
      <c r="R603">
        <v>0</v>
      </c>
      <c r="S603">
        <v>0</v>
      </c>
      <c r="T603">
        <v>6.7062261379999999</v>
      </c>
      <c r="U603">
        <f t="shared" si="18"/>
        <v>0</v>
      </c>
      <c r="V603">
        <f t="shared" si="19"/>
        <v>0</v>
      </c>
    </row>
    <row r="604" spans="1:22" x14ac:dyDescent="0.2">
      <c r="A604" t="s">
        <v>1068</v>
      </c>
      <c r="B604" t="s">
        <v>18</v>
      </c>
      <c r="C604" t="s">
        <v>76</v>
      </c>
      <c r="D604" t="s">
        <v>77</v>
      </c>
      <c r="E604" s="1" t="s">
        <v>89</v>
      </c>
      <c r="F604" t="s">
        <v>90</v>
      </c>
      <c r="G604">
        <v>28</v>
      </c>
      <c r="H604">
        <v>915330</v>
      </c>
      <c r="I604">
        <v>0</v>
      </c>
      <c r="J604">
        <v>106</v>
      </c>
      <c r="K604">
        <v>85</v>
      </c>
      <c r="L604">
        <v>-915330</v>
      </c>
      <c r="M604">
        <v>1</v>
      </c>
      <c r="N604">
        <v>0</v>
      </c>
      <c r="O604">
        <v>6.0151830783495303E-3</v>
      </c>
      <c r="P604">
        <v>0</v>
      </c>
      <c r="Q604">
        <v>0</v>
      </c>
      <c r="R604">
        <v>0</v>
      </c>
      <c r="S604">
        <v>0</v>
      </c>
      <c r="T604">
        <v>6.7062261379999999</v>
      </c>
      <c r="U604">
        <f t="shared" si="18"/>
        <v>0</v>
      </c>
      <c r="V604">
        <f t="shared" si="19"/>
        <v>0</v>
      </c>
    </row>
    <row r="605" spans="1:22" x14ac:dyDescent="0.2">
      <c r="A605" t="s">
        <v>1068</v>
      </c>
      <c r="B605" t="s">
        <v>18</v>
      </c>
      <c r="C605" t="s">
        <v>76</v>
      </c>
      <c r="D605" t="s">
        <v>77</v>
      </c>
      <c r="E605">
        <v>15</v>
      </c>
      <c r="F605" t="s">
        <v>88</v>
      </c>
      <c r="G605">
        <v>72</v>
      </c>
      <c r="H605">
        <v>41368662</v>
      </c>
      <c r="I605">
        <v>0</v>
      </c>
      <c r="J605">
        <v>77</v>
      </c>
      <c r="K605">
        <v>74</v>
      </c>
      <c r="L605">
        <v>-41368662</v>
      </c>
      <c r="M605">
        <v>1</v>
      </c>
      <c r="N605">
        <v>0</v>
      </c>
      <c r="O605" s="1" t="s">
        <v>1075</v>
      </c>
      <c r="P605">
        <v>0</v>
      </c>
      <c r="Q605">
        <v>0</v>
      </c>
      <c r="R605">
        <v>0</v>
      </c>
      <c r="S605">
        <v>0</v>
      </c>
      <c r="T605">
        <v>6.7062261379999999</v>
      </c>
      <c r="U605">
        <f t="shared" si="18"/>
        <v>0</v>
      </c>
      <c r="V605">
        <f t="shared" si="19"/>
        <v>0</v>
      </c>
    </row>
    <row r="606" spans="1:22" x14ac:dyDescent="0.2">
      <c r="A606" t="s">
        <v>1068</v>
      </c>
      <c r="B606" t="s">
        <v>18</v>
      </c>
      <c r="C606" t="s">
        <v>76</v>
      </c>
      <c r="D606" t="s">
        <v>77</v>
      </c>
      <c r="E606" s="1" t="s">
        <v>89</v>
      </c>
      <c r="F606" t="s">
        <v>90</v>
      </c>
      <c r="G606">
        <v>29</v>
      </c>
      <c r="H606">
        <v>1403268</v>
      </c>
      <c r="I606">
        <v>0</v>
      </c>
      <c r="J606">
        <v>88</v>
      </c>
      <c r="K606">
        <v>81</v>
      </c>
      <c r="L606">
        <v>-1403268</v>
      </c>
      <c r="M606">
        <v>1</v>
      </c>
      <c r="N606">
        <v>0</v>
      </c>
      <c r="O606">
        <v>9.2217166792188596E-3</v>
      </c>
      <c r="P606">
        <v>0</v>
      </c>
      <c r="Q606">
        <v>0</v>
      </c>
      <c r="R606">
        <v>0</v>
      </c>
      <c r="S606">
        <v>0</v>
      </c>
      <c r="T606">
        <v>6.7062261379999999</v>
      </c>
      <c r="U606">
        <f t="shared" si="18"/>
        <v>0</v>
      </c>
      <c r="V606">
        <f t="shared" si="19"/>
        <v>0</v>
      </c>
    </row>
    <row r="607" spans="1:22" x14ac:dyDescent="0.2">
      <c r="A607" t="s">
        <v>1068</v>
      </c>
      <c r="B607" t="s">
        <v>18</v>
      </c>
      <c r="C607" t="s">
        <v>76</v>
      </c>
      <c r="D607" t="s">
        <v>77</v>
      </c>
      <c r="E607" s="1" t="s">
        <v>89</v>
      </c>
      <c r="F607" t="s">
        <v>90</v>
      </c>
      <c r="G607">
        <v>38</v>
      </c>
      <c r="H607">
        <v>176640</v>
      </c>
      <c r="I607">
        <v>0</v>
      </c>
      <c r="J607">
        <v>93</v>
      </c>
      <c r="K607">
        <v>87</v>
      </c>
      <c r="L607">
        <v>-176640</v>
      </c>
      <c r="M607">
        <v>1</v>
      </c>
      <c r="N607">
        <v>0</v>
      </c>
      <c r="O607">
        <v>1.16080751090826E-3</v>
      </c>
      <c r="P607">
        <v>0</v>
      </c>
      <c r="Q607">
        <v>0</v>
      </c>
      <c r="R607">
        <v>0</v>
      </c>
      <c r="S607">
        <v>0</v>
      </c>
      <c r="T607">
        <v>6.7062261379999999</v>
      </c>
      <c r="U607">
        <f t="shared" si="18"/>
        <v>0</v>
      </c>
      <c r="V607">
        <f t="shared" si="19"/>
        <v>0</v>
      </c>
    </row>
    <row r="608" spans="1:22" x14ac:dyDescent="0.2">
      <c r="A608" t="s">
        <v>1068</v>
      </c>
      <c r="B608" t="s">
        <v>18</v>
      </c>
      <c r="C608" t="s">
        <v>76</v>
      </c>
      <c r="D608" t="s">
        <v>77</v>
      </c>
      <c r="E608">
        <v>18</v>
      </c>
      <c r="F608" t="s">
        <v>147</v>
      </c>
      <c r="G608">
        <v>90</v>
      </c>
      <c r="H608">
        <v>130541</v>
      </c>
      <c r="I608">
        <v>0</v>
      </c>
      <c r="J608">
        <v>108</v>
      </c>
      <c r="K608">
        <v>103</v>
      </c>
      <c r="L608">
        <v>-130541</v>
      </c>
      <c r="M608">
        <v>1</v>
      </c>
      <c r="N608">
        <v>0</v>
      </c>
      <c r="O608" s="1" t="s">
        <v>1076</v>
      </c>
      <c r="P608">
        <v>0</v>
      </c>
      <c r="Q608">
        <v>0</v>
      </c>
      <c r="R608">
        <v>0</v>
      </c>
      <c r="S608">
        <v>0</v>
      </c>
      <c r="T608">
        <v>6.7062261379999999</v>
      </c>
      <c r="U608">
        <f t="shared" si="18"/>
        <v>0</v>
      </c>
      <c r="V608">
        <f t="shared" si="19"/>
        <v>0</v>
      </c>
    </row>
    <row r="609" spans="1:22" x14ac:dyDescent="0.2">
      <c r="A609" t="s">
        <v>1068</v>
      </c>
      <c r="B609" t="s">
        <v>18</v>
      </c>
      <c r="C609" t="s">
        <v>76</v>
      </c>
      <c r="D609" t="s">
        <v>77</v>
      </c>
      <c r="E609" s="1" t="s">
        <v>138</v>
      </c>
      <c r="F609" t="s">
        <v>139</v>
      </c>
      <c r="G609">
        <v>22</v>
      </c>
      <c r="H609">
        <v>527497</v>
      </c>
      <c r="I609">
        <v>0</v>
      </c>
      <c r="J609">
        <v>78</v>
      </c>
      <c r="K609">
        <v>98</v>
      </c>
      <c r="L609">
        <v>-527497</v>
      </c>
      <c r="M609">
        <v>1</v>
      </c>
      <c r="N609">
        <v>0</v>
      </c>
      <c r="O609">
        <v>3.4664995447326601E-3</v>
      </c>
      <c r="P609">
        <v>0</v>
      </c>
      <c r="Q609">
        <v>0</v>
      </c>
      <c r="R609">
        <v>0</v>
      </c>
      <c r="S609">
        <v>0</v>
      </c>
      <c r="T609">
        <v>6.7062261379999999</v>
      </c>
      <c r="U609">
        <f t="shared" si="18"/>
        <v>0</v>
      </c>
      <c r="V609">
        <f t="shared" si="19"/>
        <v>0</v>
      </c>
    </row>
    <row r="610" spans="1:22" x14ac:dyDescent="0.2">
      <c r="A610" t="s">
        <v>1068</v>
      </c>
      <c r="B610" t="s">
        <v>18</v>
      </c>
      <c r="C610" t="s">
        <v>76</v>
      </c>
      <c r="D610" t="s">
        <v>77</v>
      </c>
      <c r="E610">
        <v>16</v>
      </c>
      <c r="F610" t="s">
        <v>95</v>
      </c>
      <c r="G610">
        <v>84</v>
      </c>
      <c r="H610">
        <v>158692</v>
      </c>
      <c r="I610">
        <v>0</v>
      </c>
      <c r="J610">
        <v>132</v>
      </c>
      <c r="K610">
        <v>117</v>
      </c>
      <c r="L610">
        <v>-158692</v>
      </c>
      <c r="M610">
        <v>1</v>
      </c>
      <c r="N610">
        <v>0</v>
      </c>
      <c r="O610">
        <v>1.0428604252777E-3</v>
      </c>
      <c r="P610">
        <v>0</v>
      </c>
      <c r="Q610">
        <v>0</v>
      </c>
      <c r="R610">
        <v>0</v>
      </c>
      <c r="S610">
        <v>0</v>
      </c>
      <c r="T610">
        <v>6.7062261379999999</v>
      </c>
      <c r="U610">
        <f t="shared" si="18"/>
        <v>0</v>
      </c>
      <c r="V610">
        <f t="shared" si="19"/>
        <v>0</v>
      </c>
    </row>
    <row r="611" spans="1:22" x14ac:dyDescent="0.2">
      <c r="A611" t="s">
        <v>1068</v>
      </c>
      <c r="B611" t="s">
        <v>18</v>
      </c>
      <c r="C611" t="s">
        <v>76</v>
      </c>
      <c r="D611" t="s">
        <v>77</v>
      </c>
      <c r="E611" s="1" t="s">
        <v>85</v>
      </c>
      <c r="F611" t="s">
        <v>86</v>
      </c>
      <c r="G611">
        <v>25</v>
      </c>
      <c r="H611">
        <v>3093623</v>
      </c>
      <c r="I611">
        <v>0</v>
      </c>
      <c r="J611">
        <v>56</v>
      </c>
      <c r="K611">
        <v>95</v>
      </c>
      <c r="L611">
        <v>-3093623</v>
      </c>
      <c r="M611">
        <v>1</v>
      </c>
      <c r="N611">
        <v>0</v>
      </c>
      <c r="O611">
        <v>2.0330054428886701E-2</v>
      </c>
      <c r="P611">
        <v>0</v>
      </c>
      <c r="Q611">
        <v>0</v>
      </c>
      <c r="R611">
        <v>0</v>
      </c>
      <c r="S611">
        <v>0</v>
      </c>
      <c r="T611">
        <v>6.7062261379999999</v>
      </c>
      <c r="U611">
        <f t="shared" si="18"/>
        <v>0</v>
      </c>
      <c r="V611">
        <f t="shared" si="19"/>
        <v>0</v>
      </c>
    </row>
    <row r="612" spans="1:22" x14ac:dyDescent="0.2">
      <c r="A612" t="s">
        <v>1068</v>
      </c>
      <c r="B612" t="s">
        <v>18</v>
      </c>
      <c r="C612" t="s">
        <v>76</v>
      </c>
      <c r="D612" t="s">
        <v>77</v>
      </c>
      <c r="E612">
        <v>16</v>
      </c>
      <c r="F612" t="s">
        <v>95</v>
      </c>
      <c r="G612">
        <v>85</v>
      </c>
      <c r="H612">
        <v>259268</v>
      </c>
      <c r="I612">
        <v>1850</v>
      </c>
      <c r="J612">
        <v>118</v>
      </c>
      <c r="K612">
        <v>107</v>
      </c>
      <c r="L612">
        <v>-257418</v>
      </c>
      <c r="M612" s="1" t="s">
        <v>1077</v>
      </c>
      <c r="N612">
        <v>7.0849194616992997E-3</v>
      </c>
      <c r="O612">
        <v>1.7159631772721E-3</v>
      </c>
      <c r="P612">
        <v>0</v>
      </c>
      <c r="Q612">
        <v>0</v>
      </c>
      <c r="R612">
        <v>0</v>
      </c>
      <c r="S612">
        <v>0</v>
      </c>
      <c r="T612">
        <v>6.7062261379999999</v>
      </c>
      <c r="U612">
        <f t="shared" si="18"/>
        <v>0</v>
      </c>
      <c r="V612">
        <f t="shared" si="19"/>
        <v>0</v>
      </c>
    </row>
    <row r="613" spans="1:22" x14ac:dyDescent="0.2">
      <c r="A613" t="s">
        <v>1068</v>
      </c>
      <c r="B613" t="s">
        <v>18</v>
      </c>
      <c r="C613" t="s">
        <v>76</v>
      </c>
      <c r="D613" t="s">
        <v>77</v>
      </c>
      <c r="E613" s="1" t="s">
        <v>89</v>
      </c>
      <c r="F613" t="s">
        <v>90</v>
      </c>
      <c r="G613">
        <v>33</v>
      </c>
      <c r="H613">
        <v>186716</v>
      </c>
      <c r="I613">
        <v>0</v>
      </c>
      <c r="J613">
        <v>88</v>
      </c>
      <c r="K613">
        <v>95</v>
      </c>
      <c r="L613">
        <v>-186716</v>
      </c>
      <c r="M613">
        <v>1</v>
      </c>
      <c r="N613">
        <v>0</v>
      </c>
      <c r="O613">
        <v>1.2270229574657301E-3</v>
      </c>
      <c r="P613">
        <v>0</v>
      </c>
      <c r="Q613">
        <v>0</v>
      </c>
      <c r="R613">
        <v>0</v>
      </c>
      <c r="S613">
        <v>0</v>
      </c>
      <c r="T613">
        <v>6.7062261379999999</v>
      </c>
      <c r="U613">
        <f t="shared" si="18"/>
        <v>0</v>
      </c>
      <c r="V613">
        <f t="shared" si="19"/>
        <v>0</v>
      </c>
    </row>
    <row r="614" spans="1:22" x14ac:dyDescent="0.2">
      <c r="A614" t="s">
        <v>1068</v>
      </c>
      <c r="B614" t="s">
        <v>18</v>
      </c>
      <c r="C614" t="s">
        <v>76</v>
      </c>
      <c r="D614" t="s">
        <v>77</v>
      </c>
      <c r="E614">
        <v>99</v>
      </c>
      <c r="F614" t="s">
        <v>78</v>
      </c>
      <c r="G614">
        <v>99</v>
      </c>
      <c r="H614">
        <v>7614</v>
      </c>
      <c r="I614">
        <v>0</v>
      </c>
      <c r="J614">
        <v>103</v>
      </c>
      <c r="K614">
        <v>98</v>
      </c>
      <c r="L614">
        <v>-7614</v>
      </c>
      <c r="M614">
        <v>1</v>
      </c>
      <c r="N614">
        <v>0</v>
      </c>
      <c r="O614" s="1" t="s">
        <v>1078</v>
      </c>
      <c r="P614">
        <v>0</v>
      </c>
      <c r="Q614">
        <v>0</v>
      </c>
      <c r="R614">
        <v>0</v>
      </c>
      <c r="S614">
        <v>0</v>
      </c>
      <c r="T614">
        <v>6.7062261379999999</v>
      </c>
      <c r="U614">
        <f t="shared" si="18"/>
        <v>0</v>
      </c>
      <c r="V614">
        <f t="shared" si="19"/>
        <v>0</v>
      </c>
    </row>
    <row r="615" spans="1:22" x14ac:dyDescent="0.2">
      <c r="A615" t="s">
        <v>1068</v>
      </c>
      <c r="B615" t="s">
        <v>18</v>
      </c>
      <c r="C615" t="s">
        <v>76</v>
      </c>
      <c r="D615" t="s">
        <v>77</v>
      </c>
      <c r="E615">
        <v>17</v>
      </c>
      <c r="F615" t="s">
        <v>97</v>
      </c>
      <c r="G615">
        <v>87</v>
      </c>
      <c r="H615">
        <v>72389</v>
      </c>
      <c r="I615">
        <v>30565</v>
      </c>
      <c r="J615">
        <v>127</v>
      </c>
      <c r="K615">
        <v>78</v>
      </c>
      <c r="L615">
        <v>-41824</v>
      </c>
      <c r="M615" s="1" t="s">
        <v>1079</v>
      </c>
      <c r="N615" s="1" t="s">
        <v>1080</v>
      </c>
      <c r="O615" s="1" t="s">
        <v>1081</v>
      </c>
      <c r="P615">
        <v>0</v>
      </c>
      <c r="Q615">
        <v>0</v>
      </c>
      <c r="R615">
        <v>0</v>
      </c>
      <c r="S615">
        <v>0</v>
      </c>
      <c r="T615">
        <v>6.7062261379999999</v>
      </c>
      <c r="U615">
        <f t="shared" si="18"/>
        <v>0</v>
      </c>
      <c r="V615">
        <f t="shared" si="19"/>
        <v>0</v>
      </c>
    </row>
    <row r="616" spans="1:22" x14ac:dyDescent="0.2">
      <c r="A616" t="s">
        <v>1068</v>
      </c>
      <c r="B616" t="s">
        <v>18</v>
      </c>
      <c r="C616" t="s">
        <v>76</v>
      </c>
      <c r="D616" t="s">
        <v>77</v>
      </c>
      <c r="E616">
        <v>21</v>
      </c>
      <c r="F616" t="s">
        <v>212</v>
      </c>
      <c r="G616">
        <v>97</v>
      </c>
      <c r="H616">
        <v>457</v>
      </c>
      <c r="I616">
        <v>5395</v>
      </c>
      <c r="J616">
        <v>86</v>
      </c>
      <c r="K616">
        <v>63</v>
      </c>
      <c r="L616">
        <v>4938</v>
      </c>
      <c r="M616">
        <v>7.8092959671907006E-2</v>
      </c>
      <c r="N616">
        <v>0.92190704032809301</v>
      </c>
      <c r="O616" s="1" t="s">
        <v>1082</v>
      </c>
      <c r="P616">
        <v>0</v>
      </c>
      <c r="Q616">
        <v>0</v>
      </c>
      <c r="R616">
        <v>0</v>
      </c>
      <c r="S616">
        <v>0</v>
      </c>
      <c r="T616">
        <v>6.7062261379999999</v>
      </c>
      <c r="U616">
        <f t="shared" si="18"/>
        <v>0</v>
      </c>
      <c r="V616">
        <f t="shared" si="19"/>
        <v>0</v>
      </c>
    </row>
    <row r="617" spans="1:22" x14ac:dyDescent="0.2">
      <c r="A617" t="s">
        <v>1068</v>
      </c>
      <c r="B617" t="s">
        <v>18</v>
      </c>
      <c r="C617" t="s">
        <v>76</v>
      </c>
      <c r="D617" t="s">
        <v>77</v>
      </c>
      <c r="E617">
        <v>17</v>
      </c>
      <c r="F617" t="s">
        <v>97</v>
      </c>
      <c r="G617">
        <v>86</v>
      </c>
      <c r="H617">
        <v>3004</v>
      </c>
      <c r="I617">
        <v>0</v>
      </c>
      <c r="J617">
        <v>77</v>
      </c>
      <c r="K617">
        <v>64</v>
      </c>
      <c r="L617">
        <v>-3004</v>
      </c>
      <c r="M617">
        <v>1</v>
      </c>
      <c r="N617">
        <v>0</v>
      </c>
      <c r="O617" s="1" t="s">
        <v>1083</v>
      </c>
      <c r="P617">
        <v>0</v>
      </c>
      <c r="Q617">
        <v>0</v>
      </c>
      <c r="R617">
        <v>0</v>
      </c>
      <c r="S617">
        <v>0</v>
      </c>
      <c r="T617">
        <v>6.7062261379999999</v>
      </c>
      <c r="U617">
        <f t="shared" si="18"/>
        <v>0</v>
      </c>
      <c r="V617">
        <f t="shared" si="19"/>
        <v>0</v>
      </c>
    </row>
    <row r="618" spans="1:22" x14ac:dyDescent="0.2">
      <c r="A618" t="s">
        <v>1068</v>
      </c>
      <c r="B618" t="s">
        <v>18</v>
      </c>
      <c r="C618" t="s">
        <v>76</v>
      </c>
      <c r="D618" t="s">
        <v>77</v>
      </c>
      <c r="E618" s="1" t="s">
        <v>89</v>
      </c>
      <c r="F618" t="s">
        <v>90</v>
      </c>
      <c r="G618">
        <v>32</v>
      </c>
      <c r="H618">
        <v>431</v>
      </c>
      <c r="I618">
        <v>0</v>
      </c>
      <c r="J618">
        <v>120</v>
      </c>
      <c r="K618">
        <v>80</v>
      </c>
      <c r="L618">
        <v>-431</v>
      </c>
      <c r="M618">
        <v>1</v>
      </c>
      <c r="N618">
        <v>0</v>
      </c>
      <c r="O618" s="1" t="s">
        <v>1084</v>
      </c>
      <c r="P618">
        <v>0</v>
      </c>
      <c r="Q618">
        <v>0</v>
      </c>
      <c r="R618">
        <v>0</v>
      </c>
      <c r="S618">
        <v>0</v>
      </c>
      <c r="T618">
        <v>6.7062261379999999</v>
      </c>
      <c r="U618">
        <f t="shared" si="18"/>
        <v>0</v>
      </c>
      <c r="V618">
        <f t="shared" si="19"/>
        <v>0</v>
      </c>
    </row>
    <row r="619" spans="1:22" x14ac:dyDescent="0.2">
      <c r="A619" t="s">
        <v>1068</v>
      </c>
      <c r="B619" t="s">
        <v>18</v>
      </c>
      <c r="C619" t="s">
        <v>76</v>
      </c>
      <c r="D619" t="s">
        <v>77</v>
      </c>
      <c r="E619">
        <v>13</v>
      </c>
      <c r="F619" t="s">
        <v>91</v>
      </c>
      <c r="G619">
        <v>69</v>
      </c>
      <c r="H619">
        <v>88</v>
      </c>
      <c r="I619">
        <v>1140</v>
      </c>
      <c r="J619">
        <v>115</v>
      </c>
      <c r="K619">
        <v>75</v>
      </c>
      <c r="L619">
        <v>1052</v>
      </c>
      <c r="M619">
        <v>7.1661237785016194E-2</v>
      </c>
      <c r="N619" s="1" t="s">
        <v>1085</v>
      </c>
      <c r="O619" s="1" t="s">
        <v>1086</v>
      </c>
      <c r="P619">
        <v>0</v>
      </c>
      <c r="Q619">
        <v>0</v>
      </c>
      <c r="R619">
        <v>0</v>
      </c>
      <c r="S619">
        <v>0</v>
      </c>
      <c r="T619">
        <v>6.7062261379999999</v>
      </c>
      <c r="U619">
        <f t="shared" si="18"/>
        <v>0</v>
      </c>
      <c r="V619">
        <f t="shared" si="19"/>
        <v>0</v>
      </c>
    </row>
    <row r="620" spans="1:22" x14ac:dyDescent="0.2">
      <c r="A620" t="s">
        <v>1068</v>
      </c>
      <c r="B620" t="s">
        <v>18</v>
      </c>
      <c r="C620" t="s">
        <v>76</v>
      </c>
      <c r="D620" t="s">
        <v>77</v>
      </c>
      <c r="E620">
        <v>20</v>
      </c>
      <c r="F620" t="s">
        <v>104</v>
      </c>
      <c r="G620">
        <v>94</v>
      </c>
      <c r="H620">
        <v>400</v>
      </c>
      <c r="I620">
        <v>8885</v>
      </c>
      <c r="J620">
        <v>132</v>
      </c>
      <c r="K620">
        <v>81</v>
      </c>
      <c r="L620">
        <v>8485</v>
      </c>
      <c r="M620" s="1" t="s">
        <v>1087</v>
      </c>
      <c r="N620" s="1" t="s">
        <v>1088</v>
      </c>
      <c r="O620" s="1" t="s">
        <v>1089</v>
      </c>
      <c r="P620">
        <v>0</v>
      </c>
      <c r="Q620">
        <v>0</v>
      </c>
      <c r="R620">
        <v>0</v>
      </c>
      <c r="S620">
        <v>0</v>
      </c>
      <c r="T620">
        <v>6.7062261379999999</v>
      </c>
      <c r="U620">
        <f t="shared" si="18"/>
        <v>0</v>
      </c>
      <c r="V620">
        <f t="shared" si="19"/>
        <v>0</v>
      </c>
    </row>
    <row r="621" spans="1:22" x14ac:dyDescent="0.2">
      <c r="A621" t="s">
        <v>1068</v>
      </c>
      <c r="B621" t="s">
        <v>18</v>
      </c>
      <c r="C621" t="s">
        <v>76</v>
      </c>
      <c r="D621" t="s">
        <v>77</v>
      </c>
      <c r="E621">
        <v>10</v>
      </c>
      <c r="F621" t="s">
        <v>119</v>
      </c>
      <c r="G621">
        <v>49</v>
      </c>
      <c r="H621">
        <v>80</v>
      </c>
      <c r="I621">
        <v>450</v>
      </c>
      <c r="J621">
        <v>133</v>
      </c>
      <c r="K621">
        <v>88</v>
      </c>
      <c r="L621">
        <v>370</v>
      </c>
      <c r="M621" s="1" t="s">
        <v>1090</v>
      </c>
      <c r="N621" s="1" t="s">
        <v>1091</v>
      </c>
      <c r="O621" s="1" t="s">
        <v>1092</v>
      </c>
      <c r="P621">
        <v>0</v>
      </c>
      <c r="Q621">
        <v>0</v>
      </c>
      <c r="R621">
        <v>0</v>
      </c>
      <c r="S621">
        <v>0</v>
      </c>
      <c r="T621">
        <v>6.7062261379999999</v>
      </c>
      <c r="U621">
        <f t="shared" si="18"/>
        <v>0</v>
      </c>
      <c r="V621">
        <f t="shared" si="19"/>
        <v>0</v>
      </c>
    </row>
    <row r="622" spans="1:22" x14ac:dyDescent="0.2">
      <c r="A622" t="s">
        <v>1068</v>
      </c>
      <c r="B622" t="s">
        <v>18</v>
      </c>
      <c r="C622" t="s">
        <v>76</v>
      </c>
      <c r="D622" t="s">
        <v>77</v>
      </c>
      <c r="E622" s="1" t="s">
        <v>99</v>
      </c>
      <c r="F622" t="s">
        <v>100</v>
      </c>
      <c r="G622">
        <v>40</v>
      </c>
      <c r="H622">
        <v>8635</v>
      </c>
      <c r="I622">
        <v>0</v>
      </c>
      <c r="J622">
        <v>129</v>
      </c>
      <c r="K622">
        <v>97</v>
      </c>
      <c r="L622">
        <v>-8635</v>
      </c>
      <c r="M622">
        <v>1</v>
      </c>
      <c r="N622">
        <v>0</v>
      </c>
      <c r="O622" s="1" t="s">
        <v>1093</v>
      </c>
      <c r="P622">
        <v>0</v>
      </c>
      <c r="Q622">
        <v>0</v>
      </c>
      <c r="R622">
        <v>0</v>
      </c>
      <c r="S622">
        <v>0</v>
      </c>
      <c r="T622">
        <v>6.7062261379999999</v>
      </c>
      <c r="U622">
        <f t="shared" si="18"/>
        <v>0</v>
      </c>
      <c r="V622">
        <f t="shared" si="19"/>
        <v>0</v>
      </c>
    </row>
    <row r="623" spans="1:22" x14ac:dyDescent="0.2">
      <c r="A623" t="s">
        <v>1068</v>
      </c>
      <c r="B623" t="s">
        <v>18</v>
      </c>
      <c r="C623" t="s">
        <v>76</v>
      </c>
      <c r="D623" t="s">
        <v>77</v>
      </c>
      <c r="E623" s="1" t="s">
        <v>82</v>
      </c>
      <c r="F623" t="s">
        <v>83</v>
      </c>
      <c r="G623" s="1" t="s">
        <v>93</v>
      </c>
      <c r="H623">
        <v>0</v>
      </c>
      <c r="I623">
        <v>1186342</v>
      </c>
      <c r="J623">
        <v>105</v>
      </c>
      <c r="K623">
        <v>56</v>
      </c>
      <c r="L623">
        <v>1186342</v>
      </c>
      <c r="M623">
        <v>0</v>
      </c>
      <c r="N623">
        <v>1</v>
      </c>
      <c r="O623">
        <v>7.7961656708895599E-3</v>
      </c>
      <c r="P623">
        <v>0</v>
      </c>
      <c r="Q623">
        <v>0</v>
      </c>
      <c r="R623">
        <v>0</v>
      </c>
      <c r="S623">
        <v>0</v>
      </c>
      <c r="T623">
        <v>6.7062261379999999</v>
      </c>
      <c r="U623">
        <f t="shared" si="18"/>
        <v>0</v>
      </c>
      <c r="V623">
        <f t="shared" si="19"/>
        <v>0</v>
      </c>
    </row>
    <row r="624" spans="1:22" x14ac:dyDescent="0.2">
      <c r="A624" t="s">
        <v>1068</v>
      </c>
      <c r="B624" t="s">
        <v>18</v>
      </c>
      <c r="C624" t="s">
        <v>76</v>
      </c>
      <c r="D624" t="s">
        <v>77</v>
      </c>
      <c r="E624" s="1" t="s">
        <v>82</v>
      </c>
      <c r="F624" t="s">
        <v>83</v>
      </c>
      <c r="G624" s="1" t="s">
        <v>89</v>
      </c>
      <c r="H624">
        <v>0</v>
      </c>
      <c r="I624">
        <v>508</v>
      </c>
      <c r="J624">
        <v>49</v>
      </c>
      <c r="K624">
        <v>69</v>
      </c>
      <c r="L624">
        <v>508</v>
      </c>
      <c r="M624">
        <v>0</v>
      </c>
      <c r="N624">
        <v>1</v>
      </c>
      <c r="O624" s="1" t="s">
        <v>1094</v>
      </c>
      <c r="P624">
        <v>0</v>
      </c>
      <c r="Q624">
        <v>0</v>
      </c>
      <c r="R624">
        <v>0</v>
      </c>
      <c r="S624">
        <v>0</v>
      </c>
      <c r="T624">
        <v>6.7062261379999999</v>
      </c>
      <c r="U624">
        <f t="shared" si="18"/>
        <v>0</v>
      </c>
      <c r="V624">
        <f t="shared" si="19"/>
        <v>0</v>
      </c>
    </row>
    <row r="625" spans="1:22" x14ac:dyDescent="0.2">
      <c r="A625" t="s">
        <v>1068</v>
      </c>
      <c r="B625" t="s">
        <v>18</v>
      </c>
      <c r="C625" t="s">
        <v>76</v>
      </c>
      <c r="D625" t="s">
        <v>77</v>
      </c>
      <c r="E625">
        <v>11</v>
      </c>
      <c r="F625" t="s">
        <v>127</v>
      </c>
      <c r="G625">
        <v>61</v>
      </c>
      <c r="H625">
        <v>5043</v>
      </c>
      <c r="I625">
        <v>177483</v>
      </c>
      <c r="J625">
        <v>94</v>
      </c>
      <c r="K625">
        <v>68</v>
      </c>
      <c r="L625">
        <v>172440</v>
      </c>
      <c r="M625" s="1" t="s">
        <v>1095</v>
      </c>
      <c r="N625" s="1" t="s">
        <v>1096</v>
      </c>
      <c r="O625">
        <v>1.1994879514042199E-3</v>
      </c>
      <c r="P625">
        <v>0</v>
      </c>
      <c r="Q625">
        <v>0</v>
      </c>
      <c r="R625">
        <v>0</v>
      </c>
      <c r="S625">
        <v>0</v>
      </c>
      <c r="T625">
        <v>6.7062261379999999</v>
      </c>
      <c r="U625">
        <f t="shared" si="18"/>
        <v>0</v>
      </c>
      <c r="V625">
        <f t="shared" si="19"/>
        <v>0</v>
      </c>
    </row>
    <row r="626" spans="1:22" x14ac:dyDescent="0.2">
      <c r="A626" t="s">
        <v>1068</v>
      </c>
      <c r="B626" t="s">
        <v>18</v>
      </c>
      <c r="C626" t="s">
        <v>76</v>
      </c>
      <c r="D626" t="s">
        <v>77</v>
      </c>
      <c r="E626" s="1" t="s">
        <v>155</v>
      </c>
      <c r="F626" t="s">
        <v>156</v>
      </c>
      <c r="G626" s="1" t="s">
        <v>155</v>
      </c>
      <c r="H626">
        <v>0</v>
      </c>
      <c r="I626">
        <v>14190</v>
      </c>
      <c r="J626">
        <v>88</v>
      </c>
      <c r="K626">
        <v>49</v>
      </c>
      <c r="L626">
        <v>14190</v>
      </c>
      <c r="M626">
        <v>0</v>
      </c>
      <c r="N626">
        <v>1</v>
      </c>
      <c r="O626" s="1" t="s">
        <v>1097</v>
      </c>
      <c r="P626">
        <v>0</v>
      </c>
      <c r="Q626">
        <v>0</v>
      </c>
      <c r="R626">
        <v>0</v>
      </c>
      <c r="S626">
        <v>0</v>
      </c>
      <c r="T626">
        <v>6.7062261379999999</v>
      </c>
      <c r="U626">
        <f t="shared" si="18"/>
        <v>0</v>
      </c>
      <c r="V626">
        <f t="shared" si="19"/>
        <v>0</v>
      </c>
    </row>
    <row r="627" spans="1:22" x14ac:dyDescent="0.2">
      <c r="A627" t="s">
        <v>1098</v>
      </c>
      <c r="B627" t="s">
        <v>19</v>
      </c>
      <c r="C627" t="s">
        <v>76</v>
      </c>
      <c r="D627" t="s">
        <v>77</v>
      </c>
      <c r="E627" s="1" t="s">
        <v>89</v>
      </c>
      <c r="F627" t="s">
        <v>90</v>
      </c>
      <c r="G627">
        <v>31</v>
      </c>
      <c r="H627">
        <v>112618960</v>
      </c>
      <c r="I627">
        <v>0</v>
      </c>
      <c r="J627">
        <v>54</v>
      </c>
      <c r="K627">
        <v>51</v>
      </c>
      <c r="L627">
        <v>-112618960</v>
      </c>
      <c r="M627">
        <v>1</v>
      </c>
      <c r="N627">
        <v>0</v>
      </c>
      <c r="O627" s="1" t="s">
        <v>1099</v>
      </c>
      <c r="P627">
        <v>0</v>
      </c>
      <c r="Q627">
        <v>0</v>
      </c>
      <c r="R627">
        <v>0</v>
      </c>
      <c r="S627">
        <v>0</v>
      </c>
      <c r="T627">
        <v>158.85371929999999</v>
      </c>
      <c r="U627">
        <f t="shared" si="18"/>
        <v>0</v>
      </c>
      <c r="V627">
        <f t="shared" si="19"/>
        <v>0</v>
      </c>
    </row>
    <row r="628" spans="1:22" x14ac:dyDescent="0.2">
      <c r="A628" t="s">
        <v>1098</v>
      </c>
      <c r="B628" t="s">
        <v>19</v>
      </c>
      <c r="C628" t="s">
        <v>76</v>
      </c>
      <c r="D628" t="s">
        <v>77</v>
      </c>
      <c r="E628" s="1" t="s">
        <v>82</v>
      </c>
      <c r="F628" t="s">
        <v>83</v>
      </c>
      <c r="G628">
        <v>10</v>
      </c>
      <c r="H628">
        <v>259168048</v>
      </c>
      <c r="I628">
        <v>0</v>
      </c>
      <c r="J628">
        <v>31</v>
      </c>
      <c r="K628">
        <v>65</v>
      </c>
      <c r="L628">
        <v>-259168048</v>
      </c>
      <c r="M628">
        <v>1</v>
      </c>
      <c r="N628">
        <v>0</v>
      </c>
      <c r="O628" s="1" t="s">
        <v>1100</v>
      </c>
      <c r="P628">
        <v>0</v>
      </c>
      <c r="Q628">
        <v>0</v>
      </c>
      <c r="R628">
        <v>0</v>
      </c>
      <c r="S628">
        <v>0</v>
      </c>
      <c r="T628">
        <v>158.85371929999999</v>
      </c>
      <c r="U628">
        <f t="shared" si="18"/>
        <v>0</v>
      </c>
      <c r="V628">
        <f t="shared" si="19"/>
        <v>0</v>
      </c>
    </row>
    <row r="629" spans="1:22" x14ac:dyDescent="0.2">
      <c r="A629" t="s">
        <v>1098</v>
      </c>
      <c r="B629" t="s">
        <v>19</v>
      </c>
      <c r="C629" t="s">
        <v>76</v>
      </c>
      <c r="D629" t="s">
        <v>77</v>
      </c>
      <c r="E629">
        <v>15</v>
      </c>
      <c r="F629" t="s">
        <v>88</v>
      </c>
      <c r="G629">
        <v>72</v>
      </c>
      <c r="H629">
        <v>82893290</v>
      </c>
      <c r="I629">
        <v>0</v>
      </c>
      <c r="J629">
        <v>70</v>
      </c>
      <c r="K629">
        <v>74</v>
      </c>
      <c r="L629">
        <v>-82893290</v>
      </c>
      <c r="M629">
        <v>1</v>
      </c>
      <c r="N629">
        <v>0</v>
      </c>
      <c r="O629" s="1" t="s">
        <v>1101</v>
      </c>
      <c r="P629">
        <v>0</v>
      </c>
      <c r="Q629">
        <v>0</v>
      </c>
      <c r="R629">
        <v>0</v>
      </c>
      <c r="S629">
        <v>0</v>
      </c>
      <c r="T629">
        <v>158.85371929999999</v>
      </c>
      <c r="U629">
        <f t="shared" si="18"/>
        <v>0</v>
      </c>
      <c r="V629">
        <f t="shared" si="19"/>
        <v>0</v>
      </c>
    </row>
    <row r="630" spans="1:22" x14ac:dyDescent="0.2">
      <c r="A630" t="s">
        <v>1098</v>
      </c>
      <c r="B630" t="s">
        <v>19</v>
      </c>
      <c r="C630" t="s">
        <v>76</v>
      </c>
      <c r="D630" t="s">
        <v>77</v>
      </c>
      <c r="E630" s="1" t="s">
        <v>138</v>
      </c>
      <c r="F630" t="s">
        <v>139</v>
      </c>
      <c r="G630">
        <v>22</v>
      </c>
      <c r="H630">
        <v>6611616</v>
      </c>
      <c r="I630">
        <v>0</v>
      </c>
      <c r="J630">
        <v>36</v>
      </c>
      <c r="K630">
        <v>98</v>
      </c>
      <c r="L630">
        <v>-6611616</v>
      </c>
      <c r="M630">
        <v>1</v>
      </c>
      <c r="N630">
        <v>0</v>
      </c>
      <c r="O630" s="1" t="s">
        <v>1102</v>
      </c>
      <c r="P630">
        <v>0</v>
      </c>
      <c r="Q630">
        <v>0</v>
      </c>
      <c r="R630">
        <v>0</v>
      </c>
      <c r="S630">
        <v>0</v>
      </c>
      <c r="T630">
        <v>158.85371929999999</v>
      </c>
      <c r="U630">
        <f t="shared" si="18"/>
        <v>0</v>
      </c>
      <c r="V630">
        <f t="shared" si="19"/>
        <v>0</v>
      </c>
    </row>
    <row r="631" spans="1:22" x14ac:dyDescent="0.2">
      <c r="A631" t="s">
        <v>1098</v>
      </c>
      <c r="B631" t="s">
        <v>19</v>
      </c>
      <c r="C631" t="s">
        <v>76</v>
      </c>
      <c r="D631" t="s">
        <v>77</v>
      </c>
      <c r="E631" s="1" t="s">
        <v>93</v>
      </c>
      <c r="F631" t="s">
        <v>94</v>
      </c>
      <c r="G631">
        <v>44</v>
      </c>
      <c r="H631">
        <v>10091119</v>
      </c>
      <c r="I631">
        <v>1592</v>
      </c>
      <c r="J631">
        <v>71</v>
      </c>
      <c r="K631">
        <v>89</v>
      </c>
      <c r="L631">
        <v>-10089527</v>
      </c>
      <c r="M631" s="1" t="s">
        <v>1103</v>
      </c>
      <c r="N631" s="1" t="s">
        <v>1104</v>
      </c>
      <c r="O631">
        <v>1.7310616009314699E-2</v>
      </c>
      <c r="P631">
        <v>0</v>
      </c>
      <c r="Q631">
        <v>0</v>
      </c>
      <c r="R631">
        <v>0</v>
      </c>
      <c r="S631">
        <v>0</v>
      </c>
      <c r="T631">
        <v>158.85371929999999</v>
      </c>
      <c r="U631">
        <f t="shared" si="18"/>
        <v>0</v>
      </c>
      <c r="V631">
        <f t="shared" si="19"/>
        <v>0</v>
      </c>
    </row>
    <row r="632" spans="1:22" x14ac:dyDescent="0.2">
      <c r="A632" t="s">
        <v>1098</v>
      </c>
      <c r="B632" t="s">
        <v>19</v>
      </c>
      <c r="C632" t="s">
        <v>76</v>
      </c>
      <c r="D632" t="s">
        <v>77</v>
      </c>
      <c r="E632">
        <v>10</v>
      </c>
      <c r="F632" t="s">
        <v>119</v>
      </c>
      <c r="G632">
        <v>48</v>
      </c>
      <c r="H632">
        <v>9245701</v>
      </c>
      <c r="I632">
        <v>0</v>
      </c>
      <c r="J632">
        <v>75</v>
      </c>
      <c r="K632">
        <v>97</v>
      </c>
      <c r="L632">
        <v>-9245701</v>
      </c>
      <c r="M632">
        <v>1</v>
      </c>
      <c r="N632">
        <v>0</v>
      </c>
      <c r="O632">
        <v>1.5857858185767602E-2</v>
      </c>
      <c r="P632">
        <v>0</v>
      </c>
      <c r="Q632">
        <v>0</v>
      </c>
      <c r="R632">
        <v>0</v>
      </c>
      <c r="S632">
        <v>0</v>
      </c>
      <c r="T632">
        <v>158.85371929999999</v>
      </c>
      <c r="U632">
        <f t="shared" si="18"/>
        <v>0</v>
      </c>
      <c r="V632">
        <f t="shared" si="19"/>
        <v>0</v>
      </c>
    </row>
    <row r="633" spans="1:22" x14ac:dyDescent="0.2">
      <c r="A633" t="s">
        <v>1098</v>
      </c>
      <c r="B633" t="s">
        <v>19</v>
      </c>
      <c r="C633" t="s">
        <v>76</v>
      </c>
      <c r="D633" t="s">
        <v>77</v>
      </c>
      <c r="E633">
        <v>15</v>
      </c>
      <c r="F633" t="s">
        <v>88</v>
      </c>
      <c r="G633">
        <v>73</v>
      </c>
      <c r="H633">
        <v>1435288</v>
      </c>
      <c r="I633">
        <v>1235</v>
      </c>
      <c r="J633">
        <v>74</v>
      </c>
      <c r="K633">
        <v>92</v>
      </c>
      <c r="L633">
        <v>-1434053</v>
      </c>
      <c r="M633" s="1" t="s">
        <v>1105</v>
      </c>
      <c r="N633" s="1" t="s">
        <v>1106</v>
      </c>
      <c r="O633">
        <v>2.46386704638117E-3</v>
      </c>
      <c r="P633">
        <v>0</v>
      </c>
      <c r="Q633">
        <v>0</v>
      </c>
      <c r="R633">
        <v>0</v>
      </c>
      <c r="S633">
        <v>0</v>
      </c>
      <c r="T633">
        <v>158.85371929999999</v>
      </c>
      <c r="U633">
        <f t="shared" si="18"/>
        <v>0</v>
      </c>
      <c r="V633">
        <f t="shared" si="19"/>
        <v>0</v>
      </c>
    </row>
    <row r="634" spans="1:22" x14ac:dyDescent="0.2">
      <c r="A634" t="s">
        <v>1098</v>
      </c>
      <c r="B634" t="s">
        <v>19</v>
      </c>
      <c r="C634" t="s">
        <v>76</v>
      </c>
      <c r="D634" t="s">
        <v>77</v>
      </c>
      <c r="E634">
        <v>16</v>
      </c>
      <c r="F634" t="s">
        <v>95</v>
      </c>
      <c r="G634">
        <v>85</v>
      </c>
      <c r="H634">
        <v>778785</v>
      </c>
      <c r="I634">
        <v>5169</v>
      </c>
      <c r="J634">
        <v>103</v>
      </c>
      <c r="K634">
        <v>102</v>
      </c>
      <c r="L634">
        <v>-773616</v>
      </c>
      <c r="M634">
        <v>0.99340650089163396</v>
      </c>
      <c r="N634">
        <v>6.5934991083660497E-3</v>
      </c>
      <c r="O634">
        <v>1.34460668327531E-3</v>
      </c>
      <c r="P634">
        <v>0</v>
      </c>
      <c r="Q634">
        <v>0</v>
      </c>
      <c r="R634">
        <v>0</v>
      </c>
      <c r="S634">
        <v>0</v>
      </c>
      <c r="T634">
        <v>158.85371929999999</v>
      </c>
      <c r="U634">
        <f t="shared" si="18"/>
        <v>0</v>
      </c>
      <c r="V634">
        <f t="shared" si="19"/>
        <v>0</v>
      </c>
    </row>
    <row r="635" spans="1:22" x14ac:dyDescent="0.2">
      <c r="A635" t="s">
        <v>1098</v>
      </c>
      <c r="B635" t="s">
        <v>19</v>
      </c>
      <c r="C635" t="s">
        <v>76</v>
      </c>
      <c r="D635" t="s">
        <v>77</v>
      </c>
      <c r="E635">
        <v>17</v>
      </c>
      <c r="F635" t="s">
        <v>97</v>
      </c>
      <c r="G635">
        <v>87</v>
      </c>
      <c r="H635">
        <v>5534353</v>
      </c>
      <c r="I635">
        <v>0</v>
      </c>
      <c r="J635">
        <v>60</v>
      </c>
      <c r="K635">
        <v>96</v>
      </c>
      <c r="L635">
        <v>-5534353</v>
      </c>
      <c r="M635">
        <v>1</v>
      </c>
      <c r="N635">
        <v>0</v>
      </c>
      <c r="O635">
        <v>9.4923018843003498E-3</v>
      </c>
      <c r="P635">
        <v>0</v>
      </c>
      <c r="Q635">
        <v>0</v>
      </c>
      <c r="R635">
        <v>0</v>
      </c>
      <c r="S635">
        <v>0</v>
      </c>
      <c r="T635">
        <v>158.85371929999999</v>
      </c>
      <c r="U635">
        <f t="shared" si="18"/>
        <v>0</v>
      </c>
      <c r="V635">
        <f t="shared" si="19"/>
        <v>0</v>
      </c>
    </row>
    <row r="636" spans="1:22" x14ac:dyDescent="0.2">
      <c r="A636" t="s">
        <v>1098</v>
      </c>
      <c r="B636" t="s">
        <v>19</v>
      </c>
      <c r="C636" t="s">
        <v>76</v>
      </c>
      <c r="D636" t="s">
        <v>77</v>
      </c>
      <c r="E636" s="1" t="s">
        <v>85</v>
      </c>
      <c r="F636" t="s">
        <v>86</v>
      </c>
      <c r="G636">
        <v>25</v>
      </c>
      <c r="H636">
        <v>2384593</v>
      </c>
      <c r="I636">
        <v>0</v>
      </c>
      <c r="J636">
        <v>61</v>
      </c>
      <c r="K636">
        <v>95</v>
      </c>
      <c r="L636">
        <v>-2384593</v>
      </c>
      <c r="M636">
        <v>1</v>
      </c>
      <c r="N636">
        <v>0</v>
      </c>
      <c r="O636">
        <v>4.0899589576576401E-3</v>
      </c>
      <c r="P636">
        <v>0</v>
      </c>
      <c r="Q636">
        <v>0</v>
      </c>
      <c r="R636">
        <v>0</v>
      </c>
      <c r="S636">
        <v>0</v>
      </c>
      <c r="T636">
        <v>158.85371929999999</v>
      </c>
      <c r="U636">
        <f t="shared" si="18"/>
        <v>0</v>
      </c>
      <c r="V636">
        <f t="shared" si="19"/>
        <v>0</v>
      </c>
    </row>
    <row r="637" spans="1:22" x14ac:dyDescent="0.2">
      <c r="A637" t="s">
        <v>1098</v>
      </c>
      <c r="B637" t="s">
        <v>19</v>
      </c>
      <c r="C637" t="s">
        <v>76</v>
      </c>
      <c r="D637" t="s">
        <v>77</v>
      </c>
      <c r="E637" s="1" t="s">
        <v>89</v>
      </c>
      <c r="F637" t="s">
        <v>90</v>
      </c>
      <c r="G637">
        <v>32</v>
      </c>
      <c r="H637">
        <v>154719</v>
      </c>
      <c r="I637">
        <v>0</v>
      </c>
      <c r="J637">
        <v>82</v>
      </c>
      <c r="K637">
        <v>80</v>
      </c>
      <c r="L637">
        <v>-154719</v>
      </c>
      <c r="M637">
        <v>1</v>
      </c>
      <c r="N637">
        <v>0</v>
      </c>
      <c r="O637" s="1" t="s">
        <v>1107</v>
      </c>
      <c r="P637">
        <v>0</v>
      </c>
      <c r="Q637">
        <v>0</v>
      </c>
      <c r="R637">
        <v>0</v>
      </c>
      <c r="S637">
        <v>0</v>
      </c>
      <c r="T637">
        <v>158.85371929999999</v>
      </c>
      <c r="U637">
        <f t="shared" si="18"/>
        <v>0</v>
      </c>
      <c r="V637">
        <f t="shared" si="19"/>
        <v>0</v>
      </c>
    </row>
    <row r="638" spans="1:22" x14ac:dyDescent="0.2">
      <c r="A638" t="s">
        <v>1098</v>
      </c>
      <c r="B638" t="s">
        <v>19</v>
      </c>
      <c r="C638" t="s">
        <v>76</v>
      </c>
      <c r="D638" t="s">
        <v>77</v>
      </c>
      <c r="E638">
        <v>15</v>
      </c>
      <c r="F638" t="s">
        <v>88</v>
      </c>
      <c r="G638">
        <v>76</v>
      </c>
      <c r="H638">
        <v>49662</v>
      </c>
      <c r="I638">
        <v>0</v>
      </c>
      <c r="J638">
        <v>102</v>
      </c>
      <c r="K638">
        <v>92</v>
      </c>
      <c r="L638">
        <v>-49662</v>
      </c>
      <c r="M638">
        <v>1</v>
      </c>
      <c r="N638">
        <v>0</v>
      </c>
      <c r="O638" s="1" t="s">
        <v>1108</v>
      </c>
      <c r="P638">
        <v>0</v>
      </c>
      <c r="Q638">
        <v>0</v>
      </c>
      <c r="R638">
        <v>0</v>
      </c>
      <c r="S638">
        <v>0</v>
      </c>
      <c r="T638">
        <v>158.85371929999999</v>
      </c>
      <c r="U638">
        <f t="shared" si="18"/>
        <v>0</v>
      </c>
      <c r="V638">
        <f t="shared" si="19"/>
        <v>0</v>
      </c>
    </row>
    <row r="639" spans="1:22" x14ac:dyDescent="0.2">
      <c r="A639" t="s">
        <v>1098</v>
      </c>
      <c r="B639" t="s">
        <v>19</v>
      </c>
      <c r="C639" t="s">
        <v>76</v>
      </c>
      <c r="D639" t="s">
        <v>77</v>
      </c>
      <c r="E639" s="1" t="s">
        <v>89</v>
      </c>
      <c r="F639" t="s">
        <v>90</v>
      </c>
      <c r="G639">
        <v>28</v>
      </c>
      <c r="H639">
        <v>846571</v>
      </c>
      <c r="I639">
        <v>0</v>
      </c>
      <c r="J639">
        <v>107</v>
      </c>
      <c r="K639">
        <v>85</v>
      </c>
      <c r="L639">
        <v>-846571</v>
      </c>
      <c r="M639">
        <v>1</v>
      </c>
      <c r="N639">
        <v>0</v>
      </c>
      <c r="O639">
        <v>1.45200486822832E-3</v>
      </c>
      <c r="P639">
        <v>0</v>
      </c>
      <c r="Q639">
        <v>0</v>
      </c>
      <c r="R639">
        <v>0</v>
      </c>
      <c r="S639">
        <v>0</v>
      </c>
      <c r="T639">
        <v>158.85371929999999</v>
      </c>
      <c r="U639">
        <f t="shared" si="18"/>
        <v>0</v>
      </c>
      <c r="V639">
        <f t="shared" si="19"/>
        <v>0</v>
      </c>
    </row>
    <row r="640" spans="1:22" x14ac:dyDescent="0.2">
      <c r="A640" t="s">
        <v>1098</v>
      </c>
      <c r="B640" t="s">
        <v>19</v>
      </c>
      <c r="C640" t="s">
        <v>76</v>
      </c>
      <c r="D640" t="s">
        <v>77</v>
      </c>
      <c r="E640" s="1" t="s">
        <v>138</v>
      </c>
      <c r="F640" t="s">
        <v>139</v>
      </c>
      <c r="G640">
        <v>19</v>
      </c>
      <c r="H640">
        <v>40699</v>
      </c>
      <c r="I640">
        <v>0</v>
      </c>
      <c r="J640">
        <v>69</v>
      </c>
      <c r="K640">
        <v>86</v>
      </c>
      <c r="L640">
        <v>-40699</v>
      </c>
      <c r="M640">
        <v>1</v>
      </c>
      <c r="N640">
        <v>0</v>
      </c>
      <c r="O640" s="1" t="s">
        <v>1109</v>
      </c>
      <c r="P640">
        <v>0</v>
      </c>
      <c r="Q640">
        <v>0</v>
      </c>
      <c r="R640">
        <v>0</v>
      </c>
      <c r="S640">
        <v>0</v>
      </c>
      <c r="T640">
        <v>158.85371929999999</v>
      </c>
      <c r="U640">
        <f t="shared" si="18"/>
        <v>0</v>
      </c>
      <c r="V640">
        <f t="shared" si="19"/>
        <v>0</v>
      </c>
    </row>
    <row r="641" spans="1:22" x14ac:dyDescent="0.2">
      <c r="A641" t="s">
        <v>1098</v>
      </c>
      <c r="B641" t="s">
        <v>19</v>
      </c>
      <c r="C641" t="s">
        <v>76</v>
      </c>
      <c r="D641" t="s">
        <v>77</v>
      </c>
      <c r="E641" s="1" t="s">
        <v>89</v>
      </c>
      <c r="F641" t="s">
        <v>90</v>
      </c>
      <c r="G641">
        <v>37</v>
      </c>
      <c r="H641">
        <v>38644</v>
      </c>
      <c r="I641">
        <v>0</v>
      </c>
      <c r="J641">
        <v>18</v>
      </c>
      <c r="K641">
        <v>50</v>
      </c>
      <c r="L641">
        <v>-38644</v>
      </c>
      <c r="M641">
        <v>1</v>
      </c>
      <c r="N641">
        <v>0</v>
      </c>
      <c r="O641" s="1" t="s">
        <v>1110</v>
      </c>
      <c r="P641">
        <v>0</v>
      </c>
      <c r="Q641">
        <v>0</v>
      </c>
      <c r="R641">
        <v>0</v>
      </c>
      <c r="S641">
        <v>0</v>
      </c>
      <c r="T641">
        <v>158.85371929999999</v>
      </c>
      <c r="U641">
        <f t="shared" si="18"/>
        <v>0</v>
      </c>
      <c r="V641">
        <f t="shared" si="19"/>
        <v>0</v>
      </c>
    </row>
    <row r="642" spans="1:22" x14ac:dyDescent="0.2">
      <c r="A642" t="s">
        <v>1098</v>
      </c>
      <c r="B642" t="s">
        <v>19</v>
      </c>
      <c r="C642" t="s">
        <v>76</v>
      </c>
      <c r="D642" t="s">
        <v>77</v>
      </c>
      <c r="E642" s="1" t="s">
        <v>89</v>
      </c>
      <c r="F642" t="s">
        <v>90</v>
      </c>
      <c r="G642">
        <v>29</v>
      </c>
      <c r="H642">
        <v>148824</v>
      </c>
      <c r="I642">
        <v>0</v>
      </c>
      <c r="J642">
        <v>100</v>
      </c>
      <c r="K642">
        <v>81</v>
      </c>
      <c r="L642">
        <v>-148824</v>
      </c>
      <c r="M642">
        <v>1</v>
      </c>
      <c r="N642">
        <v>0</v>
      </c>
      <c r="O642" s="1" t="s">
        <v>1111</v>
      </c>
      <c r="P642">
        <v>0</v>
      </c>
      <c r="Q642">
        <v>0</v>
      </c>
      <c r="R642">
        <v>0</v>
      </c>
      <c r="S642">
        <v>0</v>
      </c>
      <c r="T642">
        <v>158.85371929999999</v>
      </c>
      <c r="U642">
        <f t="shared" si="18"/>
        <v>0</v>
      </c>
      <c r="V642">
        <f t="shared" si="19"/>
        <v>0</v>
      </c>
    </row>
    <row r="643" spans="1:22" x14ac:dyDescent="0.2">
      <c r="A643" t="s">
        <v>1098</v>
      </c>
      <c r="B643" t="s">
        <v>19</v>
      </c>
      <c r="C643" t="s">
        <v>76</v>
      </c>
      <c r="D643" t="s">
        <v>77</v>
      </c>
      <c r="E643" s="1" t="s">
        <v>99</v>
      </c>
      <c r="F643" t="s">
        <v>100</v>
      </c>
      <c r="G643">
        <v>40</v>
      </c>
      <c r="H643">
        <v>663437</v>
      </c>
      <c r="I643">
        <v>0</v>
      </c>
      <c r="J643">
        <v>88</v>
      </c>
      <c r="K643">
        <v>97</v>
      </c>
      <c r="L643">
        <v>-663437</v>
      </c>
      <c r="M643">
        <v>1</v>
      </c>
      <c r="N643">
        <v>0</v>
      </c>
      <c r="O643">
        <v>1.13790072393549E-3</v>
      </c>
      <c r="P643">
        <v>0</v>
      </c>
      <c r="Q643">
        <v>0</v>
      </c>
      <c r="R643">
        <v>0</v>
      </c>
      <c r="S643">
        <v>0</v>
      </c>
      <c r="T643">
        <v>158.85371929999999</v>
      </c>
      <c r="U643">
        <f t="shared" ref="U643:U706" si="20">IF(OR(P643=1,Q643=1),1,0)</f>
        <v>0</v>
      </c>
      <c r="V643">
        <f t="shared" ref="V643:V706" si="21">IF(OR(R643=1,S643=1),1,0)</f>
        <v>0</v>
      </c>
    </row>
    <row r="644" spans="1:22" x14ac:dyDescent="0.2">
      <c r="A644" t="s">
        <v>1098</v>
      </c>
      <c r="B644" t="s">
        <v>19</v>
      </c>
      <c r="C644" t="s">
        <v>76</v>
      </c>
      <c r="D644" t="s">
        <v>77</v>
      </c>
      <c r="E644" s="1" t="s">
        <v>89</v>
      </c>
      <c r="F644" t="s">
        <v>90</v>
      </c>
      <c r="G644">
        <v>38</v>
      </c>
      <c r="H644">
        <v>1388848</v>
      </c>
      <c r="I644">
        <v>0</v>
      </c>
      <c r="J644">
        <v>72</v>
      </c>
      <c r="K644">
        <v>87</v>
      </c>
      <c r="L644">
        <v>-1388848</v>
      </c>
      <c r="M644">
        <v>1</v>
      </c>
      <c r="N644">
        <v>0</v>
      </c>
      <c r="O644">
        <v>2.3820967848286398E-3</v>
      </c>
      <c r="P644">
        <v>0</v>
      </c>
      <c r="Q644">
        <v>0</v>
      </c>
      <c r="R644">
        <v>0</v>
      </c>
      <c r="S644">
        <v>0</v>
      </c>
      <c r="T644">
        <v>158.85371929999999</v>
      </c>
      <c r="U644">
        <f t="shared" si="20"/>
        <v>0</v>
      </c>
      <c r="V644">
        <f t="shared" si="21"/>
        <v>0</v>
      </c>
    </row>
    <row r="645" spans="1:22" x14ac:dyDescent="0.2">
      <c r="A645" t="s">
        <v>1098</v>
      </c>
      <c r="B645" t="s">
        <v>19</v>
      </c>
      <c r="C645" t="s">
        <v>76</v>
      </c>
      <c r="D645" t="s">
        <v>77</v>
      </c>
      <c r="E645">
        <v>16</v>
      </c>
      <c r="F645" t="s">
        <v>95</v>
      </c>
      <c r="G645">
        <v>84</v>
      </c>
      <c r="H645">
        <v>9649328</v>
      </c>
      <c r="I645">
        <v>165</v>
      </c>
      <c r="J645">
        <v>69</v>
      </c>
      <c r="K645">
        <v>116</v>
      </c>
      <c r="L645">
        <v>-9649163</v>
      </c>
      <c r="M645" s="1" t="s">
        <v>1112</v>
      </c>
      <c r="N645" s="1" t="s">
        <v>1113</v>
      </c>
      <c r="O645">
        <v>1.6550426144924801E-2</v>
      </c>
      <c r="P645">
        <v>0</v>
      </c>
      <c r="Q645">
        <v>0</v>
      </c>
      <c r="R645">
        <v>0</v>
      </c>
      <c r="S645">
        <v>0</v>
      </c>
      <c r="T645">
        <v>158.85371929999999</v>
      </c>
      <c r="U645">
        <f t="shared" si="20"/>
        <v>0</v>
      </c>
      <c r="V645">
        <f t="shared" si="21"/>
        <v>0</v>
      </c>
    </row>
    <row r="646" spans="1:22" x14ac:dyDescent="0.2">
      <c r="A646" t="s">
        <v>1098</v>
      </c>
      <c r="B646" t="s">
        <v>19</v>
      </c>
      <c r="C646" t="s">
        <v>76</v>
      </c>
      <c r="D646" t="s">
        <v>77</v>
      </c>
      <c r="E646" s="1" t="s">
        <v>89</v>
      </c>
      <c r="F646" t="s">
        <v>90</v>
      </c>
      <c r="G646">
        <v>30</v>
      </c>
      <c r="H646">
        <v>884072</v>
      </c>
      <c r="I646">
        <v>0</v>
      </c>
      <c r="J646">
        <v>66</v>
      </c>
      <c r="K646">
        <v>91</v>
      </c>
      <c r="L646">
        <v>-884072</v>
      </c>
      <c r="M646">
        <v>1</v>
      </c>
      <c r="N646">
        <v>0</v>
      </c>
      <c r="O646">
        <v>1.51632509011571E-3</v>
      </c>
      <c r="P646">
        <v>0</v>
      </c>
      <c r="Q646">
        <v>0</v>
      </c>
      <c r="R646">
        <v>0</v>
      </c>
      <c r="S646">
        <v>0</v>
      </c>
      <c r="T646">
        <v>158.85371929999999</v>
      </c>
      <c r="U646">
        <f t="shared" si="20"/>
        <v>0</v>
      </c>
      <c r="V646">
        <f t="shared" si="21"/>
        <v>0</v>
      </c>
    </row>
    <row r="647" spans="1:22" x14ac:dyDescent="0.2">
      <c r="A647" t="s">
        <v>1098</v>
      </c>
      <c r="B647" t="s">
        <v>19</v>
      </c>
      <c r="C647" t="s">
        <v>76</v>
      </c>
      <c r="D647" t="s">
        <v>77</v>
      </c>
      <c r="E647">
        <v>18</v>
      </c>
      <c r="F647" t="s">
        <v>147</v>
      </c>
      <c r="G647">
        <v>90</v>
      </c>
      <c r="H647">
        <v>281723</v>
      </c>
      <c r="I647">
        <v>0</v>
      </c>
      <c r="J647">
        <v>99</v>
      </c>
      <c r="K647">
        <v>103</v>
      </c>
      <c r="L647">
        <v>-281723</v>
      </c>
      <c r="M647">
        <v>1</v>
      </c>
      <c r="N647">
        <v>0</v>
      </c>
      <c r="O647" s="1" t="s">
        <v>1114</v>
      </c>
      <c r="P647">
        <v>0</v>
      </c>
      <c r="Q647">
        <v>0</v>
      </c>
      <c r="R647">
        <v>0</v>
      </c>
      <c r="S647">
        <v>0</v>
      </c>
      <c r="T647">
        <v>158.85371929999999</v>
      </c>
      <c r="U647">
        <f t="shared" si="20"/>
        <v>0</v>
      </c>
      <c r="V647">
        <f t="shared" si="21"/>
        <v>0</v>
      </c>
    </row>
    <row r="648" spans="1:22" x14ac:dyDescent="0.2">
      <c r="A648" t="s">
        <v>1098</v>
      </c>
      <c r="B648" t="s">
        <v>19</v>
      </c>
      <c r="C648" t="s">
        <v>76</v>
      </c>
      <c r="D648" t="s">
        <v>77</v>
      </c>
      <c r="E648" s="1" t="s">
        <v>99</v>
      </c>
      <c r="F648" t="s">
        <v>100</v>
      </c>
      <c r="G648">
        <v>39</v>
      </c>
      <c r="H648">
        <v>178813</v>
      </c>
      <c r="I648">
        <v>2349</v>
      </c>
      <c r="J648">
        <v>109</v>
      </c>
      <c r="K648">
        <v>95</v>
      </c>
      <c r="L648">
        <v>-176464</v>
      </c>
      <c r="M648" s="1" t="s">
        <v>1115</v>
      </c>
      <c r="N648" s="1" t="s">
        <v>1116</v>
      </c>
      <c r="O648" s="1" t="s">
        <v>1117</v>
      </c>
      <c r="P648">
        <v>0</v>
      </c>
      <c r="Q648">
        <v>0</v>
      </c>
      <c r="R648">
        <v>0</v>
      </c>
      <c r="S648">
        <v>0</v>
      </c>
      <c r="T648">
        <v>158.85371929999999</v>
      </c>
      <c r="U648">
        <f t="shared" si="20"/>
        <v>0</v>
      </c>
      <c r="V648">
        <f t="shared" si="21"/>
        <v>0</v>
      </c>
    </row>
    <row r="649" spans="1:22" x14ac:dyDescent="0.2">
      <c r="A649" t="s">
        <v>1098</v>
      </c>
      <c r="B649" t="s">
        <v>19</v>
      </c>
      <c r="C649" t="s">
        <v>76</v>
      </c>
      <c r="D649" t="s">
        <v>77</v>
      </c>
      <c r="E649">
        <v>15</v>
      </c>
      <c r="F649" t="s">
        <v>88</v>
      </c>
      <c r="G649">
        <v>83</v>
      </c>
      <c r="H649">
        <v>7409</v>
      </c>
      <c r="I649">
        <v>3</v>
      </c>
      <c r="J649">
        <v>97</v>
      </c>
      <c r="K649">
        <v>84</v>
      </c>
      <c r="L649">
        <v>-7406</v>
      </c>
      <c r="M649" s="1" t="s">
        <v>1118</v>
      </c>
      <c r="N649" s="1" t="s">
        <v>1119</v>
      </c>
      <c r="O649" s="1" t="s">
        <v>1120</v>
      </c>
      <c r="P649">
        <v>0</v>
      </c>
      <c r="Q649">
        <v>0</v>
      </c>
      <c r="R649">
        <v>0</v>
      </c>
      <c r="S649">
        <v>0</v>
      </c>
      <c r="T649">
        <v>158.85371929999999</v>
      </c>
      <c r="U649">
        <f t="shared" si="20"/>
        <v>0</v>
      </c>
      <c r="V649">
        <f t="shared" si="21"/>
        <v>0</v>
      </c>
    </row>
    <row r="650" spans="1:22" x14ac:dyDescent="0.2">
      <c r="A650" t="s">
        <v>1098</v>
      </c>
      <c r="B650" t="s">
        <v>19</v>
      </c>
      <c r="C650" t="s">
        <v>76</v>
      </c>
      <c r="D650" t="s">
        <v>77</v>
      </c>
      <c r="E650" s="1" t="s">
        <v>163</v>
      </c>
      <c r="F650" t="s">
        <v>224</v>
      </c>
      <c r="G650">
        <v>42</v>
      </c>
      <c r="H650">
        <v>7809</v>
      </c>
      <c r="I650">
        <v>70</v>
      </c>
      <c r="J650">
        <v>75</v>
      </c>
      <c r="K650">
        <v>92</v>
      </c>
      <c r="L650">
        <v>-7739</v>
      </c>
      <c r="M650" s="1" t="s">
        <v>1121</v>
      </c>
      <c r="N650">
        <v>8.8843761898718104E-3</v>
      </c>
      <c r="O650" s="1" t="s">
        <v>1122</v>
      </c>
      <c r="P650">
        <v>0</v>
      </c>
      <c r="Q650">
        <v>0</v>
      </c>
      <c r="R650">
        <v>0</v>
      </c>
      <c r="S650">
        <v>0</v>
      </c>
      <c r="T650">
        <v>158.85371929999999</v>
      </c>
      <c r="U650">
        <f t="shared" si="20"/>
        <v>0</v>
      </c>
      <c r="V650">
        <f t="shared" si="21"/>
        <v>0</v>
      </c>
    </row>
    <row r="651" spans="1:22" x14ac:dyDescent="0.2">
      <c r="A651" t="s">
        <v>1098</v>
      </c>
      <c r="B651" t="s">
        <v>19</v>
      </c>
      <c r="C651" t="s">
        <v>76</v>
      </c>
      <c r="D651" t="s">
        <v>77</v>
      </c>
      <c r="E651">
        <v>15</v>
      </c>
      <c r="F651" t="s">
        <v>88</v>
      </c>
      <c r="G651">
        <v>82</v>
      </c>
      <c r="H651">
        <v>15726</v>
      </c>
      <c r="I651">
        <v>169</v>
      </c>
      <c r="J651">
        <v>113</v>
      </c>
      <c r="K651">
        <v>89</v>
      </c>
      <c r="L651">
        <v>-15557</v>
      </c>
      <c r="M651" s="1" t="s">
        <v>1123</v>
      </c>
      <c r="N651">
        <v>1.0632274300094301E-2</v>
      </c>
      <c r="O651" s="1" t="s">
        <v>1124</v>
      </c>
      <c r="P651">
        <v>0</v>
      </c>
      <c r="Q651">
        <v>0</v>
      </c>
      <c r="R651">
        <v>0</v>
      </c>
      <c r="S651">
        <v>0</v>
      </c>
      <c r="T651">
        <v>158.85371929999999</v>
      </c>
      <c r="U651">
        <f t="shared" si="20"/>
        <v>0</v>
      </c>
      <c r="V651">
        <f t="shared" si="21"/>
        <v>0</v>
      </c>
    </row>
    <row r="652" spans="1:22" x14ac:dyDescent="0.2">
      <c r="A652" t="s">
        <v>1098</v>
      </c>
      <c r="B652" t="s">
        <v>19</v>
      </c>
      <c r="C652" t="s">
        <v>76</v>
      </c>
      <c r="D652" t="s">
        <v>77</v>
      </c>
      <c r="E652">
        <v>20</v>
      </c>
      <c r="F652" t="s">
        <v>104</v>
      </c>
      <c r="G652">
        <v>94</v>
      </c>
      <c r="H652">
        <v>51139</v>
      </c>
      <c r="I652">
        <v>3137</v>
      </c>
      <c r="J652">
        <v>93</v>
      </c>
      <c r="K652">
        <v>86</v>
      </c>
      <c r="L652">
        <v>-48002</v>
      </c>
      <c r="M652">
        <v>0.94220281524062199</v>
      </c>
      <c r="N652">
        <v>5.7797184759377902E-2</v>
      </c>
      <c r="O652" s="1" t="s">
        <v>1125</v>
      </c>
      <c r="P652">
        <v>0</v>
      </c>
      <c r="Q652">
        <v>0</v>
      </c>
      <c r="R652">
        <v>0</v>
      </c>
      <c r="S652">
        <v>0</v>
      </c>
      <c r="T652">
        <v>158.85371929999999</v>
      </c>
      <c r="U652">
        <f t="shared" si="20"/>
        <v>0</v>
      </c>
      <c r="V652">
        <f t="shared" si="21"/>
        <v>0</v>
      </c>
    </row>
    <row r="653" spans="1:22" x14ac:dyDescent="0.2">
      <c r="A653" t="s">
        <v>1098</v>
      </c>
      <c r="B653" t="s">
        <v>19</v>
      </c>
      <c r="C653" t="s">
        <v>76</v>
      </c>
      <c r="D653" t="s">
        <v>77</v>
      </c>
      <c r="E653">
        <v>13</v>
      </c>
      <c r="F653" t="s">
        <v>91</v>
      </c>
      <c r="G653">
        <v>70</v>
      </c>
      <c r="H653">
        <v>4048</v>
      </c>
      <c r="I653">
        <v>585</v>
      </c>
      <c r="J653">
        <v>109</v>
      </c>
      <c r="K653">
        <v>77</v>
      </c>
      <c r="L653">
        <v>-3463</v>
      </c>
      <c r="M653" s="1" t="s">
        <v>1126</v>
      </c>
      <c r="N653" s="1" t="s">
        <v>1127</v>
      </c>
      <c r="O653" s="1" t="s">
        <v>1128</v>
      </c>
      <c r="P653">
        <v>0</v>
      </c>
      <c r="Q653">
        <v>0</v>
      </c>
      <c r="R653">
        <v>0</v>
      </c>
      <c r="S653">
        <v>0</v>
      </c>
      <c r="T653">
        <v>158.85371929999999</v>
      </c>
      <c r="U653">
        <f t="shared" si="20"/>
        <v>0</v>
      </c>
      <c r="V653">
        <f t="shared" si="21"/>
        <v>0</v>
      </c>
    </row>
    <row r="654" spans="1:22" x14ac:dyDescent="0.2">
      <c r="A654" t="s">
        <v>1098</v>
      </c>
      <c r="B654" t="s">
        <v>19</v>
      </c>
      <c r="C654" t="s">
        <v>76</v>
      </c>
      <c r="D654" t="s">
        <v>77</v>
      </c>
      <c r="E654">
        <v>12</v>
      </c>
      <c r="F654" t="s">
        <v>194</v>
      </c>
      <c r="G654">
        <v>65</v>
      </c>
      <c r="H654">
        <v>721</v>
      </c>
      <c r="I654">
        <v>0</v>
      </c>
      <c r="J654">
        <v>79</v>
      </c>
      <c r="K654">
        <v>84</v>
      </c>
      <c r="L654">
        <v>-721</v>
      </c>
      <c r="M654">
        <v>1</v>
      </c>
      <c r="N654">
        <v>0</v>
      </c>
      <c r="O654" s="1" t="s">
        <v>1129</v>
      </c>
      <c r="P654">
        <v>0</v>
      </c>
      <c r="Q654">
        <v>0</v>
      </c>
      <c r="R654">
        <v>0</v>
      </c>
      <c r="S654">
        <v>0</v>
      </c>
      <c r="T654">
        <v>158.85371929999999</v>
      </c>
      <c r="U654">
        <f t="shared" si="20"/>
        <v>0</v>
      </c>
      <c r="V654">
        <f t="shared" si="21"/>
        <v>0</v>
      </c>
    </row>
    <row r="655" spans="1:22" x14ac:dyDescent="0.2">
      <c r="A655" t="s">
        <v>1098</v>
      </c>
      <c r="B655" t="s">
        <v>19</v>
      </c>
      <c r="C655" t="s">
        <v>76</v>
      </c>
      <c r="D655" t="s">
        <v>77</v>
      </c>
      <c r="E655" s="1" t="s">
        <v>89</v>
      </c>
      <c r="F655" t="s">
        <v>90</v>
      </c>
      <c r="G655">
        <v>33</v>
      </c>
      <c r="H655">
        <v>11988</v>
      </c>
      <c r="I655">
        <v>374</v>
      </c>
      <c r="J655">
        <v>106</v>
      </c>
      <c r="K655">
        <v>88</v>
      </c>
      <c r="L655">
        <v>-11614</v>
      </c>
      <c r="M655" s="1" t="s">
        <v>1130</v>
      </c>
      <c r="N655">
        <v>3.0254004206438999E-2</v>
      </c>
      <c r="O655" s="1" t="s">
        <v>1131</v>
      </c>
      <c r="P655">
        <v>0</v>
      </c>
      <c r="Q655">
        <v>0</v>
      </c>
      <c r="R655">
        <v>0</v>
      </c>
      <c r="S655">
        <v>0</v>
      </c>
      <c r="T655">
        <v>158.85371929999999</v>
      </c>
      <c r="U655">
        <f t="shared" si="20"/>
        <v>0</v>
      </c>
      <c r="V655">
        <f t="shared" si="21"/>
        <v>0</v>
      </c>
    </row>
    <row r="656" spans="1:22" x14ac:dyDescent="0.2">
      <c r="A656" t="s">
        <v>1098</v>
      </c>
      <c r="B656" t="s">
        <v>19</v>
      </c>
      <c r="C656" t="s">
        <v>76</v>
      </c>
      <c r="D656" t="s">
        <v>77</v>
      </c>
      <c r="E656" s="1" t="s">
        <v>82</v>
      </c>
      <c r="F656" t="s">
        <v>83</v>
      </c>
      <c r="G656" s="1" t="s">
        <v>163</v>
      </c>
      <c r="H656">
        <v>0</v>
      </c>
      <c r="I656">
        <v>44152</v>
      </c>
      <c r="J656">
        <v>74</v>
      </c>
      <c r="K656">
        <v>84</v>
      </c>
      <c r="L656">
        <v>44152</v>
      </c>
      <c r="M656">
        <v>0</v>
      </c>
      <c r="N656">
        <v>1</v>
      </c>
      <c r="O656" s="1" t="s">
        <v>1132</v>
      </c>
      <c r="P656">
        <v>0</v>
      </c>
      <c r="Q656">
        <v>0</v>
      </c>
      <c r="R656">
        <v>0</v>
      </c>
      <c r="S656">
        <v>0</v>
      </c>
      <c r="T656">
        <v>158.85371929999999</v>
      </c>
      <c r="U656">
        <f t="shared" si="20"/>
        <v>0</v>
      </c>
      <c r="V656">
        <f t="shared" si="21"/>
        <v>0</v>
      </c>
    </row>
    <row r="657" spans="1:22" x14ac:dyDescent="0.2">
      <c r="A657" t="s">
        <v>1098</v>
      </c>
      <c r="B657" t="s">
        <v>19</v>
      </c>
      <c r="C657" t="s">
        <v>76</v>
      </c>
      <c r="D657" t="s">
        <v>77</v>
      </c>
      <c r="E657">
        <v>12</v>
      </c>
      <c r="F657" t="s">
        <v>194</v>
      </c>
      <c r="G657">
        <v>64</v>
      </c>
      <c r="H657">
        <v>1678</v>
      </c>
      <c r="I657">
        <v>44749</v>
      </c>
      <c r="J657">
        <v>94</v>
      </c>
      <c r="K657">
        <v>71</v>
      </c>
      <c r="L657">
        <v>43071</v>
      </c>
      <c r="M657">
        <v>3.61427617550132E-2</v>
      </c>
      <c r="N657" s="1" t="s">
        <v>1133</v>
      </c>
      <c r="O657" s="1" t="s">
        <v>1134</v>
      </c>
      <c r="P657">
        <v>0</v>
      </c>
      <c r="Q657">
        <v>0</v>
      </c>
      <c r="R657">
        <v>0</v>
      </c>
      <c r="S657">
        <v>0</v>
      </c>
      <c r="T657">
        <v>158.85371929999999</v>
      </c>
      <c r="U657">
        <f t="shared" si="20"/>
        <v>0</v>
      </c>
      <c r="V657">
        <f t="shared" si="21"/>
        <v>0</v>
      </c>
    </row>
    <row r="658" spans="1:22" x14ac:dyDescent="0.2">
      <c r="A658" t="s">
        <v>1098</v>
      </c>
      <c r="B658" t="s">
        <v>19</v>
      </c>
      <c r="C658" t="s">
        <v>76</v>
      </c>
      <c r="D658" t="s">
        <v>77</v>
      </c>
      <c r="E658">
        <v>14</v>
      </c>
      <c r="F658" t="s">
        <v>261</v>
      </c>
      <c r="G658">
        <v>71</v>
      </c>
      <c r="H658">
        <v>0</v>
      </c>
      <c r="I658">
        <v>11806</v>
      </c>
      <c r="J658">
        <v>98</v>
      </c>
      <c r="K658">
        <v>61</v>
      </c>
      <c r="L658">
        <v>11806</v>
      </c>
      <c r="M658">
        <v>0</v>
      </c>
      <c r="N658">
        <v>1</v>
      </c>
      <c r="O658" s="1" t="s">
        <v>1135</v>
      </c>
      <c r="P658">
        <v>0</v>
      </c>
      <c r="Q658">
        <v>0</v>
      </c>
      <c r="R658">
        <v>0</v>
      </c>
      <c r="S658">
        <v>0</v>
      </c>
      <c r="T658">
        <v>158.85371929999999</v>
      </c>
      <c r="U658">
        <f t="shared" si="20"/>
        <v>0</v>
      </c>
      <c r="V658">
        <f t="shared" si="21"/>
        <v>0</v>
      </c>
    </row>
    <row r="659" spans="1:22" x14ac:dyDescent="0.2">
      <c r="A659" t="s">
        <v>1098</v>
      </c>
      <c r="B659" t="s">
        <v>19</v>
      </c>
      <c r="C659" t="s">
        <v>76</v>
      </c>
      <c r="D659" t="s">
        <v>77</v>
      </c>
      <c r="E659" s="1" t="s">
        <v>82</v>
      </c>
      <c r="F659" t="s">
        <v>83</v>
      </c>
      <c r="G659" s="1" t="s">
        <v>93</v>
      </c>
      <c r="H659">
        <v>0</v>
      </c>
      <c r="I659">
        <v>37012684</v>
      </c>
      <c r="J659">
        <v>105</v>
      </c>
      <c r="K659">
        <v>20</v>
      </c>
      <c r="L659">
        <v>37012684</v>
      </c>
      <c r="M659">
        <v>0</v>
      </c>
      <c r="N659">
        <v>1</v>
      </c>
      <c r="O659">
        <v>6.34826817292308E-2</v>
      </c>
      <c r="P659">
        <v>0</v>
      </c>
      <c r="Q659">
        <v>0</v>
      </c>
      <c r="R659">
        <v>0</v>
      </c>
      <c r="S659">
        <v>0</v>
      </c>
      <c r="T659">
        <v>158.85371929999999</v>
      </c>
      <c r="U659">
        <f t="shared" si="20"/>
        <v>0</v>
      </c>
      <c r="V659">
        <f t="shared" si="21"/>
        <v>0</v>
      </c>
    </row>
    <row r="660" spans="1:22" x14ac:dyDescent="0.2">
      <c r="A660" t="s">
        <v>1098</v>
      </c>
      <c r="B660" t="s">
        <v>19</v>
      </c>
      <c r="C660" t="s">
        <v>76</v>
      </c>
      <c r="D660" t="s">
        <v>77</v>
      </c>
      <c r="E660" s="1" t="s">
        <v>82</v>
      </c>
      <c r="F660" t="s">
        <v>83</v>
      </c>
      <c r="G660" s="1" t="s">
        <v>89</v>
      </c>
      <c r="H660">
        <v>0</v>
      </c>
      <c r="I660">
        <v>121727</v>
      </c>
      <c r="J660">
        <v>49</v>
      </c>
      <c r="K660">
        <v>48</v>
      </c>
      <c r="L660">
        <v>121727</v>
      </c>
      <c r="M660">
        <v>0</v>
      </c>
      <c r="N660">
        <v>1</v>
      </c>
      <c r="O660" s="1" t="s">
        <v>1136</v>
      </c>
      <c r="P660">
        <v>0</v>
      </c>
      <c r="Q660">
        <v>0</v>
      </c>
      <c r="R660">
        <v>0</v>
      </c>
      <c r="S660">
        <v>0</v>
      </c>
      <c r="T660">
        <v>158.85371929999999</v>
      </c>
      <c r="U660">
        <f t="shared" si="20"/>
        <v>0</v>
      </c>
      <c r="V660">
        <f t="shared" si="21"/>
        <v>0</v>
      </c>
    </row>
    <row r="661" spans="1:22" x14ac:dyDescent="0.2">
      <c r="A661" t="s">
        <v>1098</v>
      </c>
      <c r="B661" t="s">
        <v>19</v>
      </c>
      <c r="C661" t="s">
        <v>76</v>
      </c>
      <c r="D661" t="s">
        <v>77</v>
      </c>
      <c r="E661" s="1" t="s">
        <v>163</v>
      </c>
      <c r="F661" t="s">
        <v>224</v>
      </c>
      <c r="G661">
        <v>41</v>
      </c>
      <c r="H661">
        <v>0</v>
      </c>
      <c r="I661">
        <v>147731</v>
      </c>
      <c r="J661">
        <v>66</v>
      </c>
      <c r="K661">
        <v>44</v>
      </c>
      <c r="L661">
        <v>147731</v>
      </c>
      <c r="M661">
        <v>0</v>
      </c>
      <c r="N661">
        <v>1</v>
      </c>
      <c r="O661" s="1" t="s">
        <v>1137</v>
      </c>
      <c r="P661">
        <v>0</v>
      </c>
      <c r="Q661">
        <v>0</v>
      </c>
      <c r="R661">
        <v>0</v>
      </c>
      <c r="S661">
        <v>0</v>
      </c>
      <c r="T661">
        <v>158.85371929999999</v>
      </c>
      <c r="U661">
        <f t="shared" si="20"/>
        <v>0</v>
      </c>
      <c r="V661">
        <f t="shared" si="21"/>
        <v>0</v>
      </c>
    </row>
    <row r="662" spans="1:22" x14ac:dyDescent="0.2">
      <c r="A662" t="s">
        <v>1098</v>
      </c>
      <c r="B662" t="s">
        <v>19</v>
      </c>
      <c r="C662" t="s">
        <v>76</v>
      </c>
      <c r="D662" t="s">
        <v>77</v>
      </c>
      <c r="E662" s="1" t="s">
        <v>82</v>
      </c>
      <c r="F662" t="s">
        <v>83</v>
      </c>
      <c r="G662">
        <v>12</v>
      </c>
      <c r="H662">
        <v>0</v>
      </c>
      <c r="I662">
        <v>267045</v>
      </c>
      <c r="J662">
        <v>103</v>
      </c>
      <c r="K662">
        <v>58</v>
      </c>
      <c r="L662">
        <v>267045</v>
      </c>
      <c r="M662">
        <v>0</v>
      </c>
      <c r="N662">
        <v>1</v>
      </c>
      <c r="O662" s="1" t="s">
        <v>1138</v>
      </c>
      <c r="P662">
        <v>0</v>
      </c>
      <c r="Q662">
        <v>0</v>
      </c>
      <c r="R662">
        <v>0</v>
      </c>
      <c r="S662">
        <v>0</v>
      </c>
      <c r="T662">
        <v>158.85371929999999</v>
      </c>
      <c r="U662">
        <f t="shared" si="20"/>
        <v>0</v>
      </c>
      <c r="V662">
        <f t="shared" si="21"/>
        <v>0</v>
      </c>
    </row>
    <row r="663" spans="1:22" x14ac:dyDescent="0.2">
      <c r="A663" t="s">
        <v>1098</v>
      </c>
      <c r="B663" t="s">
        <v>19</v>
      </c>
      <c r="C663" t="s">
        <v>76</v>
      </c>
      <c r="D663" t="s">
        <v>77</v>
      </c>
      <c r="E663" s="1" t="s">
        <v>155</v>
      </c>
      <c r="F663" t="s">
        <v>156</v>
      </c>
      <c r="G663" s="1" t="s">
        <v>85</v>
      </c>
      <c r="H663">
        <v>0</v>
      </c>
      <c r="I663">
        <v>363189</v>
      </c>
      <c r="J663">
        <v>74</v>
      </c>
      <c r="K663">
        <v>31</v>
      </c>
      <c r="L663">
        <v>363189</v>
      </c>
      <c r="M663">
        <v>0</v>
      </c>
      <c r="N663">
        <v>1</v>
      </c>
      <c r="O663" s="1" t="s">
        <v>1139</v>
      </c>
      <c r="P663">
        <v>0</v>
      </c>
      <c r="Q663">
        <v>0</v>
      </c>
      <c r="R663">
        <v>0</v>
      </c>
      <c r="S663">
        <v>0</v>
      </c>
      <c r="T663">
        <v>158.85371929999999</v>
      </c>
      <c r="U663">
        <f t="shared" si="20"/>
        <v>0</v>
      </c>
      <c r="V663">
        <f t="shared" si="21"/>
        <v>0</v>
      </c>
    </row>
    <row r="664" spans="1:22" x14ac:dyDescent="0.2">
      <c r="A664" t="s">
        <v>1098</v>
      </c>
      <c r="B664" t="s">
        <v>19</v>
      </c>
      <c r="C664" t="s">
        <v>76</v>
      </c>
      <c r="D664" t="s">
        <v>77</v>
      </c>
      <c r="E664" s="1" t="s">
        <v>82</v>
      </c>
      <c r="F664" t="s">
        <v>83</v>
      </c>
      <c r="G664" s="1" t="s">
        <v>99</v>
      </c>
      <c r="H664">
        <v>644240</v>
      </c>
      <c r="I664">
        <v>28825650</v>
      </c>
      <c r="J664">
        <v>66</v>
      </c>
      <c r="K664">
        <v>17</v>
      </c>
      <c r="L664">
        <v>28181410</v>
      </c>
      <c r="M664" s="1" t="s">
        <v>1140</v>
      </c>
      <c r="N664" s="1" t="s">
        <v>1141</v>
      </c>
      <c r="O664">
        <v>5.0545581819071497E-2</v>
      </c>
      <c r="P664">
        <v>0</v>
      </c>
      <c r="Q664">
        <v>0</v>
      </c>
      <c r="R664">
        <v>0</v>
      </c>
      <c r="S664">
        <v>0</v>
      </c>
      <c r="T664">
        <v>158.85371929999999</v>
      </c>
      <c r="U664">
        <f t="shared" si="20"/>
        <v>0</v>
      </c>
      <c r="V664">
        <f t="shared" si="21"/>
        <v>0</v>
      </c>
    </row>
    <row r="665" spans="1:22" x14ac:dyDescent="0.2">
      <c r="A665" t="s">
        <v>1142</v>
      </c>
      <c r="B665" t="s">
        <v>20</v>
      </c>
      <c r="C665" t="s">
        <v>76</v>
      </c>
      <c r="D665" t="s">
        <v>77</v>
      </c>
      <c r="E665" s="1" t="s">
        <v>82</v>
      </c>
      <c r="F665" t="s">
        <v>83</v>
      </c>
      <c r="G665">
        <v>10</v>
      </c>
      <c r="H665">
        <v>571887806</v>
      </c>
      <c r="I665">
        <v>2555489</v>
      </c>
      <c r="J665">
        <v>14</v>
      </c>
      <c r="K665">
        <v>28</v>
      </c>
      <c r="L665">
        <v>-569332317</v>
      </c>
      <c r="M665">
        <v>0.99555136421254598</v>
      </c>
      <c r="N665">
        <v>4.4486357874539998E-3</v>
      </c>
      <c r="O665">
        <v>9.5231394421162505E-2</v>
      </c>
      <c r="P665">
        <v>0</v>
      </c>
      <c r="Q665">
        <v>0</v>
      </c>
      <c r="R665">
        <v>0</v>
      </c>
      <c r="S665">
        <v>0</v>
      </c>
      <c r="T665">
        <v>257.83499610000001</v>
      </c>
      <c r="U665">
        <f t="shared" si="20"/>
        <v>0</v>
      </c>
      <c r="V665">
        <f t="shared" si="21"/>
        <v>0</v>
      </c>
    </row>
    <row r="666" spans="1:22" x14ac:dyDescent="0.2">
      <c r="A666" t="s">
        <v>1142</v>
      </c>
      <c r="B666" t="s">
        <v>20</v>
      </c>
      <c r="C666" t="s">
        <v>76</v>
      </c>
      <c r="D666" t="s">
        <v>77</v>
      </c>
      <c r="E666" s="1" t="s">
        <v>85</v>
      </c>
      <c r="F666" t="s">
        <v>86</v>
      </c>
      <c r="G666">
        <v>27</v>
      </c>
      <c r="H666">
        <v>1235465280</v>
      </c>
      <c r="I666">
        <v>9965066</v>
      </c>
      <c r="J666">
        <v>52</v>
      </c>
      <c r="K666">
        <v>42</v>
      </c>
      <c r="L666">
        <v>-1225500214</v>
      </c>
      <c r="M666" s="1" t="s">
        <v>1143</v>
      </c>
      <c r="N666">
        <v>8.0013033502878798E-3</v>
      </c>
      <c r="O666" s="1" t="s">
        <v>1144</v>
      </c>
      <c r="P666">
        <v>0</v>
      </c>
      <c r="Q666">
        <v>0</v>
      </c>
      <c r="R666">
        <v>0</v>
      </c>
      <c r="S666">
        <v>0</v>
      </c>
      <c r="T666">
        <v>257.83499610000001</v>
      </c>
      <c r="U666">
        <f t="shared" si="20"/>
        <v>0</v>
      </c>
      <c r="V666">
        <f t="shared" si="21"/>
        <v>0</v>
      </c>
    </row>
    <row r="667" spans="1:22" x14ac:dyDescent="0.2">
      <c r="A667" t="s">
        <v>1142</v>
      </c>
      <c r="B667" t="s">
        <v>20</v>
      </c>
      <c r="C667" t="s">
        <v>76</v>
      </c>
      <c r="D667" t="s">
        <v>77</v>
      </c>
      <c r="E667" s="1" t="s">
        <v>110</v>
      </c>
      <c r="F667" t="s">
        <v>111</v>
      </c>
      <c r="G667">
        <v>15</v>
      </c>
      <c r="H667">
        <v>198405155</v>
      </c>
      <c r="I667">
        <v>29703</v>
      </c>
      <c r="J667">
        <v>14</v>
      </c>
      <c r="K667">
        <v>65</v>
      </c>
      <c r="L667">
        <v>-198375452</v>
      </c>
      <c r="M667" s="1" t="s">
        <v>1145</v>
      </c>
      <c r="N667" s="1" t="s">
        <v>1146</v>
      </c>
      <c r="O667">
        <v>3.2896594657102499E-2</v>
      </c>
      <c r="P667">
        <v>0</v>
      </c>
      <c r="Q667">
        <v>0</v>
      </c>
      <c r="R667">
        <v>0</v>
      </c>
      <c r="S667">
        <v>0</v>
      </c>
      <c r="T667">
        <v>257.83499610000001</v>
      </c>
      <c r="U667">
        <f t="shared" si="20"/>
        <v>0</v>
      </c>
      <c r="V667">
        <f t="shared" si="21"/>
        <v>0</v>
      </c>
    </row>
    <row r="668" spans="1:22" x14ac:dyDescent="0.2">
      <c r="A668" t="s">
        <v>1142</v>
      </c>
      <c r="B668" t="s">
        <v>20</v>
      </c>
      <c r="C668" t="s">
        <v>76</v>
      </c>
      <c r="D668" t="s">
        <v>77</v>
      </c>
      <c r="E668" s="1" t="s">
        <v>138</v>
      </c>
      <c r="F668" t="s">
        <v>139</v>
      </c>
      <c r="G668">
        <v>24</v>
      </c>
      <c r="H668">
        <v>42759321</v>
      </c>
      <c r="I668">
        <v>71335</v>
      </c>
      <c r="J668">
        <v>14</v>
      </c>
      <c r="K668">
        <v>68</v>
      </c>
      <c r="L668">
        <v>-42687986</v>
      </c>
      <c r="M668" s="1" t="s">
        <v>1147</v>
      </c>
      <c r="N668">
        <v>1.6655126645737099E-3</v>
      </c>
      <c r="O668">
        <v>7.100479943548E-3</v>
      </c>
      <c r="P668">
        <v>0</v>
      </c>
      <c r="Q668">
        <v>0</v>
      </c>
      <c r="R668">
        <v>0</v>
      </c>
      <c r="S668">
        <v>0</v>
      </c>
      <c r="T668">
        <v>257.83499610000001</v>
      </c>
      <c r="U668">
        <f t="shared" si="20"/>
        <v>0</v>
      </c>
      <c r="V668">
        <f t="shared" si="21"/>
        <v>0</v>
      </c>
    </row>
    <row r="669" spans="1:22" x14ac:dyDescent="0.2">
      <c r="A669" t="s">
        <v>1142</v>
      </c>
      <c r="B669" t="s">
        <v>20</v>
      </c>
      <c r="C669" t="s">
        <v>76</v>
      </c>
      <c r="D669" t="s">
        <v>77</v>
      </c>
      <c r="E669">
        <v>16</v>
      </c>
      <c r="F669" t="s">
        <v>95</v>
      </c>
      <c r="G669">
        <v>85</v>
      </c>
      <c r="H669">
        <v>283255577</v>
      </c>
      <c r="I669">
        <v>2074170</v>
      </c>
      <c r="J669">
        <v>11</v>
      </c>
      <c r="K669">
        <v>65</v>
      </c>
      <c r="L669">
        <v>-281181407</v>
      </c>
      <c r="M669" s="1" t="s">
        <v>1148</v>
      </c>
      <c r="N669">
        <v>7.2693787514555904E-3</v>
      </c>
      <c r="O669" s="1" t="s">
        <v>1149</v>
      </c>
      <c r="P669">
        <v>0</v>
      </c>
      <c r="Q669">
        <v>0</v>
      </c>
      <c r="R669">
        <v>0</v>
      </c>
      <c r="S669">
        <v>0</v>
      </c>
      <c r="T669">
        <v>257.83499610000001</v>
      </c>
      <c r="U669">
        <f t="shared" si="20"/>
        <v>0</v>
      </c>
      <c r="V669">
        <f t="shared" si="21"/>
        <v>0</v>
      </c>
    </row>
    <row r="670" spans="1:22" x14ac:dyDescent="0.2">
      <c r="A670" t="s">
        <v>1142</v>
      </c>
      <c r="B670" t="s">
        <v>20</v>
      </c>
      <c r="C670" t="s">
        <v>76</v>
      </c>
      <c r="D670" t="s">
        <v>77</v>
      </c>
      <c r="E670">
        <v>15</v>
      </c>
      <c r="F670" t="s">
        <v>88</v>
      </c>
      <c r="G670">
        <v>72</v>
      </c>
      <c r="H670">
        <v>103660731</v>
      </c>
      <c r="I670">
        <v>519693136</v>
      </c>
      <c r="J670">
        <v>66</v>
      </c>
      <c r="K670">
        <v>7</v>
      </c>
      <c r="L670">
        <v>416032405</v>
      </c>
      <c r="M670" s="1" t="s">
        <v>1150</v>
      </c>
      <c r="N670" s="1" t="s">
        <v>1151</v>
      </c>
      <c r="O670" s="1" t="s">
        <v>1152</v>
      </c>
      <c r="P670">
        <v>0</v>
      </c>
      <c r="Q670">
        <v>0</v>
      </c>
      <c r="R670">
        <v>0</v>
      </c>
      <c r="S670">
        <v>1</v>
      </c>
      <c r="T670">
        <v>257.83499610000001</v>
      </c>
      <c r="U670">
        <f t="shared" si="20"/>
        <v>0</v>
      </c>
      <c r="V670">
        <f t="shared" si="21"/>
        <v>1</v>
      </c>
    </row>
    <row r="671" spans="1:22" x14ac:dyDescent="0.2">
      <c r="A671" t="s">
        <v>1142</v>
      </c>
      <c r="B671" t="s">
        <v>20</v>
      </c>
      <c r="C671" t="s">
        <v>76</v>
      </c>
      <c r="D671" t="s">
        <v>77</v>
      </c>
      <c r="E671">
        <v>17</v>
      </c>
      <c r="F671" t="s">
        <v>97</v>
      </c>
      <c r="G671">
        <v>87</v>
      </c>
      <c r="H671">
        <v>76083445</v>
      </c>
      <c r="I671">
        <v>213607</v>
      </c>
      <c r="J671">
        <v>17</v>
      </c>
      <c r="K671">
        <v>74</v>
      </c>
      <c r="L671">
        <v>-75869838</v>
      </c>
      <c r="M671" s="1" t="s">
        <v>1153</v>
      </c>
      <c r="N671">
        <v>2.7996756676784799E-3</v>
      </c>
      <c r="O671" s="1" t="s">
        <v>1154</v>
      </c>
      <c r="P671">
        <v>0</v>
      </c>
      <c r="Q671">
        <v>0</v>
      </c>
      <c r="R671">
        <v>0</v>
      </c>
      <c r="S671">
        <v>0</v>
      </c>
      <c r="T671">
        <v>257.83499610000001</v>
      </c>
      <c r="U671">
        <f t="shared" si="20"/>
        <v>0</v>
      </c>
      <c r="V671">
        <f t="shared" si="21"/>
        <v>0</v>
      </c>
    </row>
    <row r="672" spans="1:22" x14ac:dyDescent="0.2">
      <c r="A672" t="s">
        <v>1142</v>
      </c>
      <c r="B672" t="s">
        <v>20</v>
      </c>
      <c r="C672" t="s">
        <v>76</v>
      </c>
      <c r="D672" t="s">
        <v>77</v>
      </c>
      <c r="E672" s="1" t="s">
        <v>138</v>
      </c>
      <c r="F672" t="s">
        <v>139</v>
      </c>
      <c r="G672">
        <v>18</v>
      </c>
      <c r="H672">
        <v>115864468</v>
      </c>
      <c r="I672">
        <v>191047</v>
      </c>
      <c r="J672">
        <v>11</v>
      </c>
      <c r="K672">
        <v>54</v>
      </c>
      <c r="L672">
        <v>-115673421</v>
      </c>
      <c r="M672" s="1" t="s">
        <v>1155</v>
      </c>
      <c r="N672">
        <v>1.6461690769283899E-3</v>
      </c>
      <c r="O672">
        <v>1.92397206476509E-2</v>
      </c>
      <c r="P672">
        <v>0</v>
      </c>
      <c r="Q672">
        <v>0</v>
      </c>
      <c r="R672">
        <v>0</v>
      </c>
      <c r="S672">
        <v>0</v>
      </c>
      <c r="T672">
        <v>257.83499610000001</v>
      </c>
      <c r="U672">
        <f t="shared" si="20"/>
        <v>0</v>
      </c>
      <c r="V672">
        <f t="shared" si="21"/>
        <v>0</v>
      </c>
    </row>
    <row r="673" spans="1:22" x14ac:dyDescent="0.2">
      <c r="A673" t="s">
        <v>1142</v>
      </c>
      <c r="B673" t="s">
        <v>20</v>
      </c>
      <c r="C673" t="s">
        <v>76</v>
      </c>
      <c r="D673" t="s">
        <v>77</v>
      </c>
      <c r="E673" s="1" t="s">
        <v>89</v>
      </c>
      <c r="F673" t="s">
        <v>90</v>
      </c>
      <c r="G673">
        <v>30</v>
      </c>
      <c r="H673">
        <v>69175675</v>
      </c>
      <c r="I673">
        <v>977348</v>
      </c>
      <c r="J673">
        <v>7</v>
      </c>
      <c r="K673">
        <v>61</v>
      </c>
      <c r="L673">
        <v>-68198327</v>
      </c>
      <c r="M673" s="1" t="s">
        <v>1156</v>
      </c>
      <c r="N673">
        <v>1.39316590818901E-2</v>
      </c>
      <c r="O673" s="1" t="s">
        <v>1157</v>
      </c>
      <c r="P673">
        <v>0</v>
      </c>
      <c r="Q673">
        <v>0</v>
      </c>
      <c r="R673">
        <v>1</v>
      </c>
      <c r="S673">
        <v>0</v>
      </c>
      <c r="T673">
        <v>257.83499610000001</v>
      </c>
      <c r="U673">
        <f t="shared" si="20"/>
        <v>0</v>
      </c>
      <c r="V673">
        <f t="shared" si="21"/>
        <v>1</v>
      </c>
    </row>
    <row r="674" spans="1:22" x14ac:dyDescent="0.2">
      <c r="A674" t="s">
        <v>1142</v>
      </c>
      <c r="B674" t="s">
        <v>20</v>
      </c>
      <c r="C674" t="s">
        <v>76</v>
      </c>
      <c r="D674" t="s">
        <v>77</v>
      </c>
      <c r="E674" s="1" t="s">
        <v>138</v>
      </c>
      <c r="F674" t="s">
        <v>139</v>
      </c>
      <c r="G674">
        <v>21</v>
      </c>
      <c r="H674">
        <v>130387660</v>
      </c>
      <c r="I674">
        <v>4346492</v>
      </c>
      <c r="J674">
        <v>4</v>
      </c>
      <c r="K674">
        <v>47</v>
      </c>
      <c r="L674">
        <v>-126041168</v>
      </c>
      <c r="M674" s="1" t="s">
        <v>1158</v>
      </c>
      <c r="N674" s="1" t="s">
        <v>1159</v>
      </c>
      <c r="O674" s="1" t="s">
        <v>1160</v>
      </c>
      <c r="P674">
        <v>1</v>
      </c>
      <c r="Q674">
        <v>0</v>
      </c>
      <c r="R674">
        <v>1</v>
      </c>
      <c r="S674">
        <v>0</v>
      </c>
      <c r="T674">
        <v>257.83499610000001</v>
      </c>
      <c r="U674">
        <f t="shared" si="20"/>
        <v>1</v>
      </c>
      <c r="V674">
        <f t="shared" si="21"/>
        <v>1</v>
      </c>
    </row>
    <row r="675" spans="1:22" x14ac:dyDescent="0.2">
      <c r="A675" t="s">
        <v>1142</v>
      </c>
      <c r="B675" t="s">
        <v>20</v>
      </c>
      <c r="C675" t="s">
        <v>76</v>
      </c>
      <c r="D675" t="s">
        <v>77</v>
      </c>
      <c r="E675">
        <v>13</v>
      </c>
      <c r="F675" t="s">
        <v>91</v>
      </c>
      <c r="G675">
        <v>70</v>
      </c>
      <c r="H675">
        <v>90274067</v>
      </c>
      <c r="I675">
        <v>78630</v>
      </c>
      <c r="J675">
        <v>11</v>
      </c>
      <c r="K675">
        <v>60</v>
      </c>
      <c r="L675">
        <v>-90195437</v>
      </c>
      <c r="M675" s="1" t="s">
        <v>1161</v>
      </c>
      <c r="N675" s="1" t="s">
        <v>1162</v>
      </c>
      <c r="O675" s="1" t="s">
        <v>1163</v>
      </c>
      <c r="P675">
        <v>0</v>
      </c>
      <c r="Q675">
        <v>0</v>
      </c>
      <c r="R675">
        <v>0</v>
      </c>
      <c r="S675">
        <v>0</v>
      </c>
      <c r="T675">
        <v>257.83499610000001</v>
      </c>
      <c r="U675">
        <f t="shared" si="20"/>
        <v>0</v>
      </c>
      <c r="V675">
        <f t="shared" si="21"/>
        <v>0</v>
      </c>
    </row>
    <row r="676" spans="1:22" x14ac:dyDescent="0.2">
      <c r="A676" t="s">
        <v>1142</v>
      </c>
      <c r="B676" t="s">
        <v>20</v>
      </c>
      <c r="C676" t="s">
        <v>76</v>
      </c>
      <c r="D676" t="s">
        <v>77</v>
      </c>
      <c r="E676">
        <v>99</v>
      </c>
      <c r="F676" t="s">
        <v>78</v>
      </c>
      <c r="G676">
        <v>99</v>
      </c>
      <c r="H676">
        <v>14233200</v>
      </c>
      <c r="I676">
        <v>10991485</v>
      </c>
      <c r="J676">
        <v>37</v>
      </c>
      <c r="K676">
        <v>31</v>
      </c>
      <c r="L676">
        <v>-3241715</v>
      </c>
      <c r="M676">
        <v>0.56425679844961396</v>
      </c>
      <c r="N676" s="1" t="s">
        <v>1164</v>
      </c>
      <c r="O676">
        <v>4.1817564018822402E-3</v>
      </c>
      <c r="P676">
        <v>0</v>
      </c>
      <c r="Q676">
        <v>0</v>
      </c>
      <c r="R676">
        <v>0</v>
      </c>
      <c r="S676">
        <v>0</v>
      </c>
      <c r="T676">
        <v>257.83499610000001</v>
      </c>
      <c r="U676">
        <f t="shared" si="20"/>
        <v>0</v>
      </c>
      <c r="V676">
        <f t="shared" si="21"/>
        <v>0</v>
      </c>
    </row>
    <row r="677" spans="1:22" x14ac:dyDescent="0.2">
      <c r="A677" t="s">
        <v>1142</v>
      </c>
      <c r="B677" t="s">
        <v>20</v>
      </c>
      <c r="C677" t="s">
        <v>76</v>
      </c>
      <c r="D677" t="s">
        <v>77</v>
      </c>
      <c r="E677" s="1" t="s">
        <v>89</v>
      </c>
      <c r="F677" t="s">
        <v>90</v>
      </c>
      <c r="G677">
        <v>34</v>
      </c>
      <c r="H677">
        <v>52592397</v>
      </c>
      <c r="I677">
        <v>96751</v>
      </c>
      <c r="J677">
        <v>7</v>
      </c>
      <c r="K677">
        <v>60</v>
      </c>
      <c r="L677">
        <v>-52495646</v>
      </c>
      <c r="M677">
        <v>0.99816373952374404</v>
      </c>
      <c r="N677">
        <v>1.83626047625594E-3</v>
      </c>
      <c r="O677">
        <v>8.7348239218337492E-3</v>
      </c>
      <c r="P677">
        <v>0</v>
      </c>
      <c r="Q677">
        <v>0</v>
      </c>
      <c r="R677">
        <v>1</v>
      </c>
      <c r="S677">
        <v>0</v>
      </c>
      <c r="T677">
        <v>257.83499610000001</v>
      </c>
      <c r="U677">
        <f t="shared" si="20"/>
        <v>0</v>
      </c>
      <c r="V677">
        <f t="shared" si="21"/>
        <v>1</v>
      </c>
    </row>
    <row r="678" spans="1:22" x14ac:dyDescent="0.2">
      <c r="A678" t="s">
        <v>1142</v>
      </c>
      <c r="B678" t="s">
        <v>20</v>
      </c>
      <c r="C678" t="s">
        <v>76</v>
      </c>
      <c r="D678" t="s">
        <v>77</v>
      </c>
      <c r="E678" s="1" t="s">
        <v>82</v>
      </c>
      <c r="F678" t="s">
        <v>83</v>
      </c>
      <c r="G678">
        <v>11</v>
      </c>
      <c r="H678">
        <v>40993730</v>
      </c>
      <c r="I678">
        <v>62426</v>
      </c>
      <c r="J678">
        <v>11</v>
      </c>
      <c r="K678">
        <v>42</v>
      </c>
      <c r="L678">
        <v>-40931304</v>
      </c>
      <c r="M678">
        <v>0.99847949720378104</v>
      </c>
      <c r="N678">
        <v>1.52050279621891E-3</v>
      </c>
      <c r="O678">
        <v>6.8063027621425602E-3</v>
      </c>
      <c r="P678">
        <v>0</v>
      </c>
      <c r="Q678">
        <v>0</v>
      </c>
      <c r="R678">
        <v>0</v>
      </c>
      <c r="S678">
        <v>0</v>
      </c>
      <c r="T678">
        <v>257.83499610000001</v>
      </c>
      <c r="U678">
        <f t="shared" si="20"/>
        <v>0</v>
      </c>
      <c r="V678">
        <f t="shared" si="21"/>
        <v>0</v>
      </c>
    </row>
    <row r="679" spans="1:22" x14ac:dyDescent="0.2">
      <c r="A679" t="s">
        <v>1142</v>
      </c>
      <c r="B679" t="s">
        <v>20</v>
      </c>
      <c r="C679" t="s">
        <v>76</v>
      </c>
      <c r="D679" t="s">
        <v>77</v>
      </c>
      <c r="E679" s="1" t="s">
        <v>138</v>
      </c>
      <c r="F679" t="s">
        <v>139</v>
      </c>
      <c r="G679">
        <v>19</v>
      </c>
      <c r="H679">
        <v>136109666</v>
      </c>
      <c r="I679">
        <v>760468</v>
      </c>
      <c r="J679">
        <v>6</v>
      </c>
      <c r="K679">
        <v>57</v>
      </c>
      <c r="L679">
        <v>-135349198</v>
      </c>
      <c r="M679" s="1" t="s">
        <v>1165</v>
      </c>
      <c r="N679">
        <v>5.5561281177674499E-3</v>
      </c>
      <c r="O679">
        <v>2.2690374887971002E-2</v>
      </c>
      <c r="P679">
        <v>0</v>
      </c>
      <c r="Q679">
        <v>0</v>
      </c>
      <c r="R679">
        <v>1</v>
      </c>
      <c r="S679">
        <v>0</v>
      </c>
      <c r="T679">
        <v>257.83499610000001</v>
      </c>
      <c r="U679">
        <f t="shared" si="20"/>
        <v>0</v>
      </c>
      <c r="V679">
        <f t="shared" si="21"/>
        <v>1</v>
      </c>
    </row>
    <row r="680" spans="1:22" x14ac:dyDescent="0.2">
      <c r="A680" t="s">
        <v>1142</v>
      </c>
      <c r="B680" t="s">
        <v>20</v>
      </c>
      <c r="C680" t="s">
        <v>76</v>
      </c>
      <c r="D680" t="s">
        <v>77</v>
      </c>
      <c r="E680">
        <v>16</v>
      </c>
      <c r="F680" t="s">
        <v>95</v>
      </c>
      <c r="G680">
        <v>84</v>
      </c>
      <c r="H680">
        <v>135463176</v>
      </c>
      <c r="I680">
        <v>8458168</v>
      </c>
      <c r="J680">
        <v>28</v>
      </c>
      <c r="K680">
        <v>64</v>
      </c>
      <c r="L680">
        <v>-127005008</v>
      </c>
      <c r="M680" s="1" t="s">
        <v>1166</v>
      </c>
      <c r="N680">
        <v>5.8769378918529201E-2</v>
      </c>
      <c r="O680" s="1" t="s">
        <v>1167</v>
      </c>
      <c r="P680">
        <v>0</v>
      </c>
      <c r="Q680">
        <v>0</v>
      </c>
      <c r="R680">
        <v>0</v>
      </c>
      <c r="S680">
        <v>0</v>
      </c>
      <c r="T680">
        <v>257.83499610000001</v>
      </c>
      <c r="U680">
        <f t="shared" si="20"/>
        <v>0</v>
      </c>
      <c r="V680">
        <f t="shared" si="21"/>
        <v>0</v>
      </c>
    </row>
    <row r="681" spans="1:22" x14ac:dyDescent="0.2">
      <c r="A681" t="s">
        <v>1142</v>
      </c>
      <c r="B681" t="s">
        <v>20</v>
      </c>
      <c r="C681" t="s">
        <v>76</v>
      </c>
      <c r="D681" t="s">
        <v>77</v>
      </c>
      <c r="E681" s="1" t="s">
        <v>138</v>
      </c>
      <c r="F681" t="s">
        <v>139</v>
      </c>
      <c r="G681">
        <v>17</v>
      </c>
      <c r="H681">
        <v>45349890</v>
      </c>
      <c r="I681">
        <v>205537</v>
      </c>
      <c r="J681">
        <v>12</v>
      </c>
      <c r="K681">
        <v>62</v>
      </c>
      <c r="L681">
        <v>-45144353</v>
      </c>
      <c r="M681" s="1" t="s">
        <v>1168</v>
      </c>
      <c r="N681">
        <v>4.5118005369590699E-3</v>
      </c>
      <c r="O681">
        <v>7.5521933573295102E-3</v>
      </c>
      <c r="P681">
        <v>0</v>
      </c>
      <c r="Q681">
        <v>0</v>
      </c>
      <c r="R681">
        <v>0</v>
      </c>
      <c r="S681">
        <v>0</v>
      </c>
      <c r="T681">
        <v>257.83499610000001</v>
      </c>
      <c r="U681">
        <f t="shared" si="20"/>
        <v>0</v>
      </c>
      <c r="V681">
        <f t="shared" si="21"/>
        <v>0</v>
      </c>
    </row>
    <row r="682" spans="1:22" x14ac:dyDescent="0.2">
      <c r="A682" t="s">
        <v>1142</v>
      </c>
      <c r="B682" t="s">
        <v>20</v>
      </c>
      <c r="C682" t="s">
        <v>76</v>
      </c>
      <c r="D682" t="s">
        <v>77</v>
      </c>
      <c r="E682">
        <v>13</v>
      </c>
      <c r="F682" t="s">
        <v>91</v>
      </c>
      <c r="G682">
        <v>68</v>
      </c>
      <c r="H682">
        <v>32479121</v>
      </c>
      <c r="I682">
        <v>977033</v>
      </c>
      <c r="J682">
        <v>20</v>
      </c>
      <c r="K682">
        <v>46</v>
      </c>
      <c r="L682">
        <v>-31502088</v>
      </c>
      <c r="M682">
        <v>0.97079661338239898</v>
      </c>
      <c r="N682" s="1" t="s">
        <v>1169</v>
      </c>
      <c r="O682">
        <v>5.5463719833115099E-3</v>
      </c>
      <c r="P682">
        <v>0</v>
      </c>
      <c r="Q682">
        <v>0</v>
      </c>
      <c r="R682">
        <v>0</v>
      </c>
      <c r="S682">
        <v>0</v>
      </c>
      <c r="T682">
        <v>257.83499610000001</v>
      </c>
      <c r="U682">
        <f t="shared" si="20"/>
        <v>0</v>
      </c>
      <c r="V682">
        <f t="shared" si="21"/>
        <v>0</v>
      </c>
    </row>
    <row r="683" spans="1:22" x14ac:dyDescent="0.2">
      <c r="A683" t="s">
        <v>1142</v>
      </c>
      <c r="B683" t="s">
        <v>20</v>
      </c>
      <c r="C683" t="s">
        <v>76</v>
      </c>
      <c r="D683" t="s">
        <v>77</v>
      </c>
      <c r="E683" s="1" t="s">
        <v>138</v>
      </c>
      <c r="F683" t="s">
        <v>139</v>
      </c>
      <c r="G683">
        <v>22</v>
      </c>
      <c r="H683">
        <v>34340664</v>
      </c>
      <c r="I683">
        <v>925902274</v>
      </c>
      <c r="J683">
        <v>17</v>
      </c>
      <c r="K683">
        <v>4</v>
      </c>
      <c r="L683">
        <v>891561610</v>
      </c>
      <c r="M683">
        <v>3.5762474933192297E-2</v>
      </c>
      <c r="N683" s="1" t="s">
        <v>1170</v>
      </c>
      <c r="O683" s="1" t="s">
        <v>1171</v>
      </c>
      <c r="P683">
        <v>0</v>
      </c>
      <c r="Q683">
        <v>1</v>
      </c>
      <c r="R683">
        <v>0</v>
      </c>
      <c r="S683">
        <v>1</v>
      </c>
      <c r="T683">
        <v>257.83499610000001</v>
      </c>
      <c r="U683">
        <f t="shared" si="20"/>
        <v>1</v>
      </c>
      <c r="V683">
        <f t="shared" si="21"/>
        <v>1</v>
      </c>
    </row>
    <row r="684" spans="1:22" x14ac:dyDescent="0.2">
      <c r="A684" t="s">
        <v>1142</v>
      </c>
      <c r="B684" t="s">
        <v>20</v>
      </c>
      <c r="C684" t="s">
        <v>76</v>
      </c>
      <c r="D684" t="s">
        <v>77</v>
      </c>
      <c r="E684" s="1" t="s">
        <v>89</v>
      </c>
      <c r="F684" t="s">
        <v>90</v>
      </c>
      <c r="G684">
        <v>28</v>
      </c>
      <c r="H684">
        <v>41360689</v>
      </c>
      <c r="I684">
        <v>6796874</v>
      </c>
      <c r="J684">
        <v>45</v>
      </c>
      <c r="K684">
        <v>41</v>
      </c>
      <c r="L684">
        <v>-34563815</v>
      </c>
      <c r="M684" s="1" t="s">
        <v>1172</v>
      </c>
      <c r="N684" s="1" t="s">
        <v>1173</v>
      </c>
      <c r="O684">
        <v>7.9835763013213993E-3</v>
      </c>
      <c r="P684">
        <v>0</v>
      </c>
      <c r="Q684">
        <v>0</v>
      </c>
      <c r="R684">
        <v>0</v>
      </c>
      <c r="S684">
        <v>0</v>
      </c>
      <c r="T684">
        <v>257.83499610000001</v>
      </c>
      <c r="U684">
        <f t="shared" si="20"/>
        <v>0</v>
      </c>
      <c r="V684">
        <f t="shared" si="21"/>
        <v>0</v>
      </c>
    </row>
    <row r="685" spans="1:22" x14ac:dyDescent="0.2">
      <c r="A685" t="s">
        <v>1142</v>
      </c>
      <c r="B685" t="s">
        <v>20</v>
      </c>
      <c r="C685" t="s">
        <v>76</v>
      </c>
      <c r="D685" t="s">
        <v>77</v>
      </c>
      <c r="E685" s="1" t="s">
        <v>89</v>
      </c>
      <c r="F685" t="s">
        <v>90</v>
      </c>
      <c r="G685">
        <v>33</v>
      </c>
      <c r="H685">
        <v>88282496</v>
      </c>
      <c r="I685">
        <v>457597</v>
      </c>
      <c r="J685">
        <v>6</v>
      </c>
      <c r="K685">
        <v>58</v>
      </c>
      <c r="L685">
        <v>-87824899</v>
      </c>
      <c r="M685" s="1" t="s">
        <v>1174</v>
      </c>
      <c r="N685">
        <v>5.1565981568218499E-3</v>
      </c>
      <c r="O685" s="1" t="s">
        <v>1175</v>
      </c>
      <c r="P685">
        <v>0</v>
      </c>
      <c r="Q685">
        <v>0</v>
      </c>
      <c r="R685">
        <v>1</v>
      </c>
      <c r="S685">
        <v>0</v>
      </c>
      <c r="T685">
        <v>257.83499610000001</v>
      </c>
      <c r="U685">
        <f t="shared" si="20"/>
        <v>0</v>
      </c>
      <c r="V685">
        <f t="shared" si="21"/>
        <v>1</v>
      </c>
    </row>
    <row r="686" spans="1:22" x14ac:dyDescent="0.2">
      <c r="A686" t="s">
        <v>1142</v>
      </c>
      <c r="B686" t="s">
        <v>20</v>
      </c>
      <c r="C686" t="s">
        <v>76</v>
      </c>
      <c r="D686" t="s">
        <v>77</v>
      </c>
      <c r="E686" s="1" t="s">
        <v>99</v>
      </c>
      <c r="F686" t="s">
        <v>100</v>
      </c>
      <c r="G686">
        <v>40</v>
      </c>
      <c r="H686">
        <v>26979126</v>
      </c>
      <c r="I686">
        <v>85805</v>
      </c>
      <c r="J686">
        <v>56</v>
      </c>
      <c r="K686">
        <v>68</v>
      </c>
      <c r="L686">
        <v>-26893321</v>
      </c>
      <c r="M686">
        <v>0.99682966123209404</v>
      </c>
      <c r="N686">
        <v>3.1703387679059601E-3</v>
      </c>
      <c r="O686">
        <v>4.4868329763385001E-3</v>
      </c>
      <c r="P686">
        <v>0</v>
      </c>
      <c r="Q686">
        <v>0</v>
      </c>
      <c r="R686">
        <v>0</v>
      </c>
      <c r="S686">
        <v>0</v>
      </c>
      <c r="T686">
        <v>257.83499610000001</v>
      </c>
      <c r="U686">
        <f t="shared" si="20"/>
        <v>0</v>
      </c>
      <c r="V686">
        <f t="shared" si="21"/>
        <v>0</v>
      </c>
    </row>
    <row r="687" spans="1:22" x14ac:dyDescent="0.2">
      <c r="A687" t="s">
        <v>1142</v>
      </c>
      <c r="B687" t="s">
        <v>20</v>
      </c>
      <c r="C687" t="s">
        <v>76</v>
      </c>
      <c r="D687" t="s">
        <v>77</v>
      </c>
      <c r="E687">
        <v>20</v>
      </c>
      <c r="F687" t="s">
        <v>104</v>
      </c>
      <c r="G687">
        <v>96</v>
      </c>
      <c r="H687">
        <v>23898172</v>
      </c>
      <c r="I687">
        <v>2461327</v>
      </c>
      <c r="J687">
        <v>7</v>
      </c>
      <c r="K687">
        <v>42</v>
      </c>
      <c r="L687">
        <v>-21436845</v>
      </c>
      <c r="M687" s="1" t="s">
        <v>1176</v>
      </c>
      <c r="N687">
        <v>9.3375333119950402E-2</v>
      </c>
      <c r="O687">
        <v>4.3698862322228598E-3</v>
      </c>
      <c r="P687">
        <v>0</v>
      </c>
      <c r="Q687">
        <v>0</v>
      </c>
      <c r="R687">
        <v>1</v>
      </c>
      <c r="S687">
        <v>0</v>
      </c>
      <c r="T687">
        <v>257.83499610000001</v>
      </c>
      <c r="U687">
        <f t="shared" si="20"/>
        <v>0</v>
      </c>
      <c r="V687">
        <f t="shared" si="21"/>
        <v>1</v>
      </c>
    </row>
    <row r="688" spans="1:22" x14ac:dyDescent="0.2">
      <c r="A688" t="s">
        <v>1142</v>
      </c>
      <c r="B688" t="s">
        <v>20</v>
      </c>
      <c r="C688" t="s">
        <v>76</v>
      </c>
      <c r="D688" t="s">
        <v>77</v>
      </c>
      <c r="E688">
        <v>15</v>
      </c>
      <c r="F688" t="s">
        <v>88</v>
      </c>
      <c r="G688">
        <v>73</v>
      </c>
      <c r="H688">
        <v>47769548</v>
      </c>
      <c r="I688">
        <v>590085</v>
      </c>
      <c r="J688">
        <v>30</v>
      </c>
      <c r="K688">
        <v>67</v>
      </c>
      <c r="L688">
        <v>-47179463</v>
      </c>
      <c r="M688" s="1" t="s">
        <v>1177</v>
      </c>
      <c r="N688" s="1" t="s">
        <v>1178</v>
      </c>
      <c r="O688">
        <v>8.0170755309898201E-3</v>
      </c>
      <c r="P688">
        <v>0</v>
      </c>
      <c r="Q688">
        <v>0</v>
      </c>
      <c r="R688">
        <v>0</v>
      </c>
      <c r="S688">
        <v>0</v>
      </c>
      <c r="T688">
        <v>257.83499610000001</v>
      </c>
      <c r="U688">
        <f t="shared" si="20"/>
        <v>0</v>
      </c>
      <c r="V688">
        <f t="shared" si="21"/>
        <v>0</v>
      </c>
    </row>
    <row r="689" spans="1:22" x14ac:dyDescent="0.2">
      <c r="A689" t="s">
        <v>1142</v>
      </c>
      <c r="B689" t="s">
        <v>20</v>
      </c>
      <c r="C689" t="s">
        <v>76</v>
      </c>
      <c r="D689" t="s">
        <v>77</v>
      </c>
      <c r="E689" s="1" t="s">
        <v>138</v>
      </c>
      <c r="F689" t="s">
        <v>139</v>
      </c>
      <c r="G689">
        <v>23</v>
      </c>
      <c r="H689">
        <v>31593858</v>
      </c>
      <c r="I689">
        <v>0</v>
      </c>
      <c r="J689">
        <v>27</v>
      </c>
      <c r="K689">
        <v>61</v>
      </c>
      <c r="L689">
        <v>-31593858</v>
      </c>
      <c r="M689">
        <v>1</v>
      </c>
      <c r="N689">
        <v>0</v>
      </c>
      <c r="O689">
        <v>5.2376399527549501E-3</v>
      </c>
      <c r="P689">
        <v>0</v>
      </c>
      <c r="Q689">
        <v>0</v>
      </c>
      <c r="R689">
        <v>0</v>
      </c>
      <c r="S689">
        <v>0</v>
      </c>
      <c r="T689">
        <v>257.83499610000001</v>
      </c>
      <c r="U689">
        <f t="shared" si="20"/>
        <v>0</v>
      </c>
      <c r="V689">
        <f t="shared" si="21"/>
        <v>0</v>
      </c>
    </row>
    <row r="690" spans="1:22" x14ac:dyDescent="0.2">
      <c r="A690" t="s">
        <v>1142</v>
      </c>
      <c r="B690" t="s">
        <v>20</v>
      </c>
      <c r="C690" t="s">
        <v>76</v>
      </c>
      <c r="D690" t="s">
        <v>77</v>
      </c>
      <c r="E690" s="1" t="s">
        <v>82</v>
      </c>
      <c r="F690" t="s">
        <v>83</v>
      </c>
      <c r="G690" s="1" t="s">
        <v>99</v>
      </c>
      <c r="H690">
        <v>8371666</v>
      </c>
      <c r="I690">
        <v>31731258</v>
      </c>
      <c r="J690">
        <v>32</v>
      </c>
      <c r="K690">
        <v>16</v>
      </c>
      <c r="L690">
        <v>23359592</v>
      </c>
      <c r="M690" s="1" t="s">
        <v>1179</v>
      </c>
      <c r="N690" s="1" t="s">
        <v>1180</v>
      </c>
      <c r="O690">
        <v>6.6482756542330301E-3</v>
      </c>
      <c r="P690">
        <v>0</v>
      </c>
      <c r="Q690">
        <v>0</v>
      </c>
      <c r="R690">
        <v>0</v>
      </c>
      <c r="S690">
        <v>0</v>
      </c>
      <c r="T690">
        <v>257.83499610000001</v>
      </c>
      <c r="U690">
        <f t="shared" si="20"/>
        <v>0</v>
      </c>
      <c r="V690">
        <f t="shared" si="21"/>
        <v>0</v>
      </c>
    </row>
    <row r="691" spans="1:22" x14ac:dyDescent="0.2">
      <c r="A691" t="s">
        <v>1142</v>
      </c>
      <c r="B691" t="s">
        <v>20</v>
      </c>
      <c r="C691" t="s">
        <v>76</v>
      </c>
      <c r="D691" t="s">
        <v>77</v>
      </c>
      <c r="E691" s="1" t="s">
        <v>89</v>
      </c>
      <c r="F691" t="s">
        <v>90</v>
      </c>
      <c r="G691">
        <v>31</v>
      </c>
      <c r="H691">
        <v>36921818</v>
      </c>
      <c r="I691">
        <v>170738</v>
      </c>
      <c r="J691">
        <v>75</v>
      </c>
      <c r="K691">
        <v>33</v>
      </c>
      <c r="L691">
        <v>-36751080</v>
      </c>
      <c r="M691" s="1" t="s">
        <v>1181</v>
      </c>
      <c r="N691">
        <v>4.6030260087765304E-3</v>
      </c>
      <c r="O691">
        <v>6.1492158778266503E-3</v>
      </c>
      <c r="P691">
        <v>0</v>
      </c>
      <c r="Q691">
        <v>0</v>
      </c>
      <c r="R691">
        <v>0</v>
      </c>
      <c r="S691">
        <v>0</v>
      </c>
      <c r="T691">
        <v>257.83499610000001</v>
      </c>
      <c r="U691">
        <f t="shared" si="20"/>
        <v>0</v>
      </c>
      <c r="V691">
        <f t="shared" si="21"/>
        <v>0</v>
      </c>
    </row>
    <row r="692" spans="1:22" x14ac:dyDescent="0.2">
      <c r="A692" t="s">
        <v>1142</v>
      </c>
      <c r="B692" t="s">
        <v>20</v>
      </c>
      <c r="C692" t="s">
        <v>76</v>
      </c>
      <c r="D692" t="s">
        <v>77</v>
      </c>
      <c r="E692" s="1" t="s">
        <v>93</v>
      </c>
      <c r="F692" t="s">
        <v>94</v>
      </c>
      <c r="G692">
        <v>44</v>
      </c>
      <c r="H692">
        <v>97043782</v>
      </c>
      <c r="I692">
        <v>232241</v>
      </c>
      <c r="J692">
        <v>38</v>
      </c>
      <c r="K692">
        <v>57</v>
      </c>
      <c r="L692">
        <v>-96811541</v>
      </c>
      <c r="M692" s="1" t="s">
        <v>1182</v>
      </c>
      <c r="N692">
        <v>2.3874434093589499E-3</v>
      </c>
      <c r="O692" s="1" t="s">
        <v>1183</v>
      </c>
      <c r="P692">
        <v>0</v>
      </c>
      <c r="Q692">
        <v>0</v>
      </c>
      <c r="R692">
        <v>0</v>
      </c>
      <c r="S692">
        <v>0</v>
      </c>
      <c r="T692">
        <v>257.83499610000001</v>
      </c>
      <c r="U692">
        <f t="shared" si="20"/>
        <v>0</v>
      </c>
      <c r="V692">
        <f t="shared" si="21"/>
        <v>0</v>
      </c>
    </row>
    <row r="693" spans="1:22" x14ac:dyDescent="0.2">
      <c r="A693" t="s">
        <v>1142</v>
      </c>
      <c r="B693" t="s">
        <v>20</v>
      </c>
      <c r="C693" t="s">
        <v>76</v>
      </c>
      <c r="D693" t="s">
        <v>77</v>
      </c>
      <c r="E693" s="1" t="s">
        <v>155</v>
      </c>
      <c r="F693" t="s">
        <v>156</v>
      </c>
      <c r="G693" s="1" t="s">
        <v>138</v>
      </c>
      <c r="H693">
        <v>30045943</v>
      </c>
      <c r="I693">
        <v>0</v>
      </c>
      <c r="J693">
        <v>7</v>
      </c>
      <c r="K693">
        <v>75</v>
      </c>
      <c r="L693">
        <v>-30045943</v>
      </c>
      <c r="M693">
        <v>1</v>
      </c>
      <c r="N693">
        <v>0</v>
      </c>
      <c r="O693">
        <v>4.9810261056119796E-3</v>
      </c>
      <c r="P693">
        <v>0</v>
      </c>
      <c r="Q693">
        <v>0</v>
      </c>
      <c r="R693">
        <v>1</v>
      </c>
      <c r="S693">
        <v>0</v>
      </c>
      <c r="T693">
        <v>257.83499610000001</v>
      </c>
      <c r="U693">
        <f t="shared" si="20"/>
        <v>0</v>
      </c>
      <c r="V693">
        <f t="shared" si="21"/>
        <v>1</v>
      </c>
    </row>
    <row r="694" spans="1:22" x14ac:dyDescent="0.2">
      <c r="A694" t="s">
        <v>1142</v>
      </c>
      <c r="B694" t="s">
        <v>20</v>
      </c>
      <c r="C694" t="s">
        <v>76</v>
      </c>
      <c r="D694" t="s">
        <v>77</v>
      </c>
      <c r="E694" s="1" t="s">
        <v>138</v>
      </c>
      <c r="F694" t="s">
        <v>139</v>
      </c>
      <c r="G694">
        <v>16</v>
      </c>
      <c r="H694">
        <v>16740896</v>
      </c>
      <c r="I694">
        <v>47950</v>
      </c>
      <c r="J694">
        <v>8</v>
      </c>
      <c r="K694">
        <v>55</v>
      </c>
      <c r="L694">
        <v>-16692946</v>
      </c>
      <c r="M694" s="1" t="s">
        <v>1184</v>
      </c>
      <c r="N694">
        <v>2.85606288842008E-3</v>
      </c>
      <c r="O694">
        <v>2.7832602960439399E-3</v>
      </c>
      <c r="P694">
        <v>0</v>
      </c>
      <c r="Q694">
        <v>0</v>
      </c>
      <c r="R694">
        <v>1</v>
      </c>
      <c r="S694">
        <v>0</v>
      </c>
      <c r="T694">
        <v>257.83499610000001</v>
      </c>
      <c r="U694">
        <f t="shared" si="20"/>
        <v>0</v>
      </c>
      <c r="V694">
        <f t="shared" si="21"/>
        <v>1</v>
      </c>
    </row>
    <row r="695" spans="1:22" x14ac:dyDescent="0.2">
      <c r="A695" t="s">
        <v>1142</v>
      </c>
      <c r="B695" t="s">
        <v>20</v>
      </c>
      <c r="C695" t="s">
        <v>76</v>
      </c>
      <c r="D695" t="s">
        <v>77</v>
      </c>
      <c r="E695">
        <v>13</v>
      </c>
      <c r="F695" t="s">
        <v>91</v>
      </c>
      <c r="G695">
        <v>69</v>
      </c>
      <c r="H695">
        <v>16874281</v>
      </c>
      <c r="I695">
        <v>116130</v>
      </c>
      <c r="J695">
        <v>11</v>
      </c>
      <c r="K695">
        <v>60</v>
      </c>
      <c r="L695">
        <v>-16758151</v>
      </c>
      <c r="M695" s="1" t="s">
        <v>1185</v>
      </c>
      <c r="N695">
        <v>6.8350318306013898E-3</v>
      </c>
      <c r="O695">
        <v>2.8166758066497299E-3</v>
      </c>
      <c r="P695">
        <v>0</v>
      </c>
      <c r="Q695">
        <v>0</v>
      </c>
      <c r="R695">
        <v>0</v>
      </c>
      <c r="S695">
        <v>0</v>
      </c>
      <c r="T695">
        <v>257.83499610000001</v>
      </c>
      <c r="U695">
        <f t="shared" si="20"/>
        <v>0</v>
      </c>
      <c r="V695">
        <f t="shared" si="21"/>
        <v>0</v>
      </c>
    </row>
    <row r="696" spans="1:22" x14ac:dyDescent="0.2">
      <c r="A696" t="s">
        <v>1142</v>
      </c>
      <c r="B696" t="s">
        <v>20</v>
      </c>
      <c r="C696" t="s">
        <v>76</v>
      </c>
      <c r="D696" t="s">
        <v>77</v>
      </c>
      <c r="E696" s="1" t="s">
        <v>89</v>
      </c>
      <c r="F696" t="s">
        <v>90</v>
      </c>
      <c r="G696">
        <v>32</v>
      </c>
      <c r="H696">
        <v>18229840</v>
      </c>
      <c r="I696">
        <v>2957333</v>
      </c>
      <c r="J696">
        <v>11</v>
      </c>
      <c r="K696">
        <v>50</v>
      </c>
      <c r="L696">
        <v>-15272507</v>
      </c>
      <c r="M696" s="1" t="s">
        <v>1186</v>
      </c>
      <c r="N696" s="1" t="s">
        <v>1187</v>
      </c>
      <c r="O696">
        <v>3.5124163624059802E-3</v>
      </c>
      <c r="P696">
        <v>0</v>
      </c>
      <c r="Q696">
        <v>0</v>
      </c>
      <c r="R696">
        <v>0</v>
      </c>
      <c r="S696">
        <v>0</v>
      </c>
      <c r="T696">
        <v>257.83499610000001</v>
      </c>
      <c r="U696">
        <f t="shared" si="20"/>
        <v>0</v>
      </c>
      <c r="V696">
        <f t="shared" si="21"/>
        <v>0</v>
      </c>
    </row>
    <row r="697" spans="1:22" x14ac:dyDescent="0.2">
      <c r="A697" t="s">
        <v>1142</v>
      </c>
      <c r="B697" t="s">
        <v>20</v>
      </c>
      <c r="C697" t="s">
        <v>76</v>
      </c>
      <c r="D697" t="s">
        <v>77</v>
      </c>
      <c r="E697">
        <v>17</v>
      </c>
      <c r="F697" t="s">
        <v>97</v>
      </c>
      <c r="G697">
        <v>86</v>
      </c>
      <c r="H697">
        <v>11805916</v>
      </c>
      <c r="I697">
        <v>3315122</v>
      </c>
      <c r="J697">
        <v>19</v>
      </c>
      <c r="K697">
        <v>26</v>
      </c>
      <c r="L697">
        <v>-8490794</v>
      </c>
      <c r="M697" s="1" t="s">
        <v>1188</v>
      </c>
      <c r="N697" s="1" t="s">
        <v>1189</v>
      </c>
      <c r="O697">
        <v>2.50677054875431E-3</v>
      </c>
      <c r="P697">
        <v>0</v>
      </c>
      <c r="Q697">
        <v>0</v>
      </c>
      <c r="R697">
        <v>0</v>
      </c>
      <c r="S697">
        <v>0</v>
      </c>
      <c r="T697">
        <v>257.83499610000001</v>
      </c>
      <c r="U697">
        <f t="shared" si="20"/>
        <v>0</v>
      </c>
      <c r="V697">
        <f t="shared" si="21"/>
        <v>0</v>
      </c>
    </row>
    <row r="698" spans="1:22" x14ac:dyDescent="0.2">
      <c r="A698" t="s">
        <v>1142</v>
      </c>
      <c r="B698" t="s">
        <v>20</v>
      </c>
      <c r="C698" t="s">
        <v>76</v>
      </c>
      <c r="D698" t="s">
        <v>77</v>
      </c>
      <c r="E698">
        <v>10</v>
      </c>
      <c r="F698" t="s">
        <v>119</v>
      </c>
      <c r="G698">
        <v>48</v>
      </c>
      <c r="H698">
        <v>55963703</v>
      </c>
      <c r="I698">
        <v>106905</v>
      </c>
      <c r="J698">
        <v>39</v>
      </c>
      <c r="K698">
        <v>67</v>
      </c>
      <c r="L698">
        <v>-55856798</v>
      </c>
      <c r="M698" s="1" t="s">
        <v>1190</v>
      </c>
      <c r="N698">
        <v>1.9066138894017299E-3</v>
      </c>
      <c r="O698">
        <v>9.2954034494952004E-3</v>
      </c>
      <c r="P698">
        <v>0</v>
      </c>
      <c r="Q698">
        <v>0</v>
      </c>
      <c r="R698">
        <v>0</v>
      </c>
      <c r="S698">
        <v>0</v>
      </c>
      <c r="T698">
        <v>257.83499610000001</v>
      </c>
      <c r="U698">
        <f t="shared" si="20"/>
        <v>0</v>
      </c>
      <c r="V698">
        <f t="shared" si="21"/>
        <v>0</v>
      </c>
    </row>
    <row r="699" spans="1:22" x14ac:dyDescent="0.2">
      <c r="A699" t="s">
        <v>1142</v>
      </c>
      <c r="B699" t="s">
        <v>20</v>
      </c>
      <c r="C699" t="s">
        <v>76</v>
      </c>
      <c r="D699" t="s">
        <v>77</v>
      </c>
      <c r="E699" s="1" t="s">
        <v>82</v>
      </c>
      <c r="F699" t="s">
        <v>83</v>
      </c>
      <c r="G699" s="1" t="s">
        <v>93</v>
      </c>
      <c r="H699">
        <v>16640527</v>
      </c>
      <c r="I699">
        <v>20184554</v>
      </c>
      <c r="J699">
        <v>10</v>
      </c>
      <c r="K699">
        <v>28</v>
      </c>
      <c r="L699">
        <v>3544027</v>
      </c>
      <c r="M699" s="1" t="s">
        <v>1191</v>
      </c>
      <c r="N699" s="1" t="s">
        <v>1192</v>
      </c>
      <c r="O699">
        <v>6.1048737861972204E-3</v>
      </c>
      <c r="P699">
        <v>0</v>
      </c>
      <c r="Q699">
        <v>0</v>
      </c>
      <c r="R699">
        <v>1</v>
      </c>
      <c r="S699">
        <v>0</v>
      </c>
      <c r="T699">
        <v>257.83499610000001</v>
      </c>
      <c r="U699">
        <f t="shared" si="20"/>
        <v>0</v>
      </c>
      <c r="V699">
        <f t="shared" si="21"/>
        <v>1</v>
      </c>
    </row>
    <row r="700" spans="1:22" x14ac:dyDescent="0.2">
      <c r="A700" t="s">
        <v>1142</v>
      </c>
      <c r="B700" t="s">
        <v>20</v>
      </c>
      <c r="C700" t="s">
        <v>76</v>
      </c>
      <c r="D700" t="s">
        <v>77</v>
      </c>
      <c r="E700">
        <v>15</v>
      </c>
      <c r="F700" t="s">
        <v>88</v>
      </c>
      <c r="G700">
        <v>76</v>
      </c>
      <c r="H700">
        <v>27145645</v>
      </c>
      <c r="I700">
        <v>89783</v>
      </c>
      <c r="J700">
        <v>51</v>
      </c>
      <c r="K700">
        <v>64</v>
      </c>
      <c r="L700">
        <v>-27055862</v>
      </c>
      <c r="M700" s="1" t="s">
        <v>1193</v>
      </c>
      <c r="N700">
        <v>3.2965518294774E-3</v>
      </c>
      <c r="O700">
        <v>4.5150980239001201E-3</v>
      </c>
      <c r="P700">
        <v>0</v>
      </c>
      <c r="Q700">
        <v>0</v>
      </c>
      <c r="R700">
        <v>0</v>
      </c>
      <c r="S700">
        <v>0</v>
      </c>
      <c r="T700">
        <v>257.83499610000001</v>
      </c>
      <c r="U700">
        <f t="shared" si="20"/>
        <v>0</v>
      </c>
      <c r="V700">
        <f t="shared" si="21"/>
        <v>0</v>
      </c>
    </row>
    <row r="701" spans="1:22" x14ac:dyDescent="0.2">
      <c r="A701" t="s">
        <v>1142</v>
      </c>
      <c r="B701" t="s">
        <v>20</v>
      </c>
      <c r="C701" t="s">
        <v>76</v>
      </c>
      <c r="D701" t="s">
        <v>77</v>
      </c>
      <c r="E701" s="1" t="s">
        <v>89</v>
      </c>
      <c r="F701" t="s">
        <v>90</v>
      </c>
      <c r="G701">
        <v>38</v>
      </c>
      <c r="H701">
        <v>16340963</v>
      </c>
      <c r="I701">
        <v>544186</v>
      </c>
      <c r="J701">
        <v>30</v>
      </c>
      <c r="K701">
        <v>63</v>
      </c>
      <c r="L701">
        <v>-15796777</v>
      </c>
      <c r="M701" s="1" t="s">
        <v>1194</v>
      </c>
      <c r="N701">
        <v>3.2228676217189403E-2</v>
      </c>
      <c r="O701">
        <v>2.79922543839439E-3</v>
      </c>
      <c r="P701">
        <v>0</v>
      </c>
      <c r="Q701">
        <v>0</v>
      </c>
      <c r="R701">
        <v>0</v>
      </c>
      <c r="S701">
        <v>0</v>
      </c>
      <c r="T701">
        <v>257.83499610000001</v>
      </c>
      <c r="U701">
        <f t="shared" si="20"/>
        <v>0</v>
      </c>
      <c r="V701">
        <f t="shared" si="21"/>
        <v>0</v>
      </c>
    </row>
    <row r="702" spans="1:22" x14ac:dyDescent="0.2">
      <c r="A702" t="s">
        <v>1142</v>
      </c>
      <c r="B702" t="s">
        <v>20</v>
      </c>
      <c r="C702" t="s">
        <v>76</v>
      </c>
      <c r="D702" t="s">
        <v>77</v>
      </c>
      <c r="E702" s="1" t="s">
        <v>99</v>
      </c>
      <c r="F702" t="s">
        <v>100</v>
      </c>
      <c r="G702">
        <v>39</v>
      </c>
      <c r="H702">
        <v>64303864</v>
      </c>
      <c r="I702">
        <v>989372</v>
      </c>
      <c r="J702">
        <v>21</v>
      </c>
      <c r="K702">
        <v>70</v>
      </c>
      <c r="L702">
        <v>-63314492</v>
      </c>
      <c r="M702" s="1" t="s">
        <v>1195</v>
      </c>
      <c r="N702" s="1" t="s">
        <v>1196</v>
      </c>
      <c r="O702" s="1" t="s">
        <v>1197</v>
      </c>
      <c r="P702">
        <v>0</v>
      </c>
      <c r="Q702">
        <v>0</v>
      </c>
      <c r="R702">
        <v>0</v>
      </c>
      <c r="S702">
        <v>0</v>
      </c>
      <c r="T702">
        <v>257.83499610000001</v>
      </c>
      <c r="U702">
        <f t="shared" si="20"/>
        <v>0</v>
      </c>
      <c r="V702">
        <f t="shared" si="21"/>
        <v>0</v>
      </c>
    </row>
    <row r="703" spans="1:22" x14ac:dyDescent="0.2">
      <c r="A703" t="s">
        <v>1142</v>
      </c>
      <c r="B703" t="s">
        <v>20</v>
      </c>
      <c r="C703" t="s">
        <v>76</v>
      </c>
      <c r="D703" t="s">
        <v>77</v>
      </c>
      <c r="E703" s="1" t="s">
        <v>155</v>
      </c>
      <c r="F703" t="s">
        <v>156</v>
      </c>
      <c r="G703" s="1" t="s">
        <v>155</v>
      </c>
      <c r="H703">
        <v>22372375</v>
      </c>
      <c r="I703">
        <v>112262</v>
      </c>
      <c r="J703">
        <v>4</v>
      </c>
      <c r="K703">
        <v>35</v>
      </c>
      <c r="L703">
        <v>-22260113</v>
      </c>
      <c r="M703" s="1" t="s">
        <v>1198</v>
      </c>
      <c r="N703">
        <v>4.9928313274526003E-3</v>
      </c>
      <c r="O703">
        <v>3.7275103621214E-3</v>
      </c>
      <c r="P703">
        <v>1</v>
      </c>
      <c r="Q703">
        <v>0</v>
      </c>
      <c r="R703">
        <v>1</v>
      </c>
      <c r="S703">
        <v>0</v>
      </c>
      <c r="T703">
        <v>257.83499610000001</v>
      </c>
      <c r="U703">
        <f t="shared" si="20"/>
        <v>1</v>
      </c>
      <c r="V703">
        <f t="shared" si="21"/>
        <v>1</v>
      </c>
    </row>
    <row r="704" spans="1:22" x14ac:dyDescent="0.2">
      <c r="A704" t="s">
        <v>1142</v>
      </c>
      <c r="B704" t="s">
        <v>20</v>
      </c>
      <c r="C704" t="s">
        <v>76</v>
      </c>
      <c r="D704" t="s">
        <v>77</v>
      </c>
      <c r="E704" s="1" t="s">
        <v>89</v>
      </c>
      <c r="F704" t="s">
        <v>90</v>
      </c>
      <c r="G704">
        <v>36</v>
      </c>
      <c r="H704">
        <v>2842809</v>
      </c>
      <c r="I704">
        <v>0</v>
      </c>
      <c r="J704">
        <v>17</v>
      </c>
      <c r="K704">
        <v>37</v>
      </c>
      <c r="L704">
        <v>-2842809</v>
      </c>
      <c r="M704">
        <v>1</v>
      </c>
      <c r="N704">
        <v>0</v>
      </c>
      <c r="O704" s="1" t="s">
        <v>1199</v>
      </c>
      <c r="P704">
        <v>0</v>
      </c>
      <c r="Q704">
        <v>0</v>
      </c>
      <c r="R704">
        <v>0</v>
      </c>
      <c r="S704">
        <v>0</v>
      </c>
      <c r="T704">
        <v>257.83499610000001</v>
      </c>
      <c r="U704">
        <f t="shared" si="20"/>
        <v>0</v>
      </c>
      <c r="V704">
        <f t="shared" si="21"/>
        <v>0</v>
      </c>
    </row>
    <row r="705" spans="1:22" x14ac:dyDescent="0.2">
      <c r="A705" t="s">
        <v>1142</v>
      </c>
      <c r="B705" t="s">
        <v>20</v>
      </c>
      <c r="C705" t="s">
        <v>76</v>
      </c>
      <c r="D705" t="s">
        <v>77</v>
      </c>
      <c r="E705" s="1" t="s">
        <v>138</v>
      </c>
      <c r="F705" t="s">
        <v>139</v>
      </c>
      <c r="G705">
        <v>20</v>
      </c>
      <c r="H705">
        <v>14849273</v>
      </c>
      <c r="I705">
        <v>10925114</v>
      </c>
      <c r="J705">
        <v>12</v>
      </c>
      <c r="K705">
        <v>43</v>
      </c>
      <c r="L705">
        <v>-3924159</v>
      </c>
      <c r="M705" s="1" t="s">
        <v>1200</v>
      </c>
      <c r="N705" s="1" t="s">
        <v>1201</v>
      </c>
      <c r="O705">
        <v>4.2728861764513796E-3</v>
      </c>
      <c r="P705">
        <v>0</v>
      </c>
      <c r="Q705">
        <v>0</v>
      </c>
      <c r="R705">
        <v>0</v>
      </c>
      <c r="S705">
        <v>0</v>
      </c>
      <c r="T705">
        <v>257.83499610000001</v>
      </c>
      <c r="U705">
        <f t="shared" si="20"/>
        <v>0</v>
      </c>
      <c r="V705">
        <f t="shared" si="21"/>
        <v>0</v>
      </c>
    </row>
    <row r="706" spans="1:22" x14ac:dyDescent="0.2">
      <c r="A706" t="s">
        <v>1142</v>
      </c>
      <c r="B706" t="s">
        <v>20</v>
      </c>
      <c r="C706" t="s">
        <v>76</v>
      </c>
      <c r="D706" t="s">
        <v>77</v>
      </c>
      <c r="E706">
        <v>12</v>
      </c>
      <c r="F706" t="s">
        <v>194</v>
      </c>
      <c r="G706">
        <v>64</v>
      </c>
      <c r="H706">
        <v>8113221</v>
      </c>
      <c r="I706">
        <v>126259</v>
      </c>
      <c r="J706">
        <v>8</v>
      </c>
      <c r="K706">
        <v>61</v>
      </c>
      <c r="L706">
        <v>-7986962</v>
      </c>
      <c r="M706" s="1" t="s">
        <v>1202</v>
      </c>
      <c r="N706">
        <v>1.53236612019205E-2</v>
      </c>
      <c r="O706">
        <v>1.36594364758888E-3</v>
      </c>
      <c r="P706">
        <v>0</v>
      </c>
      <c r="Q706">
        <v>0</v>
      </c>
      <c r="R706">
        <v>1</v>
      </c>
      <c r="S706">
        <v>0</v>
      </c>
      <c r="T706">
        <v>257.83499610000001</v>
      </c>
      <c r="U706">
        <f t="shared" si="20"/>
        <v>0</v>
      </c>
      <c r="V706">
        <f t="shared" si="21"/>
        <v>1</v>
      </c>
    </row>
    <row r="707" spans="1:22" x14ac:dyDescent="0.2">
      <c r="A707" t="s">
        <v>1142</v>
      </c>
      <c r="B707" t="s">
        <v>20</v>
      </c>
      <c r="C707" t="s">
        <v>76</v>
      </c>
      <c r="D707" t="s">
        <v>77</v>
      </c>
      <c r="E707" s="1" t="s">
        <v>155</v>
      </c>
      <c r="F707" t="s">
        <v>156</v>
      </c>
      <c r="G707" s="1" t="s">
        <v>110</v>
      </c>
      <c r="H707">
        <v>5627066</v>
      </c>
      <c r="I707">
        <v>2279965</v>
      </c>
      <c r="J707">
        <v>50</v>
      </c>
      <c r="K707">
        <v>35</v>
      </c>
      <c r="L707">
        <v>-3347101</v>
      </c>
      <c r="M707" s="1" t="s">
        <v>1203</v>
      </c>
      <c r="N707" s="1" t="s">
        <v>1204</v>
      </c>
      <c r="O707">
        <v>1.3108301453172301E-3</v>
      </c>
      <c r="P707">
        <v>0</v>
      </c>
      <c r="Q707">
        <v>0</v>
      </c>
      <c r="R707">
        <v>0</v>
      </c>
      <c r="S707">
        <v>0</v>
      </c>
      <c r="T707">
        <v>257.83499610000001</v>
      </c>
      <c r="U707">
        <f t="shared" ref="U707:U770" si="22">IF(OR(P707=1,Q707=1),1,0)</f>
        <v>0</v>
      </c>
      <c r="V707">
        <f t="shared" ref="V707:V770" si="23">IF(OR(R707=1,S707=1),1,0)</f>
        <v>0</v>
      </c>
    </row>
    <row r="708" spans="1:22" x14ac:dyDescent="0.2">
      <c r="A708" t="s">
        <v>1142</v>
      </c>
      <c r="B708" t="s">
        <v>20</v>
      </c>
      <c r="C708" t="s">
        <v>76</v>
      </c>
      <c r="D708" t="s">
        <v>77</v>
      </c>
      <c r="E708" s="1" t="s">
        <v>82</v>
      </c>
      <c r="F708" t="s">
        <v>83</v>
      </c>
      <c r="G708">
        <v>12</v>
      </c>
      <c r="H708">
        <v>19677403</v>
      </c>
      <c r="I708">
        <v>5294551</v>
      </c>
      <c r="J708">
        <v>18</v>
      </c>
      <c r="K708">
        <v>34</v>
      </c>
      <c r="L708">
        <v>-14382852</v>
      </c>
      <c r="M708" s="1" t="s">
        <v>1205</v>
      </c>
      <c r="N708" s="1" t="s">
        <v>1206</v>
      </c>
      <c r="O708">
        <v>4.1398585753205201E-3</v>
      </c>
      <c r="P708">
        <v>0</v>
      </c>
      <c r="Q708">
        <v>0</v>
      </c>
      <c r="R708">
        <v>0</v>
      </c>
      <c r="S708">
        <v>0</v>
      </c>
      <c r="T708">
        <v>257.83499610000001</v>
      </c>
      <c r="U708">
        <f t="shared" si="22"/>
        <v>0</v>
      </c>
      <c r="V708">
        <f t="shared" si="23"/>
        <v>0</v>
      </c>
    </row>
    <row r="709" spans="1:22" x14ac:dyDescent="0.2">
      <c r="A709" t="s">
        <v>1142</v>
      </c>
      <c r="B709" t="s">
        <v>20</v>
      </c>
      <c r="C709" t="s">
        <v>76</v>
      </c>
      <c r="D709" t="s">
        <v>77</v>
      </c>
      <c r="E709">
        <v>20</v>
      </c>
      <c r="F709" t="s">
        <v>104</v>
      </c>
      <c r="G709">
        <v>94</v>
      </c>
      <c r="H709">
        <v>15172042</v>
      </c>
      <c r="I709">
        <v>161955</v>
      </c>
      <c r="J709">
        <v>29</v>
      </c>
      <c r="K709">
        <v>68</v>
      </c>
      <c r="L709">
        <v>-15010087</v>
      </c>
      <c r="M709" s="1" t="s">
        <v>1207</v>
      </c>
      <c r="N709" s="1" t="s">
        <v>1208</v>
      </c>
      <c r="O709">
        <v>2.5420749603490798E-3</v>
      </c>
      <c r="P709">
        <v>0</v>
      </c>
      <c r="Q709">
        <v>0</v>
      </c>
      <c r="R709">
        <v>0</v>
      </c>
      <c r="S709">
        <v>0</v>
      </c>
      <c r="T709">
        <v>257.83499610000001</v>
      </c>
      <c r="U709">
        <f t="shared" si="22"/>
        <v>0</v>
      </c>
      <c r="V709">
        <f t="shared" si="23"/>
        <v>0</v>
      </c>
    </row>
    <row r="710" spans="1:22" x14ac:dyDescent="0.2">
      <c r="A710" t="s">
        <v>1142</v>
      </c>
      <c r="B710" t="s">
        <v>20</v>
      </c>
      <c r="C710" t="s">
        <v>76</v>
      </c>
      <c r="D710" t="s">
        <v>77</v>
      </c>
      <c r="E710">
        <v>15</v>
      </c>
      <c r="F710" t="s">
        <v>88</v>
      </c>
      <c r="G710">
        <v>74</v>
      </c>
      <c r="H710">
        <v>6594737</v>
      </c>
      <c r="I710">
        <v>7147417</v>
      </c>
      <c r="J710">
        <v>47</v>
      </c>
      <c r="K710">
        <v>35</v>
      </c>
      <c r="L710">
        <v>552680</v>
      </c>
      <c r="M710" s="1" t="s">
        <v>1209</v>
      </c>
      <c r="N710" s="1" t="s">
        <v>1210</v>
      </c>
      <c r="O710">
        <v>2.27817871522089E-3</v>
      </c>
      <c r="P710">
        <v>0</v>
      </c>
      <c r="Q710">
        <v>0</v>
      </c>
      <c r="R710">
        <v>0</v>
      </c>
      <c r="S710">
        <v>0</v>
      </c>
      <c r="T710">
        <v>257.83499610000001</v>
      </c>
      <c r="U710">
        <f t="shared" si="22"/>
        <v>0</v>
      </c>
      <c r="V710">
        <f t="shared" si="23"/>
        <v>0</v>
      </c>
    </row>
    <row r="711" spans="1:22" x14ac:dyDescent="0.2">
      <c r="A711" t="s">
        <v>1142</v>
      </c>
      <c r="B711" t="s">
        <v>20</v>
      </c>
      <c r="C711" t="s">
        <v>76</v>
      </c>
      <c r="D711" t="s">
        <v>77</v>
      </c>
      <c r="E711">
        <v>18</v>
      </c>
      <c r="F711" t="s">
        <v>147</v>
      </c>
      <c r="G711">
        <v>90</v>
      </c>
      <c r="H711">
        <v>15357158</v>
      </c>
      <c r="I711">
        <v>13514025</v>
      </c>
      <c r="J711">
        <v>33</v>
      </c>
      <c r="K711">
        <v>49</v>
      </c>
      <c r="L711">
        <v>-1843133</v>
      </c>
      <c r="M711" s="1" t="s">
        <v>1211</v>
      </c>
      <c r="N711" s="1" t="s">
        <v>1212</v>
      </c>
      <c r="O711">
        <v>4.7862740145283803E-3</v>
      </c>
      <c r="P711">
        <v>0</v>
      </c>
      <c r="Q711">
        <v>0</v>
      </c>
      <c r="R711">
        <v>0</v>
      </c>
      <c r="S711">
        <v>0</v>
      </c>
      <c r="T711">
        <v>257.83499610000001</v>
      </c>
      <c r="U711">
        <f t="shared" si="22"/>
        <v>0</v>
      </c>
      <c r="V711">
        <f t="shared" si="23"/>
        <v>0</v>
      </c>
    </row>
    <row r="712" spans="1:22" x14ac:dyDescent="0.2">
      <c r="A712" t="s">
        <v>1142</v>
      </c>
      <c r="B712" t="s">
        <v>20</v>
      </c>
      <c r="C712" t="s">
        <v>76</v>
      </c>
      <c r="D712" t="s">
        <v>77</v>
      </c>
      <c r="E712">
        <v>10</v>
      </c>
      <c r="F712" t="s">
        <v>119</v>
      </c>
      <c r="G712">
        <v>49</v>
      </c>
      <c r="H712">
        <v>2466066</v>
      </c>
      <c r="I712">
        <v>18364</v>
      </c>
      <c r="J712">
        <v>36</v>
      </c>
      <c r="K712">
        <v>65</v>
      </c>
      <c r="L712">
        <v>-2447702</v>
      </c>
      <c r="M712" s="1" t="s">
        <v>1213</v>
      </c>
      <c r="N712">
        <v>7.3916351034241197E-3</v>
      </c>
      <c r="O712" s="1" t="s">
        <v>1214</v>
      </c>
      <c r="P712">
        <v>0</v>
      </c>
      <c r="Q712">
        <v>0</v>
      </c>
      <c r="R712">
        <v>0</v>
      </c>
      <c r="S712">
        <v>0</v>
      </c>
      <c r="T712">
        <v>257.83499610000001</v>
      </c>
      <c r="U712">
        <f t="shared" si="22"/>
        <v>0</v>
      </c>
      <c r="V712">
        <f t="shared" si="23"/>
        <v>0</v>
      </c>
    </row>
    <row r="713" spans="1:22" x14ac:dyDescent="0.2">
      <c r="A713" t="s">
        <v>1142</v>
      </c>
      <c r="B713" t="s">
        <v>20</v>
      </c>
      <c r="C713" t="s">
        <v>76</v>
      </c>
      <c r="D713" t="s">
        <v>77</v>
      </c>
      <c r="E713" s="1" t="s">
        <v>89</v>
      </c>
      <c r="F713" t="s">
        <v>90</v>
      </c>
      <c r="G713">
        <v>29</v>
      </c>
      <c r="H713">
        <v>20571550</v>
      </c>
      <c r="I713">
        <v>2129960</v>
      </c>
      <c r="J713">
        <v>45</v>
      </c>
      <c r="K713">
        <v>50</v>
      </c>
      <c r="L713">
        <v>-18441590</v>
      </c>
      <c r="M713" s="1" t="s">
        <v>1215</v>
      </c>
      <c r="N713">
        <v>9.3824595808825004E-2</v>
      </c>
      <c r="O713">
        <v>3.7634636378965202E-3</v>
      </c>
      <c r="P713">
        <v>0</v>
      </c>
      <c r="Q713">
        <v>0</v>
      </c>
      <c r="R713">
        <v>0</v>
      </c>
      <c r="S713">
        <v>0</v>
      </c>
      <c r="T713">
        <v>257.83499610000001</v>
      </c>
      <c r="U713">
        <f t="shared" si="22"/>
        <v>0</v>
      </c>
      <c r="V713">
        <f t="shared" si="23"/>
        <v>0</v>
      </c>
    </row>
    <row r="714" spans="1:22" x14ac:dyDescent="0.2">
      <c r="A714" t="s">
        <v>1142</v>
      </c>
      <c r="B714" t="s">
        <v>20</v>
      </c>
      <c r="C714" t="s">
        <v>76</v>
      </c>
      <c r="D714" t="s">
        <v>77</v>
      </c>
      <c r="E714">
        <v>15</v>
      </c>
      <c r="F714" t="s">
        <v>88</v>
      </c>
      <c r="G714">
        <v>82</v>
      </c>
      <c r="H714">
        <v>3173774</v>
      </c>
      <c r="I714">
        <v>1323364</v>
      </c>
      <c r="J714">
        <v>36</v>
      </c>
      <c r="K714">
        <v>50</v>
      </c>
      <c r="L714">
        <v>-1850410</v>
      </c>
      <c r="M714" s="1" t="s">
        <v>1216</v>
      </c>
      <c r="N714" s="1" t="s">
        <v>1217</v>
      </c>
      <c r="O714" s="1" t="s">
        <v>1218</v>
      </c>
      <c r="P714">
        <v>0</v>
      </c>
      <c r="Q714">
        <v>0</v>
      </c>
      <c r="R714">
        <v>0</v>
      </c>
      <c r="S714">
        <v>0</v>
      </c>
      <c r="T714">
        <v>257.83499610000001</v>
      </c>
      <c r="U714">
        <f t="shared" si="22"/>
        <v>0</v>
      </c>
      <c r="V714">
        <f t="shared" si="23"/>
        <v>0</v>
      </c>
    </row>
    <row r="715" spans="1:22" x14ac:dyDescent="0.2">
      <c r="A715" t="s">
        <v>1142</v>
      </c>
      <c r="B715" t="s">
        <v>20</v>
      </c>
      <c r="C715" t="s">
        <v>76</v>
      </c>
      <c r="D715" t="s">
        <v>77</v>
      </c>
      <c r="E715">
        <v>17</v>
      </c>
      <c r="F715" t="s">
        <v>97</v>
      </c>
      <c r="G715">
        <v>88</v>
      </c>
      <c r="H715">
        <v>1723845</v>
      </c>
      <c r="I715">
        <v>8962</v>
      </c>
      <c r="J715">
        <v>57</v>
      </c>
      <c r="K715">
        <v>75</v>
      </c>
      <c r="L715">
        <v>-1714883</v>
      </c>
      <c r="M715" s="1" t="s">
        <v>1219</v>
      </c>
      <c r="N715">
        <v>5.17195509944269E-3</v>
      </c>
      <c r="O715" s="1" t="s">
        <v>1220</v>
      </c>
      <c r="P715">
        <v>0</v>
      </c>
      <c r="Q715">
        <v>0</v>
      </c>
      <c r="R715">
        <v>0</v>
      </c>
      <c r="S715">
        <v>0</v>
      </c>
      <c r="T715">
        <v>257.83499610000001</v>
      </c>
      <c r="U715">
        <f t="shared" si="22"/>
        <v>0</v>
      </c>
      <c r="V715">
        <f t="shared" si="23"/>
        <v>0</v>
      </c>
    </row>
    <row r="716" spans="1:22" x14ac:dyDescent="0.2">
      <c r="A716" t="s">
        <v>1142</v>
      </c>
      <c r="B716" t="s">
        <v>20</v>
      </c>
      <c r="C716" t="s">
        <v>76</v>
      </c>
      <c r="D716" t="s">
        <v>77</v>
      </c>
      <c r="E716">
        <v>11</v>
      </c>
      <c r="F716" t="s">
        <v>127</v>
      </c>
      <c r="G716">
        <v>63</v>
      </c>
      <c r="H716">
        <v>2416969</v>
      </c>
      <c r="I716">
        <v>2796265</v>
      </c>
      <c r="J716">
        <v>24</v>
      </c>
      <c r="K716">
        <v>42</v>
      </c>
      <c r="L716">
        <v>379296</v>
      </c>
      <c r="M716" s="1" t="s">
        <v>1221</v>
      </c>
      <c r="N716">
        <v>0.53637818674550197</v>
      </c>
      <c r="O716" s="1" t="s">
        <v>1222</v>
      </c>
      <c r="P716">
        <v>0</v>
      </c>
      <c r="Q716">
        <v>0</v>
      </c>
      <c r="R716">
        <v>0</v>
      </c>
      <c r="S716">
        <v>0</v>
      </c>
      <c r="T716">
        <v>257.83499610000001</v>
      </c>
      <c r="U716">
        <f t="shared" si="22"/>
        <v>0</v>
      </c>
      <c r="V716">
        <f t="shared" si="23"/>
        <v>0</v>
      </c>
    </row>
    <row r="717" spans="1:22" x14ac:dyDescent="0.2">
      <c r="A717" t="s">
        <v>1142</v>
      </c>
      <c r="B717" t="s">
        <v>20</v>
      </c>
      <c r="C717" t="s">
        <v>76</v>
      </c>
      <c r="D717" t="s">
        <v>77</v>
      </c>
      <c r="E717" s="1" t="s">
        <v>89</v>
      </c>
      <c r="F717" t="s">
        <v>90</v>
      </c>
      <c r="G717">
        <v>35</v>
      </c>
      <c r="H717">
        <v>2672379</v>
      </c>
      <c r="I717">
        <v>29072</v>
      </c>
      <c r="J717">
        <v>9</v>
      </c>
      <c r="K717">
        <v>62</v>
      </c>
      <c r="L717">
        <v>-2643307</v>
      </c>
      <c r="M717" s="1" t="s">
        <v>1223</v>
      </c>
      <c r="N717" s="1" t="s">
        <v>1224</v>
      </c>
      <c r="O717" s="1" t="s">
        <v>1225</v>
      </c>
      <c r="P717">
        <v>0</v>
      </c>
      <c r="Q717">
        <v>0</v>
      </c>
      <c r="R717">
        <v>1</v>
      </c>
      <c r="S717">
        <v>0</v>
      </c>
      <c r="T717">
        <v>257.83499610000001</v>
      </c>
      <c r="U717">
        <f t="shared" si="22"/>
        <v>0</v>
      </c>
      <c r="V717">
        <f t="shared" si="23"/>
        <v>1</v>
      </c>
    </row>
    <row r="718" spans="1:22" x14ac:dyDescent="0.2">
      <c r="A718" t="s">
        <v>1142</v>
      </c>
      <c r="B718" t="s">
        <v>20</v>
      </c>
      <c r="C718" t="s">
        <v>76</v>
      </c>
      <c r="D718" t="s">
        <v>77</v>
      </c>
      <c r="E718">
        <v>20</v>
      </c>
      <c r="F718" t="s">
        <v>104</v>
      </c>
      <c r="G718">
        <v>95</v>
      </c>
      <c r="H718">
        <v>4209755</v>
      </c>
      <c r="I718">
        <v>362858</v>
      </c>
      <c r="J718">
        <v>14</v>
      </c>
      <c r="K718">
        <v>55</v>
      </c>
      <c r="L718">
        <v>-3846897</v>
      </c>
      <c r="M718" s="1" t="s">
        <v>1226</v>
      </c>
      <c r="N718">
        <v>7.9354627212055703E-2</v>
      </c>
      <c r="O718" s="1" t="s">
        <v>1227</v>
      </c>
      <c r="P718">
        <v>0</v>
      </c>
      <c r="Q718">
        <v>0</v>
      </c>
      <c r="R718">
        <v>0</v>
      </c>
      <c r="S718">
        <v>0</v>
      </c>
      <c r="T718">
        <v>257.83499610000001</v>
      </c>
      <c r="U718">
        <f t="shared" si="22"/>
        <v>0</v>
      </c>
      <c r="V718">
        <f t="shared" si="23"/>
        <v>0</v>
      </c>
    </row>
    <row r="719" spans="1:22" x14ac:dyDescent="0.2">
      <c r="A719" t="s">
        <v>1142</v>
      </c>
      <c r="B719" t="s">
        <v>20</v>
      </c>
      <c r="C719" t="s">
        <v>76</v>
      </c>
      <c r="D719" t="s">
        <v>77</v>
      </c>
      <c r="E719">
        <v>11</v>
      </c>
      <c r="F719" t="s">
        <v>127</v>
      </c>
      <c r="G719">
        <v>59</v>
      </c>
      <c r="H719">
        <v>1452470</v>
      </c>
      <c r="I719">
        <v>483</v>
      </c>
      <c r="J719">
        <v>13</v>
      </c>
      <c r="K719">
        <v>62</v>
      </c>
      <c r="L719">
        <v>-1451987</v>
      </c>
      <c r="M719" s="1" t="s">
        <v>1228</v>
      </c>
      <c r="N719" s="1" t="s">
        <v>1229</v>
      </c>
      <c r="O719" s="1" t="s">
        <v>1230</v>
      </c>
      <c r="P719">
        <v>0</v>
      </c>
      <c r="Q719">
        <v>0</v>
      </c>
      <c r="R719">
        <v>0</v>
      </c>
      <c r="S719">
        <v>0</v>
      </c>
      <c r="T719">
        <v>257.83499610000001</v>
      </c>
      <c r="U719">
        <f t="shared" si="22"/>
        <v>0</v>
      </c>
      <c r="V719">
        <f t="shared" si="23"/>
        <v>0</v>
      </c>
    </row>
    <row r="720" spans="1:22" x14ac:dyDescent="0.2">
      <c r="A720" t="s">
        <v>1142</v>
      </c>
      <c r="B720" t="s">
        <v>20</v>
      </c>
      <c r="C720" t="s">
        <v>76</v>
      </c>
      <c r="D720" t="s">
        <v>77</v>
      </c>
      <c r="E720">
        <v>11</v>
      </c>
      <c r="F720" t="s">
        <v>127</v>
      </c>
      <c r="G720">
        <v>61</v>
      </c>
      <c r="H720">
        <v>7645894</v>
      </c>
      <c r="I720">
        <v>204329</v>
      </c>
      <c r="J720">
        <v>5</v>
      </c>
      <c r="K720">
        <v>67</v>
      </c>
      <c r="L720">
        <v>-7441565</v>
      </c>
      <c r="M720">
        <v>0.97397156743190605</v>
      </c>
      <c r="N720" s="1" t="s">
        <v>1231</v>
      </c>
      <c r="O720">
        <v>1.30141249678452E-3</v>
      </c>
      <c r="P720">
        <v>1</v>
      </c>
      <c r="Q720">
        <v>0</v>
      </c>
      <c r="R720">
        <v>1</v>
      </c>
      <c r="S720">
        <v>0</v>
      </c>
      <c r="T720">
        <v>257.83499610000001</v>
      </c>
      <c r="U720">
        <f t="shared" si="22"/>
        <v>1</v>
      </c>
      <c r="V720">
        <f t="shared" si="23"/>
        <v>1</v>
      </c>
    </row>
    <row r="721" spans="1:22" x14ac:dyDescent="0.2">
      <c r="A721" t="s">
        <v>1142</v>
      </c>
      <c r="B721" t="s">
        <v>20</v>
      </c>
      <c r="C721" t="s">
        <v>76</v>
      </c>
      <c r="D721" t="s">
        <v>77</v>
      </c>
      <c r="E721">
        <v>15</v>
      </c>
      <c r="F721" t="s">
        <v>88</v>
      </c>
      <c r="G721">
        <v>83</v>
      </c>
      <c r="H721">
        <v>9753803</v>
      </c>
      <c r="I721">
        <v>521913</v>
      </c>
      <c r="J721">
        <v>15</v>
      </c>
      <c r="K721">
        <v>50</v>
      </c>
      <c r="L721">
        <v>-9231890</v>
      </c>
      <c r="M721">
        <v>0.94920908674393101</v>
      </c>
      <c r="N721">
        <v>5.0790913256068902E-2</v>
      </c>
      <c r="O721">
        <v>1.7035115073557401E-3</v>
      </c>
      <c r="P721">
        <v>0</v>
      </c>
      <c r="Q721">
        <v>0</v>
      </c>
      <c r="R721">
        <v>0</v>
      </c>
      <c r="S721">
        <v>0</v>
      </c>
      <c r="T721">
        <v>257.83499610000001</v>
      </c>
      <c r="U721">
        <f t="shared" si="22"/>
        <v>0</v>
      </c>
      <c r="V721">
        <f t="shared" si="23"/>
        <v>0</v>
      </c>
    </row>
    <row r="722" spans="1:22" x14ac:dyDescent="0.2">
      <c r="A722" t="s">
        <v>1142</v>
      </c>
      <c r="B722" t="s">
        <v>20</v>
      </c>
      <c r="C722" t="s">
        <v>76</v>
      </c>
      <c r="D722" t="s">
        <v>77</v>
      </c>
      <c r="E722" s="1" t="s">
        <v>155</v>
      </c>
      <c r="F722" t="s">
        <v>156</v>
      </c>
      <c r="G722" s="1" t="s">
        <v>82</v>
      </c>
      <c r="H722">
        <v>1095610</v>
      </c>
      <c r="I722">
        <v>0</v>
      </c>
      <c r="J722">
        <v>26</v>
      </c>
      <c r="K722">
        <v>59</v>
      </c>
      <c r="L722">
        <v>-1095610</v>
      </c>
      <c r="M722">
        <v>1</v>
      </c>
      <c r="N722">
        <v>0</v>
      </c>
      <c r="O722" s="1" t="s">
        <v>1232</v>
      </c>
      <c r="P722">
        <v>0</v>
      </c>
      <c r="Q722">
        <v>0</v>
      </c>
      <c r="R722">
        <v>0</v>
      </c>
      <c r="S722">
        <v>0</v>
      </c>
      <c r="T722">
        <v>257.83499610000001</v>
      </c>
      <c r="U722">
        <f t="shared" si="22"/>
        <v>0</v>
      </c>
      <c r="V722">
        <f t="shared" si="23"/>
        <v>0</v>
      </c>
    </row>
    <row r="723" spans="1:22" x14ac:dyDescent="0.2">
      <c r="A723" t="s">
        <v>1142</v>
      </c>
      <c r="B723" t="s">
        <v>20</v>
      </c>
      <c r="C723" t="s">
        <v>76</v>
      </c>
      <c r="D723" t="s">
        <v>77</v>
      </c>
      <c r="E723" s="1" t="s">
        <v>85</v>
      </c>
      <c r="F723" t="s">
        <v>86</v>
      </c>
      <c r="G723">
        <v>25</v>
      </c>
      <c r="H723">
        <v>854609</v>
      </c>
      <c r="I723">
        <v>2395030</v>
      </c>
      <c r="J723">
        <v>73</v>
      </c>
      <c r="K723">
        <v>38</v>
      </c>
      <c r="L723">
        <v>1540421</v>
      </c>
      <c r="M723" s="1" t="s">
        <v>1233</v>
      </c>
      <c r="N723">
        <v>0.73701417295890403</v>
      </c>
      <c r="O723" s="1" t="s">
        <v>1234</v>
      </c>
      <c r="P723">
        <v>0</v>
      </c>
      <c r="Q723">
        <v>0</v>
      </c>
      <c r="R723">
        <v>0</v>
      </c>
      <c r="S723">
        <v>0</v>
      </c>
      <c r="T723">
        <v>257.83499610000001</v>
      </c>
      <c r="U723">
        <f t="shared" si="22"/>
        <v>0</v>
      </c>
      <c r="V723">
        <f t="shared" si="23"/>
        <v>0</v>
      </c>
    </row>
    <row r="724" spans="1:22" x14ac:dyDescent="0.2">
      <c r="A724" t="s">
        <v>1142</v>
      </c>
      <c r="B724" t="s">
        <v>20</v>
      </c>
      <c r="C724" t="s">
        <v>76</v>
      </c>
      <c r="D724" t="s">
        <v>77</v>
      </c>
      <c r="E724" s="1" t="s">
        <v>163</v>
      </c>
      <c r="F724" t="s">
        <v>224</v>
      </c>
      <c r="G724">
        <v>42</v>
      </c>
      <c r="H724">
        <v>1453833</v>
      </c>
      <c r="I724">
        <v>11884</v>
      </c>
      <c r="J724">
        <v>8</v>
      </c>
      <c r="K724">
        <v>67</v>
      </c>
      <c r="L724">
        <v>-1441949</v>
      </c>
      <c r="M724" s="1" t="s">
        <v>1235</v>
      </c>
      <c r="N724">
        <v>8.1079771879564704E-3</v>
      </c>
      <c r="O724" s="1" t="s">
        <v>1236</v>
      </c>
      <c r="P724">
        <v>0</v>
      </c>
      <c r="Q724">
        <v>0</v>
      </c>
      <c r="R724">
        <v>1</v>
      </c>
      <c r="S724">
        <v>0</v>
      </c>
      <c r="T724">
        <v>257.83499610000001</v>
      </c>
      <c r="U724">
        <f t="shared" si="22"/>
        <v>0</v>
      </c>
      <c r="V724">
        <f t="shared" si="23"/>
        <v>1</v>
      </c>
    </row>
    <row r="725" spans="1:22" x14ac:dyDescent="0.2">
      <c r="A725" t="s">
        <v>1142</v>
      </c>
      <c r="B725" t="s">
        <v>20</v>
      </c>
      <c r="C725" t="s">
        <v>76</v>
      </c>
      <c r="D725" t="s">
        <v>77</v>
      </c>
      <c r="E725">
        <v>11</v>
      </c>
      <c r="F725" t="s">
        <v>127</v>
      </c>
      <c r="G725">
        <v>62</v>
      </c>
      <c r="H725">
        <v>4785988</v>
      </c>
      <c r="I725">
        <v>65758</v>
      </c>
      <c r="J725">
        <v>17</v>
      </c>
      <c r="K725">
        <v>75</v>
      </c>
      <c r="L725">
        <v>-4720230</v>
      </c>
      <c r="M725" s="1" t="s">
        <v>1237</v>
      </c>
      <c r="N725" s="1" t="s">
        <v>1238</v>
      </c>
      <c r="O725" s="1" t="s">
        <v>1239</v>
      </c>
      <c r="P725">
        <v>0</v>
      </c>
      <c r="Q725">
        <v>0</v>
      </c>
      <c r="R725">
        <v>0</v>
      </c>
      <c r="S725">
        <v>0</v>
      </c>
      <c r="T725">
        <v>257.83499610000001</v>
      </c>
      <c r="U725">
        <f t="shared" si="22"/>
        <v>0</v>
      </c>
      <c r="V725">
        <f t="shared" si="23"/>
        <v>0</v>
      </c>
    </row>
    <row r="726" spans="1:22" x14ac:dyDescent="0.2">
      <c r="A726" t="s">
        <v>1142</v>
      </c>
      <c r="B726" t="s">
        <v>20</v>
      </c>
      <c r="C726" t="s">
        <v>76</v>
      </c>
      <c r="D726" t="s">
        <v>77</v>
      </c>
      <c r="E726" s="1" t="s">
        <v>82</v>
      </c>
      <c r="F726" t="s">
        <v>83</v>
      </c>
      <c r="G726" s="1" t="s">
        <v>89</v>
      </c>
      <c r="H726">
        <v>395018</v>
      </c>
      <c r="I726">
        <v>115953</v>
      </c>
      <c r="J726">
        <v>9</v>
      </c>
      <c r="K726">
        <v>49</v>
      </c>
      <c r="L726">
        <v>-279065</v>
      </c>
      <c r="M726" s="1" t="s">
        <v>1240</v>
      </c>
      <c r="N726" s="1" t="s">
        <v>1241</v>
      </c>
      <c r="O726" s="1" t="s">
        <v>1242</v>
      </c>
      <c r="P726">
        <v>0</v>
      </c>
      <c r="Q726">
        <v>0</v>
      </c>
      <c r="R726">
        <v>1</v>
      </c>
      <c r="S726">
        <v>0</v>
      </c>
      <c r="T726">
        <v>257.83499610000001</v>
      </c>
      <c r="U726">
        <f t="shared" si="22"/>
        <v>0</v>
      </c>
      <c r="V726">
        <f t="shared" si="23"/>
        <v>1</v>
      </c>
    </row>
    <row r="727" spans="1:22" x14ac:dyDescent="0.2">
      <c r="A727" t="s">
        <v>1142</v>
      </c>
      <c r="B727" t="s">
        <v>20</v>
      </c>
      <c r="C727" t="s">
        <v>76</v>
      </c>
      <c r="D727" t="s">
        <v>77</v>
      </c>
      <c r="E727">
        <v>10</v>
      </c>
      <c r="F727" t="s">
        <v>119</v>
      </c>
      <c r="G727">
        <v>47</v>
      </c>
      <c r="H727">
        <v>275246</v>
      </c>
      <c r="I727">
        <v>0</v>
      </c>
      <c r="J727">
        <v>60</v>
      </c>
      <c r="K727">
        <v>37</v>
      </c>
      <c r="L727">
        <v>-275246</v>
      </c>
      <c r="M727">
        <v>1</v>
      </c>
      <c r="N727">
        <v>0</v>
      </c>
      <c r="O727" s="1" t="s">
        <v>1243</v>
      </c>
      <c r="P727">
        <v>0</v>
      </c>
      <c r="Q727">
        <v>0</v>
      </c>
      <c r="R727">
        <v>0</v>
      </c>
      <c r="S727">
        <v>0</v>
      </c>
      <c r="T727">
        <v>257.83499610000001</v>
      </c>
      <c r="U727">
        <f t="shared" si="22"/>
        <v>0</v>
      </c>
      <c r="V727">
        <f t="shared" si="23"/>
        <v>0</v>
      </c>
    </row>
    <row r="728" spans="1:22" x14ac:dyDescent="0.2">
      <c r="A728" t="s">
        <v>1142</v>
      </c>
      <c r="B728" t="s">
        <v>20</v>
      </c>
      <c r="C728" t="s">
        <v>76</v>
      </c>
      <c r="D728" t="s">
        <v>77</v>
      </c>
      <c r="E728">
        <v>11</v>
      </c>
      <c r="F728" t="s">
        <v>127</v>
      </c>
      <c r="G728">
        <v>56</v>
      </c>
      <c r="H728">
        <v>1860013</v>
      </c>
      <c r="I728">
        <v>21780</v>
      </c>
      <c r="J728">
        <v>35</v>
      </c>
      <c r="K728">
        <v>63</v>
      </c>
      <c r="L728">
        <v>-1838233</v>
      </c>
      <c r="M728" s="1" t="s">
        <v>1244</v>
      </c>
      <c r="N728" s="1" t="s">
        <v>1245</v>
      </c>
      <c r="O728" s="1" t="s">
        <v>1246</v>
      </c>
      <c r="P728">
        <v>0</v>
      </c>
      <c r="Q728">
        <v>0</v>
      </c>
      <c r="R728">
        <v>0</v>
      </c>
      <c r="S728">
        <v>0</v>
      </c>
      <c r="T728">
        <v>257.83499610000001</v>
      </c>
      <c r="U728">
        <f t="shared" si="22"/>
        <v>0</v>
      </c>
      <c r="V728">
        <f t="shared" si="23"/>
        <v>0</v>
      </c>
    </row>
    <row r="729" spans="1:22" x14ac:dyDescent="0.2">
      <c r="A729" t="s">
        <v>1142</v>
      </c>
      <c r="B729" t="s">
        <v>20</v>
      </c>
      <c r="C729" t="s">
        <v>76</v>
      </c>
      <c r="D729" t="s">
        <v>77</v>
      </c>
      <c r="E729" s="1" t="s">
        <v>85</v>
      </c>
      <c r="F729" t="s">
        <v>86</v>
      </c>
      <c r="G729">
        <v>26</v>
      </c>
      <c r="H729">
        <v>42333</v>
      </c>
      <c r="I729">
        <v>4949301</v>
      </c>
      <c r="J729">
        <v>50</v>
      </c>
      <c r="K729">
        <v>19</v>
      </c>
      <c r="L729">
        <v>4906968</v>
      </c>
      <c r="M729">
        <v>8.4807900579249203E-3</v>
      </c>
      <c r="N729" s="1" t="s">
        <v>1247</v>
      </c>
      <c r="O729" s="1" t="s">
        <v>1248</v>
      </c>
      <c r="P729">
        <v>0</v>
      </c>
      <c r="Q729">
        <v>0</v>
      </c>
      <c r="R729">
        <v>0</v>
      </c>
      <c r="S729">
        <v>0</v>
      </c>
      <c r="T729">
        <v>257.83499610000001</v>
      </c>
      <c r="U729">
        <f t="shared" si="22"/>
        <v>0</v>
      </c>
      <c r="V729">
        <f t="shared" si="23"/>
        <v>0</v>
      </c>
    </row>
    <row r="730" spans="1:22" x14ac:dyDescent="0.2">
      <c r="A730" t="s">
        <v>1142</v>
      </c>
      <c r="B730" t="s">
        <v>20</v>
      </c>
      <c r="C730" t="s">
        <v>76</v>
      </c>
      <c r="D730" t="s">
        <v>77</v>
      </c>
      <c r="E730">
        <v>14</v>
      </c>
      <c r="F730" t="s">
        <v>261</v>
      </c>
      <c r="G730">
        <v>71</v>
      </c>
      <c r="H730">
        <v>908177</v>
      </c>
      <c r="I730">
        <v>2285516</v>
      </c>
      <c r="J730">
        <v>46</v>
      </c>
      <c r="K730">
        <v>31</v>
      </c>
      <c r="L730">
        <v>1377339</v>
      </c>
      <c r="M730" s="1" t="s">
        <v>1249</v>
      </c>
      <c r="N730" s="1" t="s">
        <v>1250</v>
      </c>
      <c r="O730" s="1" t="s">
        <v>1251</v>
      </c>
      <c r="P730">
        <v>0</v>
      </c>
      <c r="Q730">
        <v>0</v>
      </c>
      <c r="R730">
        <v>0</v>
      </c>
      <c r="S730">
        <v>0</v>
      </c>
      <c r="T730">
        <v>257.83499610000001</v>
      </c>
      <c r="U730">
        <f t="shared" si="22"/>
        <v>0</v>
      </c>
      <c r="V730">
        <f t="shared" si="23"/>
        <v>0</v>
      </c>
    </row>
    <row r="731" spans="1:22" x14ac:dyDescent="0.2">
      <c r="A731" t="s">
        <v>1142</v>
      </c>
      <c r="B731" t="s">
        <v>20</v>
      </c>
      <c r="C731" t="s">
        <v>76</v>
      </c>
      <c r="D731" t="s">
        <v>77</v>
      </c>
      <c r="E731" s="1" t="s">
        <v>93</v>
      </c>
      <c r="F731" t="s">
        <v>94</v>
      </c>
      <c r="G731">
        <v>45</v>
      </c>
      <c r="H731">
        <v>97750</v>
      </c>
      <c r="I731">
        <v>3251</v>
      </c>
      <c r="J731">
        <v>8</v>
      </c>
      <c r="K731">
        <v>35</v>
      </c>
      <c r="L731">
        <v>-94499</v>
      </c>
      <c r="M731" s="1" t="s">
        <v>1252</v>
      </c>
      <c r="N731">
        <v>3.2187800120790797E-2</v>
      </c>
      <c r="O731" s="1" t="s">
        <v>1253</v>
      </c>
      <c r="P731">
        <v>0</v>
      </c>
      <c r="Q731">
        <v>0</v>
      </c>
      <c r="R731">
        <v>1</v>
      </c>
      <c r="S731">
        <v>0</v>
      </c>
      <c r="T731">
        <v>257.83499610000001</v>
      </c>
      <c r="U731">
        <f t="shared" si="22"/>
        <v>0</v>
      </c>
      <c r="V731">
        <f t="shared" si="23"/>
        <v>1</v>
      </c>
    </row>
    <row r="732" spans="1:22" x14ac:dyDescent="0.2">
      <c r="A732" t="s">
        <v>1142</v>
      </c>
      <c r="B732" t="s">
        <v>20</v>
      </c>
      <c r="C732" t="s">
        <v>76</v>
      </c>
      <c r="D732" t="s">
        <v>77</v>
      </c>
      <c r="E732">
        <v>12</v>
      </c>
      <c r="F732" t="s">
        <v>194</v>
      </c>
      <c r="G732">
        <v>65</v>
      </c>
      <c r="H732">
        <v>496743</v>
      </c>
      <c r="I732">
        <v>3905</v>
      </c>
      <c r="J732">
        <v>8</v>
      </c>
      <c r="K732">
        <v>62</v>
      </c>
      <c r="L732">
        <v>-492838</v>
      </c>
      <c r="M732" s="1" t="s">
        <v>1254</v>
      </c>
      <c r="N732">
        <v>7.7998913408222903E-3</v>
      </c>
      <c r="O732" s="1" t="s">
        <v>1255</v>
      </c>
      <c r="P732">
        <v>0</v>
      </c>
      <c r="Q732">
        <v>0</v>
      </c>
      <c r="R732">
        <v>1</v>
      </c>
      <c r="S732">
        <v>0</v>
      </c>
      <c r="T732">
        <v>257.83499610000001</v>
      </c>
      <c r="U732">
        <f t="shared" si="22"/>
        <v>0</v>
      </c>
      <c r="V732">
        <f t="shared" si="23"/>
        <v>1</v>
      </c>
    </row>
    <row r="733" spans="1:22" x14ac:dyDescent="0.2">
      <c r="A733" t="s">
        <v>1142</v>
      </c>
      <c r="B733" t="s">
        <v>20</v>
      </c>
      <c r="C733" t="s">
        <v>76</v>
      </c>
      <c r="D733" t="s">
        <v>77</v>
      </c>
      <c r="E733">
        <v>17</v>
      </c>
      <c r="F733" t="s">
        <v>97</v>
      </c>
      <c r="G733">
        <v>89</v>
      </c>
      <c r="H733">
        <v>477170</v>
      </c>
      <c r="I733">
        <v>267402</v>
      </c>
      <c r="J733">
        <v>39</v>
      </c>
      <c r="K733">
        <v>43</v>
      </c>
      <c r="L733">
        <v>-209768</v>
      </c>
      <c r="M733" s="1" t="s">
        <v>1256</v>
      </c>
      <c r="N733" s="1" t="s">
        <v>1257</v>
      </c>
      <c r="O733" s="1" t="s">
        <v>1258</v>
      </c>
      <c r="P733">
        <v>0</v>
      </c>
      <c r="Q733">
        <v>0</v>
      </c>
      <c r="R733">
        <v>0</v>
      </c>
      <c r="S733">
        <v>0</v>
      </c>
      <c r="T733">
        <v>257.83499610000001</v>
      </c>
      <c r="U733">
        <f t="shared" si="22"/>
        <v>0</v>
      </c>
      <c r="V733">
        <f t="shared" si="23"/>
        <v>0</v>
      </c>
    </row>
    <row r="734" spans="1:22" x14ac:dyDescent="0.2">
      <c r="A734" t="s">
        <v>1142</v>
      </c>
      <c r="B734" t="s">
        <v>20</v>
      </c>
      <c r="C734" t="s">
        <v>76</v>
      </c>
      <c r="D734" t="s">
        <v>77</v>
      </c>
      <c r="E734">
        <v>11</v>
      </c>
      <c r="F734" t="s">
        <v>127</v>
      </c>
      <c r="G734">
        <v>52</v>
      </c>
      <c r="H734">
        <v>102278</v>
      </c>
      <c r="I734">
        <v>0</v>
      </c>
      <c r="J734">
        <v>31</v>
      </c>
      <c r="K734">
        <v>67</v>
      </c>
      <c r="L734">
        <v>-102278</v>
      </c>
      <c r="M734">
        <v>1</v>
      </c>
      <c r="N734">
        <v>0</v>
      </c>
      <c r="O734" s="1" t="s">
        <v>1259</v>
      </c>
      <c r="P734">
        <v>0</v>
      </c>
      <c r="Q734">
        <v>0</v>
      </c>
      <c r="R734">
        <v>0</v>
      </c>
      <c r="S734">
        <v>0</v>
      </c>
      <c r="T734">
        <v>257.83499610000001</v>
      </c>
      <c r="U734">
        <f t="shared" si="22"/>
        <v>0</v>
      </c>
      <c r="V734">
        <f t="shared" si="23"/>
        <v>0</v>
      </c>
    </row>
    <row r="735" spans="1:22" x14ac:dyDescent="0.2">
      <c r="A735" t="s">
        <v>1142</v>
      </c>
      <c r="B735" t="s">
        <v>20</v>
      </c>
      <c r="C735" t="s">
        <v>76</v>
      </c>
      <c r="D735" t="s">
        <v>77</v>
      </c>
      <c r="E735" s="1" t="s">
        <v>82</v>
      </c>
      <c r="F735" t="s">
        <v>83</v>
      </c>
      <c r="G735" s="1" t="s">
        <v>163</v>
      </c>
      <c r="H735">
        <v>649791</v>
      </c>
      <c r="I735">
        <v>149357646</v>
      </c>
      <c r="J735">
        <v>28</v>
      </c>
      <c r="K735">
        <v>23</v>
      </c>
      <c r="L735">
        <v>148707855</v>
      </c>
      <c r="M735">
        <v>4.3317252330629403E-3</v>
      </c>
      <c r="N735" s="1" t="s">
        <v>1260</v>
      </c>
      <c r="O735" s="1" t="s">
        <v>1261</v>
      </c>
      <c r="P735">
        <v>0</v>
      </c>
      <c r="Q735">
        <v>0</v>
      </c>
      <c r="R735">
        <v>0</v>
      </c>
      <c r="S735">
        <v>0</v>
      </c>
      <c r="T735">
        <v>257.83499610000001</v>
      </c>
      <c r="U735">
        <f t="shared" si="22"/>
        <v>0</v>
      </c>
      <c r="V735">
        <f t="shared" si="23"/>
        <v>0</v>
      </c>
    </row>
    <row r="736" spans="1:22" x14ac:dyDescent="0.2">
      <c r="A736" t="s">
        <v>1142</v>
      </c>
      <c r="B736" t="s">
        <v>20</v>
      </c>
      <c r="C736" t="s">
        <v>76</v>
      </c>
      <c r="D736" t="s">
        <v>77</v>
      </c>
      <c r="E736">
        <v>18</v>
      </c>
      <c r="F736" t="s">
        <v>147</v>
      </c>
      <c r="G736">
        <v>91</v>
      </c>
      <c r="H736">
        <v>185897</v>
      </c>
      <c r="I736">
        <v>4074</v>
      </c>
      <c r="J736">
        <v>26</v>
      </c>
      <c r="K736">
        <v>53</v>
      </c>
      <c r="L736">
        <v>-181823</v>
      </c>
      <c r="M736" s="1" t="s">
        <v>1262</v>
      </c>
      <c r="N736" s="1" t="s">
        <v>1263</v>
      </c>
      <c r="O736" s="1" t="s">
        <v>1264</v>
      </c>
      <c r="P736">
        <v>0</v>
      </c>
      <c r="Q736">
        <v>0</v>
      </c>
      <c r="R736">
        <v>0</v>
      </c>
      <c r="S736">
        <v>0</v>
      </c>
      <c r="T736">
        <v>257.83499610000001</v>
      </c>
      <c r="U736">
        <f t="shared" si="22"/>
        <v>0</v>
      </c>
      <c r="V736">
        <f t="shared" si="23"/>
        <v>0</v>
      </c>
    </row>
    <row r="737" spans="1:22" x14ac:dyDescent="0.2">
      <c r="A737" t="s">
        <v>1142</v>
      </c>
      <c r="B737" t="s">
        <v>20</v>
      </c>
      <c r="C737" t="s">
        <v>76</v>
      </c>
      <c r="D737" t="s">
        <v>77</v>
      </c>
      <c r="E737">
        <v>15</v>
      </c>
      <c r="F737" t="s">
        <v>88</v>
      </c>
      <c r="G737">
        <v>79</v>
      </c>
      <c r="H737">
        <v>85728</v>
      </c>
      <c r="I737">
        <v>0</v>
      </c>
      <c r="J737">
        <v>46</v>
      </c>
      <c r="K737">
        <v>54</v>
      </c>
      <c r="L737">
        <v>-85728</v>
      </c>
      <c r="M737">
        <v>1</v>
      </c>
      <c r="N737">
        <v>0</v>
      </c>
      <c r="O737" s="1" t="s">
        <v>1265</v>
      </c>
      <c r="P737">
        <v>0</v>
      </c>
      <c r="Q737">
        <v>0</v>
      </c>
      <c r="R737">
        <v>0</v>
      </c>
      <c r="S737">
        <v>0</v>
      </c>
      <c r="T737">
        <v>257.83499610000001</v>
      </c>
      <c r="U737">
        <f t="shared" si="22"/>
        <v>0</v>
      </c>
      <c r="V737">
        <f t="shared" si="23"/>
        <v>0</v>
      </c>
    </row>
    <row r="738" spans="1:22" x14ac:dyDescent="0.2">
      <c r="A738" t="s">
        <v>1142</v>
      </c>
      <c r="B738" t="s">
        <v>20</v>
      </c>
      <c r="C738" t="s">
        <v>76</v>
      </c>
      <c r="D738" t="s">
        <v>77</v>
      </c>
      <c r="E738">
        <v>15</v>
      </c>
      <c r="F738" t="s">
        <v>88</v>
      </c>
      <c r="G738">
        <v>81</v>
      </c>
      <c r="H738">
        <v>37658</v>
      </c>
      <c r="I738">
        <v>0</v>
      </c>
      <c r="J738">
        <v>63</v>
      </c>
      <c r="K738">
        <v>59</v>
      </c>
      <c r="L738">
        <v>-37658</v>
      </c>
      <c r="M738">
        <v>1</v>
      </c>
      <c r="N738">
        <v>0</v>
      </c>
      <c r="O738" s="1" t="s">
        <v>1266</v>
      </c>
      <c r="P738">
        <v>0</v>
      </c>
      <c r="Q738">
        <v>0</v>
      </c>
      <c r="R738">
        <v>0</v>
      </c>
      <c r="S738">
        <v>0</v>
      </c>
      <c r="T738">
        <v>257.83499610000001</v>
      </c>
      <c r="U738">
        <f t="shared" si="22"/>
        <v>0</v>
      </c>
      <c r="V738">
        <f t="shared" si="23"/>
        <v>0</v>
      </c>
    </row>
    <row r="739" spans="1:22" x14ac:dyDescent="0.2">
      <c r="A739" t="s">
        <v>1142</v>
      </c>
      <c r="B739" t="s">
        <v>20</v>
      </c>
      <c r="C739" t="s">
        <v>76</v>
      </c>
      <c r="D739" t="s">
        <v>77</v>
      </c>
      <c r="E739">
        <v>11</v>
      </c>
      <c r="F739" t="s">
        <v>127</v>
      </c>
      <c r="G739">
        <v>54</v>
      </c>
      <c r="H739">
        <v>591235</v>
      </c>
      <c r="I739">
        <v>136636</v>
      </c>
      <c r="J739">
        <v>30</v>
      </c>
      <c r="K739">
        <v>56</v>
      </c>
      <c r="L739">
        <v>-454599</v>
      </c>
      <c r="M739" s="1" t="s">
        <v>1267</v>
      </c>
      <c r="N739" s="1" t="s">
        <v>1268</v>
      </c>
      <c r="O739" s="1" t="s">
        <v>1269</v>
      </c>
      <c r="P739">
        <v>0</v>
      </c>
      <c r="Q739">
        <v>0</v>
      </c>
      <c r="R739">
        <v>0</v>
      </c>
      <c r="S739">
        <v>0</v>
      </c>
      <c r="T739">
        <v>257.83499610000001</v>
      </c>
      <c r="U739">
        <f t="shared" si="22"/>
        <v>0</v>
      </c>
      <c r="V739">
        <f t="shared" si="23"/>
        <v>0</v>
      </c>
    </row>
    <row r="740" spans="1:22" x14ac:dyDescent="0.2">
      <c r="A740" t="s">
        <v>1142</v>
      </c>
      <c r="B740" t="s">
        <v>20</v>
      </c>
      <c r="C740" t="s">
        <v>76</v>
      </c>
      <c r="D740" t="s">
        <v>77</v>
      </c>
      <c r="E740">
        <v>21</v>
      </c>
      <c r="F740" t="s">
        <v>212</v>
      </c>
      <c r="G740">
        <v>97</v>
      </c>
      <c r="H740">
        <v>152102</v>
      </c>
      <c r="I740">
        <v>26002</v>
      </c>
      <c r="J740">
        <v>40</v>
      </c>
      <c r="K740">
        <v>49</v>
      </c>
      <c r="L740">
        <v>-126100</v>
      </c>
      <c r="M740" s="1" t="s">
        <v>1270</v>
      </c>
      <c r="N740" s="1" t="s">
        <v>1271</v>
      </c>
      <c r="O740" s="1" t="s">
        <v>1272</v>
      </c>
      <c r="P740">
        <v>0</v>
      </c>
      <c r="Q740">
        <v>0</v>
      </c>
      <c r="R740">
        <v>0</v>
      </c>
      <c r="S740">
        <v>0</v>
      </c>
      <c r="T740">
        <v>257.83499610000001</v>
      </c>
      <c r="U740">
        <f t="shared" si="22"/>
        <v>0</v>
      </c>
      <c r="V740">
        <f t="shared" si="23"/>
        <v>0</v>
      </c>
    </row>
    <row r="741" spans="1:22" x14ac:dyDescent="0.2">
      <c r="A741" t="s">
        <v>1142</v>
      </c>
      <c r="B741" t="s">
        <v>20</v>
      </c>
      <c r="C741" t="s">
        <v>76</v>
      </c>
      <c r="D741" t="s">
        <v>77</v>
      </c>
      <c r="E741">
        <v>12</v>
      </c>
      <c r="F741" t="s">
        <v>194</v>
      </c>
      <c r="G741">
        <v>67</v>
      </c>
      <c r="H741">
        <v>106135</v>
      </c>
      <c r="I741">
        <v>60</v>
      </c>
      <c r="J741">
        <v>10</v>
      </c>
      <c r="K741">
        <v>54</v>
      </c>
      <c r="L741">
        <v>-106075</v>
      </c>
      <c r="M741" s="1" t="s">
        <v>1273</v>
      </c>
      <c r="N741" s="1" t="s">
        <v>1274</v>
      </c>
      <c r="O741" s="1" t="s">
        <v>1275</v>
      </c>
      <c r="P741">
        <v>0</v>
      </c>
      <c r="Q741">
        <v>0</v>
      </c>
      <c r="R741">
        <v>1</v>
      </c>
      <c r="S741">
        <v>0</v>
      </c>
      <c r="T741">
        <v>257.83499610000001</v>
      </c>
      <c r="U741">
        <f t="shared" si="22"/>
        <v>0</v>
      </c>
      <c r="V741">
        <f t="shared" si="23"/>
        <v>1</v>
      </c>
    </row>
    <row r="742" spans="1:22" x14ac:dyDescent="0.2">
      <c r="A742" t="s">
        <v>1142</v>
      </c>
      <c r="B742" t="s">
        <v>20</v>
      </c>
      <c r="C742" t="s">
        <v>76</v>
      </c>
      <c r="D742" t="s">
        <v>77</v>
      </c>
      <c r="E742" s="1" t="s">
        <v>163</v>
      </c>
      <c r="F742" t="s">
        <v>224</v>
      </c>
      <c r="G742">
        <v>41</v>
      </c>
      <c r="H742">
        <v>3627</v>
      </c>
      <c r="I742">
        <v>10645</v>
      </c>
      <c r="J742">
        <v>56</v>
      </c>
      <c r="K742">
        <v>63</v>
      </c>
      <c r="L742">
        <v>7018</v>
      </c>
      <c r="M742" s="1" t="s">
        <v>1276</v>
      </c>
      <c r="N742" s="1" t="s">
        <v>1277</v>
      </c>
      <c r="O742" s="1" t="s">
        <v>1278</v>
      </c>
      <c r="P742">
        <v>0</v>
      </c>
      <c r="Q742">
        <v>0</v>
      </c>
      <c r="R742">
        <v>0</v>
      </c>
      <c r="S742">
        <v>0</v>
      </c>
      <c r="T742">
        <v>257.83499610000001</v>
      </c>
      <c r="U742">
        <f t="shared" si="22"/>
        <v>0</v>
      </c>
      <c r="V742">
        <f t="shared" si="23"/>
        <v>0</v>
      </c>
    </row>
    <row r="743" spans="1:22" x14ac:dyDescent="0.2">
      <c r="A743" t="s">
        <v>1142</v>
      </c>
      <c r="B743" t="s">
        <v>20</v>
      </c>
      <c r="C743" t="s">
        <v>76</v>
      </c>
      <c r="D743" t="s">
        <v>77</v>
      </c>
      <c r="E743" s="1" t="s">
        <v>89</v>
      </c>
      <c r="F743" t="s">
        <v>90</v>
      </c>
      <c r="G743">
        <v>37</v>
      </c>
      <c r="H743">
        <v>25871</v>
      </c>
      <c r="I743">
        <v>0</v>
      </c>
      <c r="J743">
        <v>22</v>
      </c>
      <c r="K743">
        <v>50</v>
      </c>
      <c r="L743">
        <v>-25871</v>
      </c>
      <c r="M743">
        <v>1</v>
      </c>
      <c r="N743">
        <v>0</v>
      </c>
      <c r="O743" s="1" t="s">
        <v>1279</v>
      </c>
      <c r="P743">
        <v>0</v>
      </c>
      <c r="Q743">
        <v>0</v>
      </c>
      <c r="R743">
        <v>0</v>
      </c>
      <c r="S743">
        <v>0</v>
      </c>
      <c r="T743">
        <v>257.83499610000001</v>
      </c>
      <c r="U743">
        <f t="shared" si="22"/>
        <v>0</v>
      </c>
      <c r="V743">
        <f t="shared" si="23"/>
        <v>0</v>
      </c>
    </row>
    <row r="744" spans="1:22" x14ac:dyDescent="0.2">
      <c r="A744" t="s">
        <v>1142</v>
      </c>
      <c r="B744" t="s">
        <v>20</v>
      </c>
      <c r="C744" t="s">
        <v>76</v>
      </c>
      <c r="D744" t="s">
        <v>77</v>
      </c>
      <c r="E744">
        <v>11</v>
      </c>
      <c r="F744" t="s">
        <v>127</v>
      </c>
      <c r="G744">
        <v>57</v>
      </c>
      <c r="H744">
        <v>36147</v>
      </c>
      <c r="I744">
        <v>11145</v>
      </c>
      <c r="J744">
        <v>38</v>
      </c>
      <c r="K744">
        <v>59</v>
      </c>
      <c r="L744">
        <v>-25002</v>
      </c>
      <c r="M744" s="1" t="s">
        <v>1280</v>
      </c>
      <c r="N744" s="1" t="s">
        <v>1281</v>
      </c>
      <c r="O744" s="1" t="s">
        <v>1282</v>
      </c>
      <c r="P744">
        <v>0</v>
      </c>
      <c r="Q744">
        <v>0</v>
      </c>
      <c r="R744">
        <v>0</v>
      </c>
      <c r="S744">
        <v>0</v>
      </c>
      <c r="T744">
        <v>257.83499610000001</v>
      </c>
      <c r="U744">
        <f t="shared" si="22"/>
        <v>0</v>
      </c>
      <c r="V744">
        <f t="shared" si="23"/>
        <v>0</v>
      </c>
    </row>
    <row r="745" spans="1:22" x14ac:dyDescent="0.2">
      <c r="A745" t="s">
        <v>1142</v>
      </c>
      <c r="B745" t="s">
        <v>20</v>
      </c>
      <c r="C745" t="s">
        <v>76</v>
      </c>
      <c r="D745" t="s">
        <v>77</v>
      </c>
      <c r="E745">
        <v>11</v>
      </c>
      <c r="F745" t="s">
        <v>127</v>
      </c>
      <c r="G745">
        <v>53</v>
      </c>
      <c r="H745">
        <v>16124</v>
      </c>
      <c r="I745">
        <v>0</v>
      </c>
      <c r="J745">
        <v>55</v>
      </c>
      <c r="K745">
        <v>49</v>
      </c>
      <c r="L745">
        <v>-16124</v>
      </c>
      <c r="M745">
        <v>1</v>
      </c>
      <c r="N745">
        <v>0</v>
      </c>
      <c r="O745" s="1" t="s">
        <v>1283</v>
      </c>
      <c r="P745">
        <v>0</v>
      </c>
      <c r="Q745">
        <v>0</v>
      </c>
      <c r="R745">
        <v>0</v>
      </c>
      <c r="S745">
        <v>0</v>
      </c>
      <c r="T745">
        <v>257.83499610000001</v>
      </c>
      <c r="U745">
        <f t="shared" si="22"/>
        <v>0</v>
      </c>
      <c r="V745">
        <f t="shared" si="23"/>
        <v>0</v>
      </c>
    </row>
    <row r="746" spans="1:22" x14ac:dyDescent="0.2">
      <c r="A746" t="s">
        <v>1142</v>
      </c>
      <c r="B746" t="s">
        <v>20</v>
      </c>
      <c r="C746" t="s">
        <v>76</v>
      </c>
      <c r="D746" t="s">
        <v>77</v>
      </c>
      <c r="E746">
        <v>11</v>
      </c>
      <c r="F746" t="s">
        <v>127</v>
      </c>
      <c r="G746">
        <v>55</v>
      </c>
      <c r="H746">
        <v>30552</v>
      </c>
      <c r="I746">
        <v>10</v>
      </c>
      <c r="J746">
        <v>36</v>
      </c>
      <c r="K746">
        <v>62</v>
      </c>
      <c r="L746">
        <v>-30542</v>
      </c>
      <c r="M746" s="1" t="s">
        <v>1284</v>
      </c>
      <c r="N746" s="1" t="s">
        <v>1285</v>
      </c>
      <c r="O746" s="1" t="s">
        <v>1286</v>
      </c>
      <c r="P746">
        <v>0</v>
      </c>
      <c r="Q746">
        <v>0</v>
      </c>
      <c r="R746">
        <v>0</v>
      </c>
      <c r="S746">
        <v>0</v>
      </c>
      <c r="T746">
        <v>257.83499610000001</v>
      </c>
      <c r="U746">
        <f t="shared" si="22"/>
        <v>0</v>
      </c>
      <c r="V746">
        <f t="shared" si="23"/>
        <v>0</v>
      </c>
    </row>
    <row r="747" spans="1:22" x14ac:dyDescent="0.2">
      <c r="A747" t="s">
        <v>1142</v>
      </c>
      <c r="B747" t="s">
        <v>20</v>
      </c>
      <c r="C747" t="s">
        <v>76</v>
      </c>
      <c r="D747" t="s">
        <v>77</v>
      </c>
      <c r="E747">
        <v>15</v>
      </c>
      <c r="F747" t="s">
        <v>88</v>
      </c>
      <c r="G747">
        <v>78</v>
      </c>
      <c r="H747">
        <v>14877</v>
      </c>
      <c r="I747">
        <v>1596</v>
      </c>
      <c r="J747">
        <v>59</v>
      </c>
      <c r="K747">
        <v>36</v>
      </c>
      <c r="L747">
        <v>-13281</v>
      </c>
      <c r="M747">
        <v>0.90311418685121103</v>
      </c>
      <c r="N747">
        <v>9.6885813148788899E-2</v>
      </c>
      <c r="O747" s="1" t="s">
        <v>1287</v>
      </c>
      <c r="P747">
        <v>0</v>
      </c>
      <c r="Q747">
        <v>0</v>
      </c>
      <c r="R747">
        <v>0</v>
      </c>
      <c r="S747">
        <v>0</v>
      </c>
      <c r="T747">
        <v>257.83499610000001</v>
      </c>
      <c r="U747">
        <f t="shared" si="22"/>
        <v>0</v>
      </c>
      <c r="V747">
        <f t="shared" si="23"/>
        <v>0</v>
      </c>
    </row>
    <row r="748" spans="1:22" x14ac:dyDescent="0.2">
      <c r="A748" t="s">
        <v>1142</v>
      </c>
      <c r="B748" t="s">
        <v>20</v>
      </c>
      <c r="C748" t="s">
        <v>76</v>
      </c>
      <c r="D748" t="s">
        <v>77</v>
      </c>
      <c r="E748">
        <v>15</v>
      </c>
      <c r="F748" t="s">
        <v>88</v>
      </c>
      <c r="G748">
        <v>80</v>
      </c>
      <c r="H748">
        <v>1615</v>
      </c>
      <c r="I748">
        <v>0</v>
      </c>
      <c r="J748">
        <v>44</v>
      </c>
      <c r="K748">
        <v>42</v>
      </c>
      <c r="L748">
        <v>-1615</v>
      </c>
      <c r="M748">
        <v>1</v>
      </c>
      <c r="N748">
        <v>0</v>
      </c>
      <c r="O748" s="1" t="s">
        <v>1288</v>
      </c>
      <c r="P748">
        <v>0</v>
      </c>
      <c r="Q748">
        <v>0</v>
      </c>
      <c r="R748">
        <v>0</v>
      </c>
      <c r="S748">
        <v>0</v>
      </c>
      <c r="T748">
        <v>257.83499610000001</v>
      </c>
      <c r="U748">
        <f t="shared" si="22"/>
        <v>0</v>
      </c>
      <c r="V748">
        <f t="shared" si="23"/>
        <v>0</v>
      </c>
    </row>
    <row r="749" spans="1:22" x14ac:dyDescent="0.2">
      <c r="A749" t="s">
        <v>1142</v>
      </c>
      <c r="B749" t="s">
        <v>20</v>
      </c>
      <c r="C749" t="s">
        <v>76</v>
      </c>
      <c r="D749" t="s">
        <v>77</v>
      </c>
      <c r="E749" s="1" t="s">
        <v>82</v>
      </c>
      <c r="F749" t="s">
        <v>83</v>
      </c>
      <c r="G749">
        <v>14</v>
      </c>
      <c r="H749">
        <v>5861</v>
      </c>
      <c r="I749">
        <v>8189</v>
      </c>
      <c r="J749">
        <v>32</v>
      </c>
      <c r="K749">
        <v>34</v>
      </c>
      <c r="L749">
        <v>2328</v>
      </c>
      <c r="M749">
        <v>0.41715302491103201</v>
      </c>
      <c r="N749">
        <v>0.58284697508896799</v>
      </c>
      <c r="O749" s="1" t="s">
        <v>1289</v>
      </c>
      <c r="P749">
        <v>0</v>
      </c>
      <c r="Q749">
        <v>0</v>
      </c>
      <c r="R749">
        <v>0</v>
      </c>
      <c r="S749">
        <v>0</v>
      </c>
      <c r="T749">
        <v>257.83499610000001</v>
      </c>
      <c r="U749">
        <f t="shared" si="22"/>
        <v>0</v>
      </c>
      <c r="V749">
        <f t="shared" si="23"/>
        <v>0</v>
      </c>
    </row>
    <row r="750" spans="1:22" x14ac:dyDescent="0.2">
      <c r="A750" t="s">
        <v>1142</v>
      </c>
      <c r="B750" t="s">
        <v>20</v>
      </c>
      <c r="C750" t="s">
        <v>76</v>
      </c>
      <c r="D750" t="s">
        <v>77</v>
      </c>
      <c r="E750">
        <v>11</v>
      </c>
      <c r="F750" t="s">
        <v>127</v>
      </c>
      <c r="G750">
        <v>58</v>
      </c>
      <c r="H750">
        <v>32766</v>
      </c>
      <c r="I750">
        <v>173</v>
      </c>
      <c r="J750">
        <v>20</v>
      </c>
      <c r="K750">
        <v>64</v>
      </c>
      <c r="L750">
        <v>-32593</v>
      </c>
      <c r="M750" s="1" t="s">
        <v>1290</v>
      </c>
      <c r="N750">
        <v>5.25213273019824E-3</v>
      </c>
      <c r="O750" s="1" t="s">
        <v>1291</v>
      </c>
      <c r="P750">
        <v>0</v>
      </c>
      <c r="Q750">
        <v>0</v>
      </c>
      <c r="R750">
        <v>0</v>
      </c>
      <c r="S750">
        <v>0</v>
      </c>
      <c r="T750">
        <v>257.83499610000001</v>
      </c>
      <c r="U750">
        <f t="shared" si="22"/>
        <v>0</v>
      </c>
      <c r="V750">
        <f t="shared" si="23"/>
        <v>0</v>
      </c>
    </row>
    <row r="751" spans="1:22" x14ac:dyDescent="0.2">
      <c r="A751" t="s">
        <v>1142</v>
      </c>
      <c r="B751" t="s">
        <v>20</v>
      </c>
      <c r="C751" t="s">
        <v>76</v>
      </c>
      <c r="D751" t="s">
        <v>77</v>
      </c>
      <c r="E751" s="1" t="s">
        <v>155</v>
      </c>
      <c r="F751" t="s">
        <v>156</v>
      </c>
      <c r="G751" s="1" t="s">
        <v>85</v>
      </c>
      <c r="H751">
        <v>16219</v>
      </c>
      <c r="I751">
        <v>52325</v>
      </c>
      <c r="J751">
        <v>59</v>
      </c>
      <c r="K751">
        <v>45</v>
      </c>
      <c r="L751">
        <v>36106</v>
      </c>
      <c r="M751" s="1" t="s">
        <v>1292</v>
      </c>
      <c r="N751" s="1" t="s">
        <v>1293</v>
      </c>
      <c r="O751" s="1" t="s">
        <v>1294</v>
      </c>
      <c r="P751">
        <v>0</v>
      </c>
      <c r="Q751">
        <v>0</v>
      </c>
      <c r="R751">
        <v>0</v>
      </c>
      <c r="S751">
        <v>0</v>
      </c>
      <c r="T751">
        <v>257.83499610000001</v>
      </c>
      <c r="U751">
        <f t="shared" si="22"/>
        <v>0</v>
      </c>
      <c r="V751">
        <f t="shared" si="23"/>
        <v>0</v>
      </c>
    </row>
    <row r="752" spans="1:22" x14ac:dyDescent="0.2">
      <c r="A752" t="s">
        <v>1142</v>
      </c>
      <c r="B752" t="s">
        <v>20</v>
      </c>
      <c r="C752" t="s">
        <v>76</v>
      </c>
      <c r="D752" t="s">
        <v>77</v>
      </c>
      <c r="E752" s="1" t="s">
        <v>163</v>
      </c>
      <c r="F752" t="s">
        <v>224</v>
      </c>
      <c r="G752">
        <v>43</v>
      </c>
      <c r="H752">
        <v>7011</v>
      </c>
      <c r="I752">
        <v>30</v>
      </c>
      <c r="J752">
        <v>45</v>
      </c>
      <c r="K752">
        <v>56</v>
      </c>
      <c r="L752">
        <v>-6981</v>
      </c>
      <c r="M752" s="1" t="s">
        <v>1295</v>
      </c>
      <c r="N752">
        <v>4.2607584149978598E-3</v>
      </c>
      <c r="O752" s="1" t="s">
        <v>1296</v>
      </c>
      <c r="P752">
        <v>0</v>
      </c>
      <c r="Q752">
        <v>0</v>
      </c>
      <c r="R752">
        <v>0</v>
      </c>
      <c r="S752">
        <v>0</v>
      </c>
      <c r="T752">
        <v>257.83499610000001</v>
      </c>
      <c r="U752">
        <f t="shared" si="22"/>
        <v>0</v>
      </c>
      <c r="V752">
        <f t="shared" si="23"/>
        <v>0</v>
      </c>
    </row>
    <row r="753" spans="1:22" x14ac:dyDescent="0.2">
      <c r="A753" t="s">
        <v>1142</v>
      </c>
      <c r="B753" t="s">
        <v>20</v>
      </c>
      <c r="C753" t="s">
        <v>76</v>
      </c>
      <c r="D753" t="s">
        <v>77</v>
      </c>
      <c r="E753">
        <v>18</v>
      </c>
      <c r="F753" t="s">
        <v>147</v>
      </c>
      <c r="G753">
        <v>92</v>
      </c>
      <c r="H753">
        <v>24965</v>
      </c>
      <c r="I753">
        <v>2473</v>
      </c>
      <c r="J753">
        <v>39</v>
      </c>
      <c r="K753">
        <v>54</v>
      </c>
      <c r="L753">
        <v>-22492</v>
      </c>
      <c r="M753" s="1" t="s">
        <v>1297</v>
      </c>
      <c r="N753">
        <v>9.0130475982214395E-2</v>
      </c>
      <c r="O753" s="1" t="s">
        <v>1298</v>
      </c>
      <c r="P753">
        <v>0</v>
      </c>
      <c r="Q753">
        <v>0</v>
      </c>
      <c r="R753">
        <v>0</v>
      </c>
      <c r="S753">
        <v>0</v>
      </c>
      <c r="T753">
        <v>257.83499610000001</v>
      </c>
      <c r="U753">
        <f t="shared" si="22"/>
        <v>0</v>
      </c>
      <c r="V753">
        <f t="shared" si="23"/>
        <v>0</v>
      </c>
    </row>
    <row r="754" spans="1:22" x14ac:dyDescent="0.2">
      <c r="A754" t="s">
        <v>1142</v>
      </c>
      <c r="B754" t="s">
        <v>20</v>
      </c>
      <c r="C754" t="s">
        <v>76</v>
      </c>
      <c r="D754" t="s">
        <v>77</v>
      </c>
      <c r="E754">
        <v>12</v>
      </c>
      <c r="F754" t="s">
        <v>194</v>
      </c>
      <c r="G754">
        <v>66</v>
      </c>
      <c r="H754">
        <v>47109</v>
      </c>
      <c r="I754">
        <v>1329</v>
      </c>
      <c r="J754">
        <v>5</v>
      </c>
      <c r="K754">
        <v>47</v>
      </c>
      <c r="L754">
        <v>-45780</v>
      </c>
      <c r="M754" s="1" t="s">
        <v>1299</v>
      </c>
      <c r="N754" s="1" t="s">
        <v>1300</v>
      </c>
      <c r="O754" s="1" t="s">
        <v>1301</v>
      </c>
      <c r="P754">
        <v>1</v>
      </c>
      <c r="Q754">
        <v>0</v>
      </c>
      <c r="R754">
        <v>1</v>
      </c>
      <c r="S754">
        <v>0</v>
      </c>
      <c r="T754">
        <v>257.83499610000001</v>
      </c>
      <c r="U754">
        <f t="shared" si="22"/>
        <v>1</v>
      </c>
      <c r="V754">
        <f t="shared" si="23"/>
        <v>1</v>
      </c>
    </row>
    <row r="755" spans="1:22" x14ac:dyDescent="0.2">
      <c r="A755" t="s">
        <v>1142</v>
      </c>
      <c r="B755" t="s">
        <v>20</v>
      </c>
      <c r="C755" t="s">
        <v>76</v>
      </c>
      <c r="D755" t="s">
        <v>77</v>
      </c>
      <c r="E755" s="1" t="s">
        <v>93</v>
      </c>
      <c r="F755" t="s">
        <v>94</v>
      </c>
      <c r="G755">
        <v>46</v>
      </c>
      <c r="H755">
        <v>15655</v>
      </c>
      <c r="I755">
        <v>290</v>
      </c>
      <c r="J755">
        <v>9</v>
      </c>
      <c r="K755">
        <v>51</v>
      </c>
      <c r="L755">
        <v>-15365</v>
      </c>
      <c r="M755" s="1" t="s">
        <v>1302</v>
      </c>
      <c r="N755" s="1" t="s">
        <v>1303</v>
      </c>
      <c r="O755" s="1" t="s">
        <v>1304</v>
      </c>
      <c r="P755">
        <v>0</v>
      </c>
      <c r="Q755">
        <v>0</v>
      </c>
      <c r="R755">
        <v>1</v>
      </c>
      <c r="S755">
        <v>0</v>
      </c>
      <c r="T755">
        <v>257.83499610000001</v>
      </c>
      <c r="U755">
        <f t="shared" si="22"/>
        <v>0</v>
      </c>
      <c r="V755">
        <f t="shared" si="23"/>
        <v>1</v>
      </c>
    </row>
    <row r="756" spans="1:22" x14ac:dyDescent="0.2">
      <c r="A756" t="s">
        <v>1142</v>
      </c>
      <c r="B756" t="s">
        <v>20</v>
      </c>
      <c r="C756" t="s">
        <v>76</v>
      </c>
      <c r="D756" t="s">
        <v>77</v>
      </c>
      <c r="E756">
        <v>15</v>
      </c>
      <c r="F756" t="s">
        <v>88</v>
      </c>
      <c r="G756">
        <v>75</v>
      </c>
      <c r="H756">
        <v>9648</v>
      </c>
      <c r="I756">
        <v>0</v>
      </c>
      <c r="J756">
        <v>67</v>
      </c>
      <c r="K756">
        <v>52</v>
      </c>
      <c r="L756">
        <v>-9648</v>
      </c>
      <c r="M756">
        <v>1</v>
      </c>
      <c r="N756">
        <v>0</v>
      </c>
      <c r="O756" s="1" t="s">
        <v>1305</v>
      </c>
      <c r="P756">
        <v>0</v>
      </c>
      <c r="Q756">
        <v>0</v>
      </c>
      <c r="R756">
        <v>0</v>
      </c>
      <c r="S756">
        <v>0</v>
      </c>
      <c r="T756">
        <v>257.83499610000001</v>
      </c>
      <c r="U756">
        <f t="shared" si="22"/>
        <v>0</v>
      </c>
      <c r="V756">
        <f t="shared" si="23"/>
        <v>0</v>
      </c>
    </row>
    <row r="757" spans="1:22" x14ac:dyDescent="0.2">
      <c r="A757" t="s">
        <v>1142</v>
      </c>
      <c r="B757" t="s">
        <v>20</v>
      </c>
      <c r="C757" t="s">
        <v>76</v>
      </c>
      <c r="D757" t="s">
        <v>77</v>
      </c>
      <c r="E757">
        <v>11</v>
      </c>
      <c r="F757" t="s">
        <v>127</v>
      </c>
      <c r="G757">
        <v>51</v>
      </c>
      <c r="H757">
        <v>25265</v>
      </c>
      <c r="I757">
        <v>608</v>
      </c>
      <c r="J757">
        <v>25</v>
      </c>
      <c r="K757">
        <v>55</v>
      </c>
      <c r="L757">
        <v>-24657</v>
      </c>
      <c r="M757" s="1" t="s">
        <v>1306</v>
      </c>
      <c r="N757" s="1" t="s">
        <v>1307</v>
      </c>
      <c r="O757" s="1" t="s">
        <v>1308</v>
      </c>
      <c r="P757">
        <v>0</v>
      </c>
      <c r="Q757">
        <v>0</v>
      </c>
      <c r="R757">
        <v>0</v>
      </c>
      <c r="S757">
        <v>0</v>
      </c>
      <c r="T757">
        <v>257.83499610000001</v>
      </c>
      <c r="U757">
        <f t="shared" si="22"/>
        <v>0</v>
      </c>
      <c r="V757">
        <f t="shared" si="23"/>
        <v>0</v>
      </c>
    </row>
    <row r="758" spans="1:22" x14ac:dyDescent="0.2">
      <c r="A758" t="s">
        <v>1142</v>
      </c>
      <c r="B758" t="s">
        <v>20</v>
      </c>
      <c r="C758" t="s">
        <v>76</v>
      </c>
      <c r="D758" t="s">
        <v>77</v>
      </c>
      <c r="E758" s="1" t="s">
        <v>82</v>
      </c>
      <c r="F758" t="s">
        <v>83</v>
      </c>
      <c r="G758">
        <v>13</v>
      </c>
      <c r="H758">
        <v>55075</v>
      </c>
      <c r="I758">
        <v>44750</v>
      </c>
      <c r="J758">
        <v>25</v>
      </c>
      <c r="K758">
        <v>49</v>
      </c>
      <c r="L758">
        <v>-10325</v>
      </c>
      <c r="M758" s="1" t="s">
        <v>1309</v>
      </c>
      <c r="N758" s="1" t="s">
        <v>1310</v>
      </c>
      <c r="O758" s="1" t="s">
        <v>1311</v>
      </c>
      <c r="P758">
        <v>0</v>
      </c>
      <c r="Q758">
        <v>0</v>
      </c>
      <c r="R758">
        <v>0</v>
      </c>
      <c r="S758">
        <v>0</v>
      </c>
      <c r="T758">
        <v>257.83499610000001</v>
      </c>
      <c r="U758">
        <f t="shared" si="22"/>
        <v>0</v>
      </c>
      <c r="V758">
        <f t="shared" si="23"/>
        <v>0</v>
      </c>
    </row>
    <row r="759" spans="1:22" x14ac:dyDescent="0.2">
      <c r="A759" t="s">
        <v>1312</v>
      </c>
      <c r="B759" t="s">
        <v>21</v>
      </c>
      <c r="C759" t="s">
        <v>76</v>
      </c>
      <c r="D759" t="s">
        <v>77</v>
      </c>
      <c r="E759" s="1" t="s">
        <v>82</v>
      </c>
      <c r="F759" t="s">
        <v>83</v>
      </c>
      <c r="G759">
        <v>10</v>
      </c>
      <c r="H759">
        <v>217855453</v>
      </c>
      <c r="I759">
        <v>0</v>
      </c>
      <c r="J759">
        <v>33</v>
      </c>
      <c r="K759">
        <v>65</v>
      </c>
      <c r="L759">
        <v>-217855453</v>
      </c>
      <c r="M759">
        <v>1</v>
      </c>
      <c r="N759">
        <v>0</v>
      </c>
      <c r="O759" s="1" t="s">
        <v>1313</v>
      </c>
      <c r="P759">
        <v>0</v>
      </c>
      <c r="Q759">
        <v>0</v>
      </c>
      <c r="R759">
        <v>0</v>
      </c>
      <c r="S759">
        <v>0</v>
      </c>
      <c r="T759">
        <v>12.414189650000001</v>
      </c>
      <c r="U759">
        <f t="shared" si="22"/>
        <v>0</v>
      </c>
      <c r="V759">
        <f t="shared" si="23"/>
        <v>0</v>
      </c>
    </row>
    <row r="760" spans="1:22" x14ac:dyDescent="0.2">
      <c r="A760" t="s">
        <v>1312</v>
      </c>
      <c r="B760" t="s">
        <v>21</v>
      </c>
      <c r="C760" t="s">
        <v>76</v>
      </c>
      <c r="D760" t="s">
        <v>77</v>
      </c>
      <c r="E760" s="1" t="s">
        <v>89</v>
      </c>
      <c r="F760" t="s">
        <v>90</v>
      </c>
      <c r="G760">
        <v>31</v>
      </c>
      <c r="H760">
        <v>148851113</v>
      </c>
      <c r="I760">
        <v>0</v>
      </c>
      <c r="J760">
        <v>48</v>
      </c>
      <c r="K760">
        <v>51</v>
      </c>
      <c r="L760">
        <v>-148851113</v>
      </c>
      <c r="M760">
        <v>1</v>
      </c>
      <c r="N760">
        <v>0</v>
      </c>
      <c r="O760" s="1" t="s">
        <v>1314</v>
      </c>
      <c r="P760">
        <v>0</v>
      </c>
      <c r="Q760">
        <v>0</v>
      </c>
      <c r="R760">
        <v>0</v>
      </c>
      <c r="S760">
        <v>0</v>
      </c>
      <c r="T760">
        <v>12.414189650000001</v>
      </c>
      <c r="U760">
        <f t="shared" si="22"/>
        <v>0</v>
      </c>
      <c r="V760">
        <f t="shared" si="23"/>
        <v>0</v>
      </c>
    </row>
    <row r="761" spans="1:22" x14ac:dyDescent="0.2">
      <c r="A761" t="s">
        <v>1312</v>
      </c>
      <c r="B761" t="s">
        <v>21</v>
      </c>
      <c r="C761" t="s">
        <v>76</v>
      </c>
      <c r="D761" t="s">
        <v>77</v>
      </c>
      <c r="E761">
        <v>10</v>
      </c>
      <c r="F761" t="s">
        <v>119</v>
      </c>
      <c r="G761">
        <v>48</v>
      </c>
      <c r="H761">
        <v>36456259</v>
      </c>
      <c r="I761">
        <v>0</v>
      </c>
      <c r="J761">
        <v>52</v>
      </c>
      <c r="K761">
        <v>97</v>
      </c>
      <c r="L761">
        <v>-36456259</v>
      </c>
      <c r="M761">
        <v>1</v>
      </c>
      <c r="N761">
        <v>0</v>
      </c>
      <c r="O761">
        <v>6.6770674892769E-2</v>
      </c>
      <c r="P761">
        <v>0</v>
      </c>
      <c r="Q761">
        <v>0</v>
      </c>
      <c r="R761">
        <v>0</v>
      </c>
      <c r="S761">
        <v>0</v>
      </c>
      <c r="T761">
        <v>12.414189650000001</v>
      </c>
      <c r="U761">
        <f t="shared" si="22"/>
        <v>0</v>
      </c>
      <c r="V761">
        <f t="shared" si="23"/>
        <v>0</v>
      </c>
    </row>
    <row r="762" spans="1:22" x14ac:dyDescent="0.2">
      <c r="A762" t="s">
        <v>1312</v>
      </c>
      <c r="B762" t="s">
        <v>21</v>
      </c>
      <c r="C762" t="s">
        <v>76</v>
      </c>
      <c r="D762" t="s">
        <v>77</v>
      </c>
      <c r="E762">
        <v>15</v>
      </c>
      <c r="F762" t="s">
        <v>88</v>
      </c>
      <c r="G762">
        <v>72</v>
      </c>
      <c r="H762">
        <v>11864190</v>
      </c>
      <c r="I762">
        <v>0</v>
      </c>
      <c r="J762">
        <v>92</v>
      </c>
      <c r="K762">
        <v>74</v>
      </c>
      <c r="L762">
        <v>-11864190</v>
      </c>
      <c r="M762">
        <v>1</v>
      </c>
      <c r="N762">
        <v>0</v>
      </c>
      <c r="O762">
        <v>2.17296013108761E-2</v>
      </c>
      <c r="P762">
        <v>0</v>
      </c>
      <c r="Q762">
        <v>0</v>
      </c>
      <c r="R762">
        <v>0</v>
      </c>
      <c r="S762">
        <v>0</v>
      </c>
      <c r="T762">
        <v>12.414189650000001</v>
      </c>
      <c r="U762">
        <f t="shared" si="22"/>
        <v>0</v>
      </c>
      <c r="V762">
        <f t="shared" si="23"/>
        <v>0</v>
      </c>
    </row>
    <row r="763" spans="1:22" x14ac:dyDescent="0.2">
      <c r="A763" t="s">
        <v>1312</v>
      </c>
      <c r="B763" t="s">
        <v>21</v>
      </c>
      <c r="C763" t="s">
        <v>76</v>
      </c>
      <c r="D763" t="s">
        <v>77</v>
      </c>
      <c r="E763">
        <v>17</v>
      </c>
      <c r="F763" t="s">
        <v>97</v>
      </c>
      <c r="G763">
        <v>87</v>
      </c>
      <c r="H763">
        <v>3620716</v>
      </c>
      <c r="I763">
        <v>17173</v>
      </c>
      <c r="J763">
        <v>71</v>
      </c>
      <c r="K763">
        <v>82</v>
      </c>
      <c r="L763">
        <v>-3603543</v>
      </c>
      <c r="M763" s="1" t="s">
        <v>1315</v>
      </c>
      <c r="N763">
        <v>4.72059482848432E-3</v>
      </c>
      <c r="O763">
        <v>6.6628971369492602E-3</v>
      </c>
      <c r="P763">
        <v>0</v>
      </c>
      <c r="Q763">
        <v>0</v>
      </c>
      <c r="R763">
        <v>0</v>
      </c>
      <c r="S763">
        <v>0</v>
      </c>
      <c r="T763">
        <v>12.414189650000001</v>
      </c>
      <c r="U763">
        <f t="shared" si="22"/>
        <v>0</v>
      </c>
      <c r="V763">
        <f t="shared" si="23"/>
        <v>0</v>
      </c>
    </row>
    <row r="764" spans="1:22" x14ac:dyDescent="0.2">
      <c r="A764" t="s">
        <v>1312</v>
      </c>
      <c r="B764" t="s">
        <v>21</v>
      </c>
      <c r="C764" t="s">
        <v>76</v>
      </c>
      <c r="D764" t="s">
        <v>77</v>
      </c>
      <c r="E764" s="1" t="s">
        <v>89</v>
      </c>
      <c r="F764" t="s">
        <v>90</v>
      </c>
      <c r="G764">
        <v>29</v>
      </c>
      <c r="H764">
        <v>1670092</v>
      </c>
      <c r="I764">
        <v>0</v>
      </c>
      <c r="J764">
        <v>85</v>
      </c>
      <c r="K764">
        <v>81</v>
      </c>
      <c r="L764">
        <v>-1670092</v>
      </c>
      <c r="M764">
        <v>1</v>
      </c>
      <c r="N764">
        <v>0</v>
      </c>
      <c r="O764">
        <v>3.0588209825098702E-3</v>
      </c>
      <c r="P764">
        <v>0</v>
      </c>
      <c r="Q764">
        <v>0</v>
      </c>
      <c r="R764">
        <v>0</v>
      </c>
      <c r="S764">
        <v>0</v>
      </c>
      <c r="T764">
        <v>12.414189650000001</v>
      </c>
      <c r="U764">
        <f t="shared" si="22"/>
        <v>0</v>
      </c>
      <c r="V764">
        <f t="shared" si="23"/>
        <v>0</v>
      </c>
    </row>
    <row r="765" spans="1:22" x14ac:dyDescent="0.2">
      <c r="A765" t="s">
        <v>1312</v>
      </c>
      <c r="B765" t="s">
        <v>21</v>
      </c>
      <c r="C765" t="s">
        <v>76</v>
      </c>
      <c r="D765" t="s">
        <v>77</v>
      </c>
      <c r="E765" s="1" t="s">
        <v>99</v>
      </c>
      <c r="F765" t="s">
        <v>100</v>
      </c>
      <c r="G765">
        <v>39</v>
      </c>
      <c r="H765">
        <v>1336026</v>
      </c>
      <c r="I765">
        <v>0</v>
      </c>
      <c r="J765">
        <v>82</v>
      </c>
      <c r="K765">
        <v>109</v>
      </c>
      <c r="L765">
        <v>-1336026</v>
      </c>
      <c r="M765">
        <v>1</v>
      </c>
      <c r="N765">
        <v>0</v>
      </c>
      <c r="O765">
        <v>2.4469696052545199E-3</v>
      </c>
      <c r="P765">
        <v>0</v>
      </c>
      <c r="Q765">
        <v>0</v>
      </c>
      <c r="R765">
        <v>0</v>
      </c>
      <c r="S765">
        <v>0</v>
      </c>
      <c r="T765">
        <v>12.414189650000001</v>
      </c>
      <c r="U765">
        <f t="shared" si="22"/>
        <v>0</v>
      </c>
      <c r="V765">
        <f t="shared" si="23"/>
        <v>0</v>
      </c>
    </row>
    <row r="766" spans="1:22" x14ac:dyDescent="0.2">
      <c r="A766" t="s">
        <v>1312</v>
      </c>
      <c r="B766" t="s">
        <v>21</v>
      </c>
      <c r="C766" t="s">
        <v>76</v>
      </c>
      <c r="D766" t="s">
        <v>77</v>
      </c>
      <c r="E766" s="1" t="s">
        <v>155</v>
      </c>
      <c r="F766" t="s">
        <v>156</v>
      </c>
      <c r="G766" s="1" t="s">
        <v>82</v>
      </c>
      <c r="H766">
        <v>1619696</v>
      </c>
      <c r="I766">
        <v>0</v>
      </c>
      <c r="J766">
        <v>22</v>
      </c>
      <c r="K766">
        <v>59</v>
      </c>
      <c r="L766">
        <v>-1619696</v>
      </c>
      <c r="M766">
        <v>1</v>
      </c>
      <c r="N766">
        <v>0</v>
      </c>
      <c r="O766">
        <v>2.9665192756370899E-3</v>
      </c>
      <c r="P766">
        <v>0</v>
      </c>
      <c r="Q766">
        <v>0</v>
      </c>
      <c r="R766">
        <v>0</v>
      </c>
      <c r="S766">
        <v>0</v>
      </c>
      <c r="T766">
        <v>12.414189650000001</v>
      </c>
      <c r="U766">
        <f t="shared" si="22"/>
        <v>0</v>
      </c>
      <c r="V766">
        <f t="shared" si="23"/>
        <v>0</v>
      </c>
    </row>
    <row r="767" spans="1:22" x14ac:dyDescent="0.2">
      <c r="A767" t="s">
        <v>1312</v>
      </c>
      <c r="B767" t="s">
        <v>21</v>
      </c>
      <c r="C767" t="s">
        <v>76</v>
      </c>
      <c r="D767" t="s">
        <v>77</v>
      </c>
      <c r="E767">
        <v>16</v>
      </c>
      <c r="F767" t="s">
        <v>95</v>
      </c>
      <c r="G767">
        <v>84</v>
      </c>
      <c r="H767">
        <v>1416413</v>
      </c>
      <c r="I767">
        <v>42234</v>
      </c>
      <c r="J767">
        <v>98</v>
      </c>
      <c r="K767">
        <v>98</v>
      </c>
      <c r="L767">
        <v>-1374179</v>
      </c>
      <c r="M767" s="1" t="s">
        <v>1316</v>
      </c>
      <c r="N767">
        <v>2.8954229501723099E-2</v>
      </c>
      <c r="O767">
        <v>2.6715534531481298E-3</v>
      </c>
      <c r="P767">
        <v>0</v>
      </c>
      <c r="Q767">
        <v>0</v>
      </c>
      <c r="R767">
        <v>0</v>
      </c>
      <c r="S767">
        <v>0</v>
      </c>
      <c r="T767">
        <v>12.414189650000001</v>
      </c>
      <c r="U767">
        <f t="shared" si="22"/>
        <v>0</v>
      </c>
      <c r="V767">
        <f t="shared" si="23"/>
        <v>0</v>
      </c>
    </row>
    <row r="768" spans="1:22" x14ac:dyDescent="0.2">
      <c r="A768" t="s">
        <v>1312</v>
      </c>
      <c r="B768" t="s">
        <v>21</v>
      </c>
      <c r="C768" t="s">
        <v>76</v>
      </c>
      <c r="D768" t="s">
        <v>77</v>
      </c>
      <c r="E768" s="1" t="s">
        <v>89</v>
      </c>
      <c r="F768" t="s">
        <v>90</v>
      </c>
      <c r="G768">
        <v>28</v>
      </c>
      <c r="H768">
        <v>2353612</v>
      </c>
      <c r="I768">
        <v>0</v>
      </c>
      <c r="J768">
        <v>98</v>
      </c>
      <c r="K768">
        <v>85</v>
      </c>
      <c r="L768">
        <v>-2353612</v>
      </c>
      <c r="M768">
        <v>1</v>
      </c>
      <c r="N768">
        <v>0</v>
      </c>
      <c r="O768">
        <v>4.3107072965363697E-3</v>
      </c>
      <c r="P768">
        <v>0</v>
      </c>
      <c r="Q768">
        <v>0</v>
      </c>
      <c r="R768">
        <v>0</v>
      </c>
      <c r="S768">
        <v>0</v>
      </c>
      <c r="T768">
        <v>12.414189650000001</v>
      </c>
      <c r="U768">
        <f t="shared" si="22"/>
        <v>0</v>
      </c>
      <c r="V768">
        <f t="shared" si="23"/>
        <v>0</v>
      </c>
    </row>
    <row r="769" spans="1:22" x14ac:dyDescent="0.2">
      <c r="A769" t="s">
        <v>1312</v>
      </c>
      <c r="B769" t="s">
        <v>21</v>
      </c>
      <c r="C769" t="s">
        <v>76</v>
      </c>
      <c r="D769" t="s">
        <v>77</v>
      </c>
      <c r="E769" s="1" t="s">
        <v>89</v>
      </c>
      <c r="F769" t="s">
        <v>90</v>
      </c>
      <c r="G769">
        <v>38</v>
      </c>
      <c r="H769">
        <v>117434</v>
      </c>
      <c r="I769">
        <v>0</v>
      </c>
      <c r="J769">
        <v>97</v>
      </c>
      <c r="K769">
        <v>87</v>
      </c>
      <c r="L769">
        <v>-117434</v>
      </c>
      <c r="M769">
        <v>1</v>
      </c>
      <c r="N769">
        <v>0</v>
      </c>
      <c r="O769" s="1" t="s">
        <v>1317</v>
      </c>
      <c r="P769">
        <v>0</v>
      </c>
      <c r="Q769">
        <v>0</v>
      </c>
      <c r="R769">
        <v>0</v>
      </c>
      <c r="S769">
        <v>0</v>
      </c>
      <c r="T769">
        <v>12.414189650000001</v>
      </c>
      <c r="U769">
        <f t="shared" si="22"/>
        <v>0</v>
      </c>
      <c r="V769">
        <f t="shared" si="23"/>
        <v>0</v>
      </c>
    </row>
    <row r="770" spans="1:22" x14ac:dyDescent="0.2">
      <c r="A770" t="s">
        <v>1312</v>
      </c>
      <c r="B770" t="s">
        <v>21</v>
      </c>
      <c r="C770" t="s">
        <v>76</v>
      </c>
      <c r="D770" t="s">
        <v>77</v>
      </c>
      <c r="E770" s="1" t="s">
        <v>85</v>
      </c>
      <c r="F770" t="s">
        <v>86</v>
      </c>
      <c r="G770">
        <v>27</v>
      </c>
      <c r="H770">
        <v>53748</v>
      </c>
      <c r="I770">
        <v>0</v>
      </c>
      <c r="J770">
        <v>130</v>
      </c>
      <c r="K770">
        <v>91</v>
      </c>
      <c r="L770">
        <v>-53748</v>
      </c>
      <c r="M770">
        <v>1</v>
      </c>
      <c r="N770">
        <v>0</v>
      </c>
      <c r="O770" s="1" t="s">
        <v>1318</v>
      </c>
      <c r="P770">
        <v>0</v>
      </c>
      <c r="Q770">
        <v>0</v>
      </c>
      <c r="R770">
        <v>0</v>
      </c>
      <c r="S770">
        <v>0</v>
      </c>
      <c r="T770">
        <v>12.414189650000001</v>
      </c>
      <c r="U770">
        <f t="shared" si="22"/>
        <v>0</v>
      </c>
      <c r="V770">
        <f t="shared" si="23"/>
        <v>0</v>
      </c>
    </row>
    <row r="771" spans="1:22" x14ac:dyDescent="0.2">
      <c r="A771" t="s">
        <v>1312</v>
      </c>
      <c r="B771" t="s">
        <v>21</v>
      </c>
      <c r="C771" t="s">
        <v>76</v>
      </c>
      <c r="D771" t="s">
        <v>77</v>
      </c>
      <c r="E771">
        <v>20</v>
      </c>
      <c r="F771" t="s">
        <v>104</v>
      </c>
      <c r="G771">
        <v>94</v>
      </c>
      <c r="H771">
        <v>192346</v>
      </c>
      <c r="I771">
        <v>13250</v>
      </c>
      <c r="J771">
        <v>79</v>
      </c>
      <c r="K771">
        <v>78</v>
      </c>
      <c r="L771">
        <v>-179096</v>
      </c>
      <c r="M771" s="1" t="s">
        <v>1319</v>
      </c>
      <c r="N771">
        <v>6.4446779120216305E-2</v>
      </c>
      <c r="O771" s="1" t="s">
        <v>1320</v>
      </c>
      <c r="P771">
        <v>0</v>
      </c>
      <c r="Q771">
        <v>0</v>
      </c>
      <c r="R771">
        <v>0</v>
      </c>
      <c r="S771">
        <v>0</v>
      </c>
      <c r="T771">
        <v>12.414189650000001</v>
      </c>
      <c r="U771">
        <f t="shared" ref="U771:U834" si="24">IF(OR(P771=1,Q771=1),1,0)</f>
        <v>0</v>
      </c>
      <c r="V771">
        <f t="shared" ref="V771:V834" si="25">IF(OR(R771=1,S771=1),1,0)</f>
        <v>0</v>
      </c>
    </row>
    <row r="772" spans="1:22" x14ac:dyDescent="0.2">
      <c r="A772" t="s">
        <v>1312</v>
      </c>
      <c r="B772" t="s">
        <v>21</v>
      </c>
      <c r="C772" t="s">
        <v>76</v>
      </c>
      <c r="D772" t="s">
        <v>77</v>
      </c>
      <c r="E772" s="1" t="s">
        <v>155</v>
      </c>
      <c r="F772" t="s">
        <v>156</v>
      </c>
      <c r="G772" s="1" t="s">
        <v>85</v>
      </c>
      <c r="H772">
        <v>421276</v>
      </c>
      <c r="I772">
        <v>0</v>
      </c>
      <c r="J772">
        <v>37</v>
      </c>
      <c r="K772">
        <v>72</v>
      </c>
      <c r="L772">
        <v>-421276</v>
      </c>
      <c r="M772">
        <v>1</v>
      </c>
      <c r="N772">
        <v>0</v>
      </c>
      <c r="O772" s="1" t="s">
        <v>1321</v>
      </c>
      <c r="P772">
        <v>0</v>
      </c>
      <c r="Q772">
        <v>0</v>
      </c>
      <c r="R772">
        <v>0</v>
      </c>
      <c r="S772">
        <v>0</v>
      </c>
      <c r="T772">
        <v>12.414189650000001</v>
      </c>
      <c r="U772">
        <f t="shared" si="24"/>
        <v>0</v>
      </c>
      <c r="V772">
        <f t="shared" si="25"/>
        <v>0</v>
      </c>
    </row>
    <row r="773" spans="1:22" x14ac:dyDescent="0.2">
      <c r="A773" t="s">
        <v>1312</v>
      </c>
      <c r="B773" t="s">
        <v>21</v>
      </c>
      <c r="C773" t="s">
        <v>76</v>
      </c>
      <c r="D773" t="s">
        <v>77</v>
      </c>
      <c r="E773" s="1" t="s">
        <v>138</v>
      </c>
      <c r="F773" t="s">
        <v>139</v>
      </c>
      <c r="G773">
        <v>22</v>
      </c>
      <c r="H773">
        <v>2542946</v>
      </c>
      <c r="I773">
        <v>59</v>
      </c>
      <c r="J773">
        <v>55</v>
      </c>
      <c r="K773">
        <v>92</v>
      </c>
      <c r="L773">
        <v>-2542887</v>
      </c>
      <c r="M773">
        <v>0.99997679910185</v>
      </c>
      <c r="N773" s="1" t="s">
        <v>1322</v>
      </c>
      <c r="O773">
        <v>4.6575859609096501E-3</v>
      </c>
      <c r="P773">
        <v>0</v>
      </c>
      <c r="Q773">
        <v>0</v>
      </c>
      <c r="R773">
        <v>0</v>
      </c>
      <c r="S773">
        <v>0</v>
      </c>
      <c r="T773">
        <v>12.414189650000001</v>
      </c>
      <c r="U773">
        <f t="shared" si="24"/>
        <v>0</v>
      </c>
      <c r="V773">
        <f t="shared" si="25"/>
        <v>0</v>
      </c>
    </row>
    <row r="774" spans="1:22" x14ac:dyDescent="0.2">
      <c r="A774" t="s">
        <v>1312</v>
      </c>
      <c r="B774" t="s">
        <v>21</v>
      </c>
      <c r="C774" t="s">
        <v>76</v>
      </c>
      <c r="D774" t="s">
        <v>77</v>
      </c>
      <c r="E774" s="1" t="s">
        <v>155</v>
      </c>
      <c r="F774" t="s">
        <v>156</v>
      </c>
      <c r="G774" s="1" t="s">
        <v>155</v>
      </c>
      <c r="H774">
        <v>21425</v>
      </c>
      <c r="I774">
        <v>0</v>
      </c>
      <c r="J774">
        <v>57</v>
      </c>
      <c r="K774">
        <v>76</v>
      </c>
      <c r="L774">
        <v>-21425</v>
      </c>
      <c r="M774">
        <v>1</v>
      </c>
      <c r="N774">
        <v>0</v>
      </c>
      <c r="O774" s="1" t="s">
        <v>1323</v>
      </c>
      <c r="P774">
        <v>0</v>
      </c>
      <c r="Q774">
        <v>0</v>
      </c>
      <c r="R774">
        <v>0</v>
      </c>
      <c r="S774">
        <v>0</v>
      </c>
      <c r="T774">
        <v>12.414189650000001</v>
      </c>
      <c r="U774">
        <f t="shared" si="24"/>
        <v>0</v>
      </c>
      <c r="V774">
        <f t="shared" si="25"/>
        <v>0</v>
      </c>
    </row>
    <row r="775" spans="1:22" x14ac:dyDescent="0.2">
      <c r="A775" t="s">
        <v>1312</v>
      </c>
      <c r="B775" t="s">
        <v>21</v>
      </c>
      <c r="C775" t="s">
        <v>76</v>
      </c>
      <c r="D775" t="s">
        <v>77</v>
      </c>
      <c r="E775">
        <v>13</v>
      </c>
      <c r="F775" t="s">
        <v>91</v>
      </c>
      <c r="G775">
        <v>68</v>
      </c>
      <c r="H775">
        <v>5017</v>
      </c>
      <c r="I775">
        <v>0</v>
      </c>
      <c r="J775">
        <v>107</v>
      </c>
      <c r="K775">
        <v>85</v>
      </c>
      <c r="L775">
        <v>-5017</v>
      </c>
      <c r="M775">
        <v>1</v>
      </c>
      <c r="N775">
        <v>0</v>
      </c>
      <c r="O775" s="1" t="s">
        <v>1324</v>
      </c>
      <c r="P775">
        <v>0</v>
      </c>
      <c r="Q775">
        <v>0</v>
      </c>
      <c r="R775">
        <v>0</v>
      </c>
      <c r="S775">
        <v>0</v>
      </c>
      <c r="T775">
        <v>12.414189650000001</v>
      </c>
      <c r="U775">
        <f t="shared" si="24"/>
        <v>0</v>
      </c>
      <c r="V775">
        <f t="shared" si="25"/>
        <v>0</v>
      </c>
    </row>
    <row r="776" spans="1:22" x14ac:dyDescent="0.2">
      <c r="A776" t="s">
        <v>1312</v>
      </c>
      <c r="B776" t="s">
        <v>21</v>
      </c>
      <c r="C776" t="s">
        <v>76</v>
      </c>
      <c r="D776" t="s">
        <v>77</v>
      </c>
      <c r="E776">
        <v>16</v>
      </c>
      <c r="F776" t="s">
        <v>95</v>
      </c>
      <c r="G776">
        <v>85</v>
      </c>
      <c r="H776">
        <v>570871</v>
      </c>
      <c r="I776">
        <v>2906</v>
      </c>
      <c r="J776">
        <v>109</v>
      </c>
      <c r="K776">
        <v>105</v>
      </c>
      <c r="L776">
        <v>-567965</v>
      </c>
      <c r="M776" s="1" t="s">
        <v>1325</v>
      </c>
      <c r="N776">
        <v>5.0646854091397804E-3</v>
      </c>
      <c r="O776">
        <v>1.0508888892836799E-3</v>
      </c>
      <c r="P776">
        <v>0</v>
      </c>
      <c r="Q776">
        <v>0</v>
      </c>
      <c r="R776">
        <v>0</v>
      </c>
      <c r="S776">
        <v>0</v>
      </c>
      <c r="T776">
        <v>12.414189650000001</v>
      </c>
      <c r="U776">
        <f t="shared" si="24"/>
        <v>0</v>
      </c>
      <c r="V776">
        <f t="shared" si="25"/>
        <v>0</v>
      </c>
    </row>
    <row r="777" spans="1:22" x14ac:dyDescent="0.2">
      <c r="A777" t="s">
        <v>1312</v>
      </c>
      <c r="B777" t="s">
        <v>21</v>
      </c>
      <c r="C777" t="s">
        <v>76</v>
      </c>
      <c r="D777" t="s">
        <v>77</v>
      </c>
      <c r="E777">
        <v>18</v>
      </c>
      <c r="F777" t="s">
        <v>147</v>
      </c>
      <c r="G777">
        <v>90</v>
      </c>
      <c r="H777">
        <v>53019</v>
      </c>
      <c r="I777">
        <v>0</v>
      </c>
      <c r="J777">
        <v>121</v>
      </c>
      <c r="K777">
        <v>103</v>
      </c>
      <c r="L777">
        <v>-53019</v>
      </c>
      <c r="M777">
        <v>1</v>
      </c>
      <c r="N777">
        <v>0</v>
      </c>
      <c r="O777" s="1" t="s">
        <v>1326</v>
      </c>
      <c r="P777">
        <v>0</v>
      </c>
      <c r="Q777">
        <v>0</v>
      </c>
      <c r="R777">
        <v>0</v>
      </c>
      <c r="S777">
        <v>0</v>
      </c>
      <c r="T777">
        <v>12.414189650000001</v>
      </c>
      <c r="U777">
        <f t="shared" si="24"/>
        <v>0</v>
      </c>
      <c r="V777">
        <f t="shared" si="25"/>
        <v>0</v>
      </c>
    </row>
    <row r="778" spans="1:22" x14ac:dyDescent="0.2">
      <c r="A778" t="s">
        <v>1312</v>
      </c>
      <c r="B778" t="s">
        <v>21</v>
      </c>
      <c r="C778" t="s">
        <v>76</v>
      </c>
      <c r="D778" t="s">
        <v>77</v>
      </c>
      <c r="E778">
        <v>15</v>
      </c>
      <c r="F778" t="s">
        <v>88</v>
      </c>
      <c r="G778">
        <v>73</v>
      </c>
      <c r="H778">
        <v>415131</v>
      </c>
      <c r="I778">
        <v>0</v>
      </c>
      <c r="J778">
        <v>93</v>
      </c>
      <c r="K778">
        <v>103</v>
      </c>
      <c r="L778">
        <v>-415131</v>
      </c>
      <c r="M778">
        <v>1</v>
      </c>
      <c r="N778">
        <v>0</v>
      </c>
      <c r="O778" s="1" t="s">
        <v>1327</v>
      </c>
      <c r="P778">
        <v>0</v>
      </c>
      <c r="Q778">
        <v>0</v>
      </c>
      <c r="R778">
        <v>0</v>
      </c>
      <c r="S778">
        <v>0</v>
      </c>
      <c r="T778">
        <v>12.414189650000001</v>
      </c>
      <c r="U778">
        <f t="shared" si="24"/>
        <v>0</v>
      </c>
      <c r="V778">
        <f t="shared" si="25"/>
        <v>0</v>
      </c>
    </row>
    <row r="779" spans="1:22" x14ac:dyDescent="0.2">
      <c r="A779" t="s">
        <v>1312</v>
      </c>
      <c r="B779" t="s">
        <v>21</v>
      </c>
      <c r="C779" t="s">
        <v>76</v>
      </c>
      <c r="D779" t="s">
        <v>77</v>
      </c>
      <c r="E779" s="1" t="s">
        <v>99</v>
      </c>
      <c r="F779" t="s">
        <v>100</v>
      </c>
      <c r="G779">
        <v>40</v>
      </c>
      <c r="H779">
        <v>97608</v>
      </c>
      <c r="I779">
        <v>0</v>
      </c>
      <c r="J779">
        <v>112</v>
      </c>
      <c r="K779">
        <v>97</v>
      </c>
      <c r="L779">
        <v>-97608</v>
      </c>
      <c r="M779">
        <v>1</v>
      </c>
      <c r="N779">
        <v>0</v>
      </c>
      <c r="O779" s="1" t="s">
        <v>1328</v>
      </c>
      <c r="P779">
        <v>0</v>
      </c>
      <c r="Q779">
        <v>0</v>
      </c>
      <c r="R779">
        <v>0</v>
      </c>
      <c r="S779">
        <v>0</v>
      </c>
      <c r="T779">
        <v>12.414189650000001</v>
      </c>
      <c r="U779">
        <f t="shared" si="24"/>
        <v>0</v>
      </c>
      <c r="V779">
        <f t="shared" si="25"/>
        <v>0</v>
      </c>
    </row>
    <row r="780" spans="1:22" x14ac:dyDescent="0.2">
      <c r="A780" t="s">
        <v>1312</v>
      </c>
      <c r="B780" t="s">
        <v>21</v>
      </c>
      <c r="C780" t="s">
        <v>76</v>
      </c>
      <c r="D780" t="s">
        <v>77</v>
      </c>
      <c r="E780">
        <v>11</v>
      </c>
      <c r="F780" t="s">
        <v>127</v>
      </c>
      <c r="G780">
        <v>61</v>
      </c>
      <c r="H780">
        <v>1802</v>
      </c>
      <c r="I780">
        <v>49</v>
      </c>
      <c r="J780">
        <v>102</v>
      </c>
      <c r="K780">
        <v>101</v>
      </c>
      <c r="L780">
        <v>-1753</v>
      </c>
      <c r="M780" s="1" t="s">
        <v>1329</v>
      </c>
      <c r="N780" s="1" t="s">
        <v>1330</v>
      </c>
      <c r="O780" s="1" t="s">
        <v>1331</v>
      </c>
      <c r="P780">
        <v>0</v>
      </c>
      <c r="Q780">
        <v>0</v>
      </c>
      <c r="R780">
        <v>0</v>
      </c>
      <c r="S780">
        <v>0</v>
      </c>
      <c r="T780">
        <v>12.414189650000001</v>
      </c>
      <c r="U780">
        <f t="shared" si="24"/>
        <v>0</v>
      </c>
      <c r="V780">
        <f t="shared" si="25"/>
        <v>0</v>
      </c>
    </row>
    <row r="781" spans="1:22" x14ac:dyDescent="0.2">
      <c r="A781" t="s">
        <v>1312</v>
      </c>
      <c r="B781" t="s">
        <v>21</v>
      </c>
      <c r="C781" t="s">
        <v>76</v>
      </c>
      <c r="D781" t="s">
        <v>77</v>
      </c>
      <c r="E781">
        <v>10</v>
      </c>
      <c r="F781" t="s">
        <v>119</v>
      </c>
      <c r="G781">
        <v>49</v>
      </c>
      <c r="H781">
        <v>890</v>
      </c>
      <c r="I781">
        <v>227</v>
      </c>
      <c r="J781">
        <v>125</v>
      </c>
      <c r="K781">
        <v>94</v>
      </c>
      <c r="L781">
        <v>-663</v>
      </c>
      <c r="M781" s="1" t="s">
        <v>1332</v>
      </c>
      <c r="N781" s="1" t="s">
        <v>1333</v>
      </c>
      <c r="O781" s="1" t="s">
        <v>1334</v>
      </c>
      <c r="P781">
        <v>0</v>
      </c>
      <c r="Q781">
        <v>0</v>
      </c>
      <c r="R781">
        <v>0</v>
      </c>
      <c r="S781">
        <v>0</v>
      </c>
      <c r="T781">
        <v>12.414189650000001</v>
      </c>
      <c r="U781">
        <f t="shared" si="24"/>
        <v>0</v>
      </c>
      <c r="V781">
        <f t="shared" si="25"/>
        <v>0</v>
      </c>
    </row>
    <row r="782" spans="1:22" x14ac:dyDescent="0.2">
      <c r="A782" t="s">
        <v>1312</v>
      </c>
      <c r="B782" t="s">
        <v>21</v>
      </c>
      <c r="C782" t="s">
        <v>76</v>
      </c>
      <c r="D782" t="s">
        <v>77</v>
      </c>
      <c r="E782">
        <v>12</v>
      </c>
      <c r="F782" t="s">
        <v>194</v>
      </c>
      <c r="G782">
        <v>64</v>
      </c>
      <c r="H782">
        <v>2075</v>
      </c>
      <c r="I782">
        <v>690</v>
      </c>
      <c r="J782">
        <v>91</v>
      </c>
      <c r="K782">
        <v>82</v>
      </c>
      <c r="L782">
        <v>-1385</v>
      </c>
      <c r="M782" s="1" t="s">
        <v>1335</v>
      </c>
      <c r="N782" s="1" t="s">
        <v>1336</v>
      </c>
      <c r="O782" s="1" t="s">
        <v>1337</v>
      </c>
      <c r="P782">
        <v>0</v>
      </c>
      <c r="Q782">
        <v>0</v>
      </c>
      <c r="R782">
        <v>0</v>
      </c>
      <c r="S782">
        <v>0</v>
      </c>
      <c r="T782">
        <v>12.414189650000001</v>
      </c>
      <c r="U782">
        <f t="shared" si="24"/>
        <v>0</v>
      </c>
      <c r="V782">
        <f t="shared" si="25"/>
        <v>0</v>
      </c>
    </row>
    <row r="783" spans="1:22" x14ac:dyDescent="0.2">
      <c r="A783" t="s">
        <v>1312</v>
      </c>
      <c r="B783" t="s">
        <v>21</v>
      </c>
      <c r="C783" t="s">
        <v>76</v>
      </c>
      <c r="D783" t="s">
        <v>77</v>
      </c>
      <c r="E783">
        <v>18</v>
      </c>
      <c r="F783" t="s">
        <v>147</v>
      </c>
      <c r="G783">
        <v>92</v>
      </c>
      <c r="H783">
        <v>931</v>
      </c>
      <c r="I783">
        <v>0</v>
      </c>
      <c r="J783">
        <v>79</v>
      </c>
      <c r="K783">
        <v>66</v>
      </c>
      <c r="L783">
        <v>-931</v>
      </c>
      <c r="M783">
        <v>1</v>
      </c>
      <c r="N783">
        <v>0</v>
      </c>
      <c r="O783" s="1" t="s">
        <v>1338</v>
      </c>
      <c r="P783">
        <v>0</v>
      </c>
      <c r="Q783">
        <v>0</v>
      </c>
      <c r="R783">
        <v>0</v>
      </c>
      <c r="S783">
        <v>0</v>
      </c>
      <c r="T783">
        <v>12.414189650000001</v>
      </c>
      <c r="U783">
        <f t="shared" si="24"/>
        <v>0</v>
      </c>
      <c r="V783">
        <f t="shared" si="25"/>
        <v>0</v>
      </c>
    </row>
    <row r="784" spans="1:22" x14ac:dyDescent="0.2">
      <c r="A784" t="s">
        <v>1312</v>
      </c>
      <c r="B784" t="s">
        <v>21</v>
      </c>
      <c r="C784" t="s">
        <v>76</v>
      </c>
      <c r="D784" t="s">
        <v>77</v>
      </c>
      <c r="E784" s="1" t="s">
        <v>89</v>
      </c>
      <c r="F784" t="s">
        <v>90</v>
      </c>
      <c r="G784">
        <v>33</v>
      </c>
      <c r="H784">
        <v>594</v>
      </c>
      <c r="I784">
        <v>729</v>
      </c>
      <c r="J784">
        <v>123</v>
      </c>
      <c r="K784">
        <v>85</v>
      </c>
      <c r="L784">
        <v>135</v>
      </c>
      <c r="M784" s="1" t="s">
        <v>1339</v>
      </c>
      <c r="N784" s="1" t="s">
        <v>1340</v>
      </c>
      <c r="O784" s="1" t="s">
        <v>1341</v>
      </c>
      <c r="P784">
        <v>0</v>
      </c>
      <c r="Q784">
        <v>0</v>
      </c>
      <c r="R784">
        <v>0</v>
      </c>
      <c r="S784">
        <v>0</v>
      </c>
      <c r="T784">
        <v>12.414189650000001</v>
      </c>
      <c r="U784">
        <f t="shared" si="24"/>
        <v>0</v>
      </c>
      <c r="V784">
        <f t="shared" si="25"/>
        <v>0</v>
      </c>
    </row>
    <row r="785" spans="1:22" x14ac:dyDescent="0.2">
      <c r="A785" t="s">
        <v>1312</v>
      </c>
      <c r="B785" t="s">
        <v>21</v>
      </c>
      <c r="C785" t="s">
        <v>76</v>
      </c>
      <c r="D785" t="s">
        <v>77</v>
      </c>
      <c r="E785">
        <v>13</v>
      </c>
      <c r="F785" t="s">
        <v>91</v>
      </c>
      <c r="G785">
        <v>69</v>
      </c>
      <c r="H785">
        <v>1073</v>
      </c>
      <c r="I785">
        <v>0</v>
      </c>
      <c r="J785">
        <v>105</v>
      </c>
      <c r="K785">
        <v>91</v>
      </c>
      <c r="L785">
        <v>-1073</v>
      </c>
      <c r="M785">
        <v>1</v>
      </c>
      <c r="N785">
        <v>0</v>
      </c>
      <c r="O785" s="1" t="s">
        <v>1342</v>
      </c>
      <c r="P785">
        <v>0</v>
      </c>
      <c r="Q785">
        <v>0</v>
      </c>
      <c r="R785">
        <v>0</v>
      </c>
      <c r="S785">
        <v>0</v>
      </c>
      <c r="T785">
        <v>12.414189650000001</v>
      </c>
      <c r="U785">
        <f t="shared" si="24"/>
        <v>0</v>
      </c>
      <c r="V785">
        <f t="shared" si="25"/>
        <v>0</v>
      </c>
    </row>
    <row r="786" spans="1:22" x14ac:dyDescent="0.2">
      <c r="A786" t="s">
        <v>1312</v>
      </c>
      <c r="B786" t="s">
        <v>21</v>
      </c>
      <c r="C786" t="s">
        <v>76</v>
      </c>
      <c r="D786" t="s">
        <v>77</v>
      </c>
      <c r="E786">
        <v>11</v>
      </c>
      <c r="F786" t="s">
        <v>127</v>
      </c>
      <c r="G786">
        <v>63</v>
      </c>
      <c r="H786">
        <v>8202</v>
      </c>
      <c r="I786">
        <v>18462</v>
      </c>
      <c r="J786">
        <v>100</v>
      </c>
      <c r="K786">
        <v>79</v>
      </c>
      <c r="L786">
        <v>10260</v>
      </c>
      <c r="M786" s="1" t="s">
        <v>1343</v>
      </c>
      <c r="N786" s="1" t="s">
        <v>1344</v>
      </c>
      <c r="O786" s="1" t="s">
        <v>1345</v>
      </c>
      <c r="P786">
        <v>0</v>
      </c>
      <c r="Q786">
        <v>0</v>
      </c>
      <c r="R786">
        <v>0</v>
      </c>
      <c r="S786">
        <v>0</v>
      </c>
      <c r="T786">
        <v>12.414189650000001</v>
      </c>
      <c r="U786">
        <f t="shared" si="24"/>
        <v>0</v>
      </c>
      <c r="V786">
        <f t="shared" si="25"/>
        <v>0</v>
      </c>
    </row>
    <row r="787" spans="1:22" x14ac:dyDescent="0.2">
      <c r="A787" t="s">
        <v>1312</v>
      </c>
      <c r="B787" t="s">
        <v>21</v>
      </c>
      <c r="C787" t="s">
        <v>76</v>
      </c>
      <c r="D787" t="s">
        <v>77</v>
      </c>
      <c r="E787">
        <v>15</v>
      </c>
      <c r="F787" t="s">
        <v>88</v>
      </c>
      <c r="G787">
        <v>74</v>
      </c>
      <c r="H787">
        <v>1760</v>
      </c>
      <c r="I787">
        <v>0</v>
      </c>
      <c r="J787">
        <v>91</v>
      </c>
      <c r="K787">
        <v>84</v>
      </c>
      <c r="L787">
        <v>-1760</v>
      </c>
      <c r="M787">
        <v>1</v>
      </c>
      <c r="N787">
        <v>0</v>
      </c>
      <c r="O787" s="1" t="s">
        <v>1346</v>
      </c>
      <c r="P787">
        <v>0</v>
      </c>
      <c r="Q787">
        <v>0</v>
      </c>
      <c r="R787">
        <v>0</v>
      </c>
      <c r="S787">
        <v>0</v>
      </c>
      <c r="T787">
        <v>12.414189650000001</v>
      </c>
      <c r="U787">
        <f t="shared" si="24"/>
        <v>0</v>
      </c>
      <c r="V787">
        <f t="shared" si="25"/>
        <v>0</v>
      </c>
    </row>
    <row r="788" spans="1:22" x14ac:dyDescent="0.2">
      <c r="A788" t="s">
        <v>1312</v>
      </c>
      <c r="B788" t="s">
        <v>21</v>
      </c>
      <c r="C788" t="s">
        <v>76</v>
      </c>
      <c r="D788" t="s">
        <v>77</v>
      </c>
      <c r="E788" s="1" t="s">
        <v>163</v>
      </c>
      <c r="F788" t="s">
        <v>224</v>
      </c>
      <c r="G788">
        <v>42</v>
      </c>
      <c r="H788">
        <v>477</v>
      </c>
      <c r="I788">
        <v>200</v>
      </c>
      <c r="J788">
        <v>111</v>
      </c>
      <c r="K788">
        <v>87</v>
      </c>
      <c r="L788">
        <v>-277</v>
      </c>
      <c r="M788" s="1" t="s">
        <v>1347</v>
      </c>
      <c r="N788" s="1" t="s">
        <v>1348</v>
      </c>
      <c r="O788" s="1" t="s">
        <v>1349</v>
      </c>
      <c r="P788">
        <v>0</v>
      </c>
      <c r="Q788">
        <v>0</v>
      </c>
      <c r="R788">
        <v>0</v>
      </c>
      <c r="S788">
        <v>0</v>
      </c>
      <c r="T788">
        <v>12.414189650000001</v>
      </c>
      <c r="U788">
        <f t="shared" si="24"/>
        <v>0</v>
      </c>
      <c r="V788">
        <f t="shared" si="25"/>
        <v>0</v>
      </c>
    </row>
    <row r="789" spans="1:22" x14ac:dyDescent="0.2">
      <c r="A789" t="s">
        <v>1312</v>
      </c>
      <c r="B789" t="s">
        <v>21</v>
      </c>
      <c r="C789" t="s">
        <v>76</v>
      </c>
      <c r="D789" t="s">
        <v>77</v>
      </c>
      <c r="E789">
        <v>11</v>
      </c>
      <c r="F789" t="s">
        <v>127</v>
      </c>
      <c r="G789">
        <v>62</v>
      </c>
      <c r="H789">
        <v>159</v>
      </c>
      <c r="I789">
        <v>436</v>
      </c>
      <c r="J789">
        <v>124</v>
      </c>
      <c r="K789">
        <v>93</v>
      </c>
      <c r="L789">
        <v>277</v>
      </c>
      <c r="M789" s="1" t="s">
        <v>1350</v>
      </c>
      <c r="N789" s="1" t="s">
        <v>1351</v>
      </c>
      <c r="O789" s="1" t="s">
        <v>1352</v>
      </c>
      <c r="P789">
        <v>0</v>
      </c>
      <c r="Q789">
        <v>0</v>
      </c>
      <c r="R789">
        <v>0</v>
      </c>
      <c r="S789">
        <v>0</v>
      </c>
      <c r="T789">
        <v>12.414189650000001</v>
      </c>
      <c r="U789">
        <f t="shared" si="24"/>
        <v>0</v>
      </c>
      <c r="V789">
        <f t="shared" si="25"/>
        <v>0</v>
      </c>
    </row>
    <row r="790" spans="1:22" x14ac:dyDescent="0.2">
      <c r="A790" t="s">
        <v>1312</v>
      </c>
      <c r="B790" t="s">
        <v>21</v>
      </c>
      <c r="C790" t="s">
        <v>76</v>
      </c>
      <c r="D790" t="s">
        <v>77</v>
      </c>
      <c r="E790">
        <v>20</v>
      </c>
      <c r="F790" t="s">
        <v>104</v>
      </c>
      <c r="G790">
        <v>95</v>
      </c>
      <c r="H790">
        <v>2892</v>
      </c>
      <c r="I790">
        <v>51</v>
      </c>
      <c r="J790">
        <v>109</v>
      </c>
      <c r="K790">
        <v>88</v>
      </c>
      <c r="L790">
        <v>-2841</v>
      </c>
      <c r="M790" s="1" t="s">
        <v>1353</v>
      </c>
      <c r="N790" s="1" t="s">
        <v>1354</v>
      </c>
      <c r="O790" s="1" t="s">
        <v>1355</v>
      </c>
      <c r="P790">
        <v>0</v>
      </c>
      <c r="Q790">
        <v>0</v>
      </c>
      <c r="R790">
        <v>0</v>
      </c>
      <c r="S790">
        <v>0</v>
      </c>
      <c r="T790">
        <v>12.414189650000001</v>
      </c>
      <c r="U790">
        <f t="shared" si="24"/>
        <v>0</v>
      </c>
      <c r="V790">
        <f t="shared" si="25"/>
        <v>0</v>
      </c>
    </row>
    <row r="791" spans="1:22" x14ac:dyDescent="0.2">
      <c r="A791" t="s">
        <v>1312</v>
      </c>
      <c r="B791" t="s">
        <v>21</v>
      </c>
      <c r="C791" t="s">
        <v>76</v>
      </c>
      <c r="D791" t="s">
        <v>77</v>
      </c>
      <c r="E791">
        <v>11</v>
      </c>
      <c r="F791" t="s">
        <v>127</v>
      </c>
      <c r="G791">
        <v>57</v>
      </c>
      <c r="H791">
        <v>198</v>
      </c>
      <c r="I791">
        <v>0</v>
      </c>
      <c r="J791">
        <v>79</v>
      </c>
      <c r="K791">
        <v>78</v>
      </c>
      <c r="L791">
        <v>-198</v>
      </c>
      <c r="M791">
        <v>1</v>
      </c>
      <c r="N791">
        <v>0</v>
      </c>
      <c r="O791" s="1" t="s">
        <v>1356</v>
      </c>
      <c r="P791">
        <v>0</v>
      </c>
      <c r="Q791">
        <v>0</v>
      </c>
      <c r="R791">
        <v>0</v>
      </c>
      <c r="S791">
        <v>0</v>
      </c>
      <c r="T791">
        <v>12.414189650000001</v>
      </c>
      <c r="U791">
        <f t="shared" si="24"/>
        <v>0</v>
      </c>
      <c r="V791">
        <f t="shared" si="25"/>
        <v>0</v>
      </c>
    </row>
    <row r="792" spans="1:22" x14ac:dyDescent="0.2">
      <c r="A792" t="s">
        <v>1312</v>
      </c>
      <c r="B792" t="s">
        <v>21</v>
      </c>
      <c r="C792" t="s">
        <v>76</v>
      </c>
      <c r="D792" t="s">
        <v>77</v>
      </c>
      <c r="E792" s="1" t="s">
        <v>93</v>
      </c>
      <c r="F792" t="s">
        <v>94</v>
      </c>
      <c r="G792">
        <v>44</v>
      </c>
      <c r="H792">
        <v>5799</v>
      </c>
      <c r="I792">
        <v>34244</v>
      </c>
      <c r="J792">
        <v>133</v>
      </c>
      <c r="K792">
        <v>72</v>
      </c>
      <c r="L792">
        <v>28445</v>
      </c>
      <c r="M792" s="1" t="s">
        <v>1357</v>
      </c>
      <c r="N792" s="1" t="s">
        <v>1358</v>
      </c>
      <c r="O792" s="1" t="s">
        <v>1359</v>
      </c>
      <c r="P792">
        <v>0</v>
      </c>
      <c r="Q792">
        <v>0</v>
      </c>
      <c r="R792">
        <v>0</v>
      </c>
      <c r="S792">
        <v>0</v>
      </c>
      <c r="T792">
        <v>12.414189650000001</v>
      </c>
      <c r="U792">
        <f t="shared" si="24"/>
        <v>0</v>
      </c>
      <c r="V792">
        <f t="shared" si="25"/>
        <v>0</v>
      </c>
    </row>
    <row r="793" spans="1:22" x14ac:dyDescent="0.2">
      <c r="A793" t="s">
        <v>1312</v>
      </c>
      <c r="B793" t="s">
        <v>21</v>
      </c>
      <c r="C793" t="s">
        <v>76</v>
      </c>
      <c r="D793" t="s">
        <v>77</v>
      </c>
      <c r="E793" s="1" t="s">
        <v>93</v>
      </c>
      <c r="F793" t="s">
        <v>94</v>
      </c>
      <c r="G793">
        <v>46</v>
      </c>
      <c r="H793">
        <v>45</v>
      </c>
      <c r="I793">
        <v>0</v>
      </c>
      <c r="J793">
        <v>42</v>
      </c>
      <c r="K793">
        <v>58</v>
      </c>
      <c r="L793">
        <v>-45</v>
      </c>
      <c r="M793">
        <v>1</v>
      </c>
      <c r="N793">
        <v>0</v>
      </c>
      <c r="O793" s="1" t="s">
        <v>1360</v>
      </c>
      <c r="P793">
        <v>0</v>
      </c>
      <c r="Q793">
        <v>0</v>
      </c>
      <c r="R793">
        <v>0</v>
      </c>
      <c r="S793">
        <v>0</v>
      </c>
      <c r="T793">
        <v>12.414189650000001</v>
      </c>
      <c r="U793">
        <f t="shared" si="24"/>
        <v>0</v>
      </c>
      <c r="V793">
        <f t="shared" si="25"/>
        <v>0</v>
      </c>
    </row>
    <row r="794" spans="1:22" x14ac:dyDescent="0.2">
      <c r="A794" t="s">
        <v>1312</v>
      </c>
      <c r="B794" t="s">
        <v>21</v>
      </c>
      <c r="C794" t="s">
        <v>76</v>
      </c>
      <c r="D794" t="s">
        <v>77</v>
      </c>
      <c r="E794">
        <v>15</v>
      </c>
      <c r="F794" t="s">
        <v>88</v>
      </c>
      <c r="G794">
        <v>83</v>
      </c>
      <c r="H794">
        <v>7662</v>
      </c>
      <c r="I794">
        <v>0</v>
      </c>
      <c r="J794">
        <v>96</v>
      </c>
      <c r="K794">
        <v>85</v>
      </c>
      <c r="L794">
        <v>-7662</v>
      </c>
      <c r="M794">
        <v>1</v>
      </c>
      <c r="N794">
        <v>0</v>
      </c>
      <c r="O794" s="1" t="s">
        <v>1361</v>
      </c>
      <c r="P794">
        <v>0</v>
      </c>
      <c r="Q794">
        <v>0</v>
      </c>
      <c r="R794">
        <v>0</v>
      </c>
      <c r="S794">
        <v>0</v>
      </c>
      <c r="T794">
        <v>12.414189650000001</v>
      </c>
      <c r="U794">
        <f t="shared" si="24"/>
        <v>0</v>
      </c>
      <c r="V794">
        <f t="shared" si="25"/>
        <v>0</v>
      </c>
    </row>
    <row r="795" spans="1:22" x14ac:dyDescent="0.2">
      <c r="A795" t="s">
        <v>1312</v>
      </c>
      <c r="B795" t="s">
        <v>21</v>
      </c>
      <c r="C795" t="s">
        <v>76</v>
      </c>
      <c r="D795" t="s">
        <v>77</v>
      </c>
      <c r="E795">
        <v>12</v>
      </c>
      <c r="F795" t="s">
        <v>194</v>
      </c>
      <c r="G795">
        <v>67</v>
      </c>
      <c r="H795">
        <v>40</v>
      </c>
      <c r="I795">
        <v>0</v>
      </c>
      <c r="J795">
        <v>77</v>
      </c>
      <c r="K795">
        <v>62</v>
      </c>
      <c r="L795">
        <v>-40</v>
      </c>
      <c r="M795">
        <v>1</v>
      </c>
      <c r="N795">
        <v>0</v>
      </c>
      <c r="O795" s="1" t="s">
        <v>1362</v>
      </c>
      <c r="P795">
        <v>0</v>
      </c>
      <c r="Q795">
        <v>0</v>
      </c>
      <c r="R795">
        <v>0</v>
      </c>
      <c r="S795">
        <v>0</v>
      </c>
      <c r="T795">
        <v>12.414189650000001</v>
      </c>
      <c r="U795">
        <f t="shared" si="24"/>
        <v>0</v>
      </c>
      <c r="V795">
        <f t="shared" si="25"/>
        <v>0</v>
      </c>
    </row>
    <row r="796" spans="1:22" x14ac:dyDescent="0.2">
      <c r="A796" t="s">
        <v>1312</v>
      </c>
      <c r="B796" t="s">
        <v>21</v>
      </c>
      <c r="C796" t="s">
        <v>76</v>
      </c>
      <c r="D796" t="s">
        <v>77</v>
      </c>
      <c r="E796">
        <v>15</v>
      </c>
      <c r="F796" t="s">
        <v>88</v>
      </c>
      <c r="G796">
        <v>76</v>
      </c>
      <c r="H796">
        <v>496</v>
      </c>
      <c r="I796">
        <v>242</v>
      </c>
      <c r="J796">
        <v>123</v>
      </c>
      <c r="K796">
        <v>85</v>
      </c>
      <c r="L796">
        <v>-254</v>
      </c>
      <c r="M796" s="1" t="s">
        <v>1363</v>
      </c>
      <c r="N796" s="1" t="s">
        <v>1364</v>
      </c>
      <c r="O796" s="1" t="s">
        <v>1365</v>
      </c>
      <c r="P796">
        <v>0</v>
      </c>
      <c r="Q796">
        <v>0</v>
      </c>
      <c r="R796">
        <v>0</v>
      </c>
      <c r="S796">
        <v>0</v>
      </c>
      <c r="T796">
        <v>12.414189650000001</v>
      </c>
      <c r="U796">
        <f t="shared" si="24"/>
        <v>0</v>
      </c>
      <c r="V796">
        <f t="shared" si="25"/>
        <v>0</v>
      </c>
    </row>
    <row r="797" spans="1:22" x14ac:dyDescent="0.2">
      <c r="A797" t="s">
        <v>1312</v>
      </c>
      <c r="B797" t="s">
        <v>21</v>
      </c>
      <c r="C797" t="s">
        <v>76</v>
      </c>
      <c r="D797" t="s">
        <v>77</v>
      </c>
      <c r="E797">
        <v>13</v>
      </c>
      <c r="F797" t="s">
        <v>91</v>
      </c>
      <c r="G797">
        <v>70</v>
      </c>
      <c r="H797">
        <v>639</v>
      </c>
      <c r="I797">
        <v>0</v>
      </c>
      <c r="J797">
        <v>123</v>
      </c>
      <c r="K797">
        <v>88</v>
      </c>
      <c r="L797">
        <v>-639</v>
      </c>
      <c r="M797">
        <v>1</v>
      </c>
      <c r="N797">
        <v>0</v>
      </c>
      <c r="O797" s="1" t="s">
        <v>1366</v>
      </c>
      <c r="P797">
        <v>0</v>
      </c>
      <c r="Q797">
        <v>0</v>
      </c>
      <c r="R797">
        <v>0</v>
      </c>
      <c r="S797">
        <v>0</v>
      </c>
      <c r="T797">
        <v>12.414189650000001</v>
      </c>
      <c r="U797">
        <f t="shared" si="24"/>
        <v>0</v>
      </c>
      <c r="V797">
        <f t="shared" si="25"/>
        <v>0</v>
      </c>
    </row>
    <row r="798" spans="1:22" x14ac:dyDescent="0.2">
      <c r="A798" t="s">
        <v>1312</v>
      </c>
      <c r="B798" t="s">
        <v>21</v>
      </c>
      <c r="C798" t="s">
        <v>76</v>
      </c>
      <c r="D798" t="s">
        <v>77</v>
      </c>
      <c r="E798" s="1" t="s">
        <v>138</v>
      </c>
      <c r="F798" t="s">
        <v>139</v>
      </c>
      <c r="G798">
        <v>19</v>
      </c>
      <c r="H798">
        <v>0</v>
      </c>
      <c r="I798">
        <v>15</v>
      </c>
      <c r="J798">
        <v>106</v>
      </c>
      <c r="K798">
        <v>83</v>
      </c>
      <c r="L798">
        <v>15</v>
      </c>
      <c r="M798">
        <v>0</v>
      </c>
      <c r="N798">
        <v>1</v>
      </c>
      <c r="O798" s="1" t="s">
        <v>1367</v>
      </c>
      <c r="P798">
        <v>0</v>
      </c>
      <c r="Q798">
        <v>0</v>
      </c>
      <c r="R798">
        <v>0</v>
      </c>
      <c r="S798">
        <v>0</v>
      </c>
      <c r="T798">
        <v>12.414189650000001</v>
      </c>
      <c r="U798">
        <f t="shared" si="24"/>
        <v>0</v>
      </c>
      <c r="V798">
        <f t="shared" si="25"/>
        <v>0</v>
      </c>
    </row>
    <row r="799" spans="1:22" x14ac:dyDescent="0.2">
      <c r="A799" t="s">
        <v>1312</v>
      </c>
      <c r="B799" t="s">
        <v>21</v>
      </c>
      <c r="C799" t="s">
        <v>76</v>
      </c>
      <c r="D799" t="s">
        <v>77</v>
      </c>
      <c r="E799" s="1" t="s">
        <v>82</v>
      </c>
      <c r="F799" t="s">
        <v>83</v>
      </c>
      <c r="G799">
        <v>12</v>
      </c>
      <c r="H799">
        <v>0</v>
      </c>
      <c r="I799">
        <v>110324</v>
      </c>
      <c r="J799">
        <v>103</v>
      </c>
      <c r="K799">
        <v>72</v>
      </c>
      <c r="L799">
        <v>110324</v>
      </c>
      <c r="M799">
        <v>0</v>
      </c>
      <c r="N799">
        <v>1</v>
      </c>
      <c r="O799" s="1" t="s">
        <v>1368</v>
      </c>
      <c r="P799">
        <v>0</v>
      </c>
      <c r="Q799">
        <v>0</v>
      </c>
      <c r="R799">
        <v>0</v>
      </c>
      <c r="S799">
        <v>0</v>
      </c>
      <c r="T799">
        <v>12.414189650000001</v>
      </c>
      <c r="U799">
        <f t="shared" si="24"/>
        <v>0</v>
      </c>
      <c r="V799">
        <f t="shared" si="25"/>
        <v>0</v>
      </c>
    </row>
    <row r="800" spans="1:22" x14ac:dyDescent="0.2">
      <c r="A800" t="s">
        <v>1312</v>
      </c>
      <c r="B800" t="s">
        <v>21</v>
      </c>
      <c r="C800" t="s">
        <v>76</v>
      </c>
      <c r="D800" t="s">
        <v>77</v>
      </c>
      <c r="E800" s="1" t="s">
        <v>155</v>
      </c>
      <c r="F800" t="s">
        <v>156</v>
      </c>
      <c r="G800" s="1" t="s">
        <v>138</v>
      </c>
      <c r="H800">
        <v>0</v>
      </c>
      <c r="I800">
        <v>521</v>
      </c>
      <c r="J800">
        <v>75</v>
      </c>
      <c r="K800">
        <v>66</v>
      </c>
      <c r="L800">
        <v>521</v>
      </c>
      <c r="M800">
        <v>0</v>
      </c>
      <c r="N800">
        <v>1</v>
      </c>
      <c r="O800" s="1" t="s">
        <v>1369</v>
      </c>
      <c r="P800">
        <v>0</v>
      </c>
      <c r="Q800">
        <v>0</v>
      </c>
      <c r="R800">
        <v>0</v>
      </c>
      <c r="S800">
        <v>0</v>
      </c>
      <c r="T800">
        <v>12.414189650000001</v>
      </c>
      <c r="U800">
        <f t="shared" si="24"/>
        <v>0</v>
      </c>
      <c r="V800">
        <f t="shared" si="25"/>
        <v>0</v>
      </c>
    </row>
    <row r="801" spans="1:22" x14ac:dyDescent="0.2">
      <c r="A801" t="s">
        <v>1312</v>
      </c>
      <c r="B801" t="s">
        <v>21</v>
      </c>
      <c r="C801" t="s">
        <v>76</v>
      </c>
      <c r="D801" t="s">
        <v>77</v>
      </c>
      <c r="E801" s="1" t="s">
        <v>138</v>
      </c>
      <c r="F801" t="s">
        <v>139</v>
      </c>
      <c r="G801">
        <v>21</v>
      </c>
      <c r="H801">
        <v>0</v>
      </c>
      <c r="I801">
        <v>70</v>
      </c>
      <c r="J801">
        <v>122</v>
      </c>
      <c r="K801">
        <v>96</v>
      </c>
      <c r="L801">
        <v>70</v>
      </c>
      <c r="M801">
        <v>0</v>
      </c>
      <c r="N801">
        <v>1</v>
      </c>
      <c r="O801" s="1" t="s">
        <v>1370</v>
      </c>
      <c r="P801">
        <v>0</v>
      </c>
      <c r="Q801">
        <v>0</v>
      </c>
      <c r="R801">
        <v>0</v>
      </c>
      <c r="S801">
        <v>0</v>
      </c>
      <c r="T801">
        <v>12.414189650000001</v>
      </c>
      <c r="U801">
        <f t="shared" si="24"/>
        <v>0</v>
      </c>
      <c r="V801">
        <f t="shared" si="25"/>
        <v>0</v>
      </c>
    </row>
    <row r="802" spans="1:22" x14ac:dyDescent="0.2">
      <c r="A802" t="s">
        <v>1312</v>
      </c>
      <c r="B802" t="s">
        <v>21</v>
      </c>
      <c r="C802" t="s">
        <v>76</v>
      </c>
      <c r="D802" t="s">
        <v>77</v>
      </c>
      <c r="E802" s="1" t="s">
        <v>89</v>
      </c>
      <c r="F802" t="s">
        <v>90</v>
      </c>
      <c r="G802">
        <v>34</v>
      </c>
      <c r="H802">
        <v>58475</v>
      </c>
      <c r="I802">
        <v>413</v>
      </c>
      <c r="J802">
        <v>91</v>
      </c>
      <c r="K802">
        <v>82</v>
      </c>
      <c r="L802">
        <v>-58062</v>
      </c>
      <c r="M802" s="1" t="s">
        <v>1371</v>
      </c>
      <c r="N802">
        <v>7.0133134085042697E-3</v>
      </c>
      <c r="O802" s="1" t="s">
        <v>1372</v>
      </c>
      <c r="P802">
        <v>0</v>
      </c>
      <c r="Q802">
        <v>0</v>
      </c>
      <c r="R802">
        <v>0</v>
      </c>
      <c r="S802">
        <v>0</v>
      </c>
      <c r="T802">
        <v>12.414189650000001</v>
      </c>
      <c r="U802">
        <f t="shared" si="24"/>
        <v>0</v>
      </c>
      <c r="V802">
        <f t="shared" si="25"/>
        <v>0</v>
      </c>
    </row>
    <row r="803" spans="1:22" x14ac:dyDescent="0.2">
      <c r="A803" t="s">
        <v>1312</v>
      </c>
      <c r="B803" t="s">
        <v>21</v>
      </c>
      <c r="C803" t="s">
        <v>76</v>
      </c>
      <c r="D803" t="s">
        <v>77</v>
      </c>
      <c r="E803" s="1" t="s">
        <v>138</v>
      </c>
      <c r="F803" t="s">
        <v>139</v>
      </c>
      <c r="G803">
        <v>18</v>
      </c>
      <c r="H803">
        <v>0</v>
      </c>
      <c r="I803">
        <v>21126045</v>
      </c>
      <c r="J803">
        <v>110</v>
      </c>
      <c r="K803">
        <v>25</v>
      </c>
      <c r="L803">
        <v>21126045</v>
      </c>
      <c r="M803">
        <v>0</v>
      </c>
      <c r="N803">
        <v>1</v>
      </c>
      <c r="O803">
        <v>3.8692952078955997E-2</v>
      </c>
      <c r="P803">
        <v>0</v>
      </c>
      <c r="Q803">
        <v>0</v>
      </c>
      <c r="R803">
        <v>0</v>
      </c>
      <c r="S803">
        <v>0</v>
      </c>
      <c r="T803">
        <v>12.414189650000001</v>
      </c>
      <c r="U803">
        <f t="shared" si="24"/>
        <v>0</v>
      </c>
      <c r="V803">
        <f t="shared" si="25"/>
        <v>0</v>
      </c>
    </row>
    <row r="804" spans="1:22" x14ac:dyDescent="0.2">
      <c r="A804" t="s">
        <v>1312</v>
      </c>
      <c r="B804" t="s">
        <v>21</v>
      </c>
      <c r="C804" t="s">
        <v>76</v>
      </c>
      <c r="D804" t="s">
        <v>77</v>
      </c>
      <c r="E804" s="1" t="s">
        <v>82</v>
      </c>
      <c r="F804" t="s">
        <v>83</v>
      </c>
      <c r="G804" s="1" t="s">
        <v>163</v>
      </c>
      <c r="H804">
        <v>0</v>
      </c>
      <c r="I804">
        <v>87961</v>
      </c>
      <c r="J804">
        <v>74</v>
      </c>
      <c r="K804">
        <v>82</v>
      </c>
      <c r="L804">
        <v>87961</v>
      </c>
      <c r="M804">
        <v>0</v>
      </c>
      <c r="N804">
        <v>1</v>
      </c>
      <c r="O804" s="1" t="s">
        <v>1373</v>
      </c>
      <c r="P804">
        <v>0</v>
      </c>
      <c r="Q804">
        <v>0</v>
      </c>
      <c r="R804">
        <v>0</v>
      </c>
      <c r="S804">
        <v>0</v>
      </c>
      <c r="T804">
        <v>12.414189650000001</v>
      </c>
      <c r="U804">
        <f t="shared" si="24"/>
        <v>0</v>
      </c>
      <c r="V804">
        <f t="shared" si="25"/>
        <v>0</v>
      </c>
    </row>
    <row r="805" spans="1:22" x14ac:dyDescent="0.2">
      <c r="A805" t="s">
        <v>1374</v>
      </c>
      <c r="B805" t="s">
        <v>22</v>
      </c>
      <c r="C805" t="s">
        <v>76</v>
      </c>
      <c r="D805" t="s">
        <v>77</v>
      </c>
      <c r="E805" s="1" t="s">
        <v>89</v>
      </c>
      <c r="F805" t="s">
        <v>90</v>
      </c>
      <c r="G805">
        <v>31</v>
      </c>
      <c r="H805">
        <v>126789781</v>
      </c>
      <c r="I805">
        <v>0</v>
      </c>
      <c r="J805">
        <v>51</v>
      </c>
      <c r="K805">
        <v>51</v>
      </c>
      <c r="L805">
        <v>-126789781</v>
      </c>
      <c r="M805">
        <v>1</v>
      </c>
      <c r="N805">
        <v>0</v>
      </c>
      <c r="O805" s="1" t="s">
        <v>1375</v>
      </c>
      <c r="P805">
        <v>0</v>
      </c>
      <c r="Q805">
        <v>0</v>
      </c>
      <c r="R805">
        <v>0</v>
      </c>
      <c r="S805">
        <v>0</v>
      </c>
      <c r="T805">
        <v>10.251031490000001</v>
      </c>
      <c r="U805">
        <f t="shared" si="24"/>
        <v>0</v>
      </c>
      <c r="V805">
        <f t="shared" si="25"/>
        <v>0</v>
      </c>
    </row>
    <row r="806" spans="1:22" x14ac:dyDescent="0.2">
      <c r="A806" t="s">
        <v>1374</v>
      </c>
      <c r="B806" t="s">
        <v>22</v>
      </c>
      <c r="C806" t="s">
        <v>76</v>
      </c>
      <c r="D806" t="s">
        <v>77</v>
      </c>
      <c r="E806">
        <v>15</v>
      </c>
      <c r="F806" t="s">
        <v>88</v>
      </c>
      <c r="G806">
        <v>72</v>
      </c>
      <c r="H806">
        <v>202346323</v>
      </c>
      <c r="I806">
        <v>0</v>
      </c>
      <c r="J806">
        <v>54</v>
      </c>
      <c r="K806">
        <v>74</v>
      </c>
      <c r="L806">
        <v>-202346323</v>
      </c>
      <c r="M806">
        <v>1</v>
      </c>
      <c r="N806">
        <v>0</v>
      </c>
      <c r="O806" s="1" t="s">
        <v>1376</v>
      </c>
      <c r="P806">
        <v>0</v>
      </c>
      <c r="Q806">
        <v>0</v>
      </c>
      <c r="R806">
        <v>0</v>
      </c>
      <c r="S806">
        <v>0</v>
      </c>
      <c r="T806">
        <v>10.251031490000001</v>
      </c>
      <c r="U806">
        <f t="shared" si="24"/>
        <v>0</v>
      </c>
      <c r="V806">
        <f t="shared" si="25"/>
        <v>0</v>
      </c>
    </row>
    <row r="807" spans="1:22" x14ac:dyDescent="0.2">
      <c r="A807" t="s">
        <v>1374</v>
      </c>
      <c r="B807" t="s">
        <v>22</v>
      </c>
      <c r="C807" t="s">
        <v>76</v>
      </c>
      <c r="D807" t="s">
        <v>77</v>
      </c>
      <c r="E807">
        <v>10</v>
      </c>
      <c r="F807" t="s">
        <v>119</v>
      </c>
      <c r="G807">
        <v>48</v>
      </c>
      <c r="H807">
        <v>13980926</v>
      </c>
      <c r="I807">
        <v>206117</v>
      </c>
      <c r="J807">
        <v>68</v>
      </c>
      <c r="K807">
        <v>60</v>
      </c>
      <c r="L807">
        <v>-13774809</v>
      </c>
      <c r="M807" s="1" t="s">
        <v>1377</v>
      </c>
      <c r="N807" s="1" t="s">
        <v>1378</v>
      </c>
      <c r="O807" s="1" t="s">
        <v>1379</v>
      </c>
      <c r="P807">
        <v>0</v>
      </c>
      <c r="Q807">
        <v>0</v>
      </c>
      <c r="R807">
        <v>0</v>
      </c>
      <c r="S807">
        <v>0</v>
      </c>
      <c r="T807">
        <v>10.251031490000001</v>
      </c>
      <c r="U807">
        <f t="shared" si="24"/>
        <v>0</v>
      </c>
      <c r="V807">
        <f t="shared" si="25"/>
        <v>0</v>
      </c>
    </row>
    <row r="808" spans="1:22" x14ac:dyDescent="0.2">
      <c r="A808" t="s">
        <v>1374</v>
      </c>
      <c r="B808" t="s">
        <v>22</v>
      </c>
      <c r="C808" t="s">
        <v>76</v>
      </c>
      <c r="D808" t="s">
        <v>77</v>
      </c>
      <c r="E808" s="1" t="s">
        <v>85</v>
      </c>
      <c r="F808" t="s">
        <v>86</v>
      </c>
      <c r="G808">
        <v>25</v>
      </c>
      <c r="H808">
        <v>3713285</v>
      </c>
      <c r="I808">
        <v>0</v>
      </c>
      <c r="J808">
        <v>52</v>
      </c>
      <c r="K808">
        <v>95</v>
      </c>
      <c r="L808">
        <v>-3713285</v>
      </c>
      <c r="M808">
        <v>1</v>
      </c>
      <c r="N808">
        <v>0</v>
      </c>
      <c r="O808">
        <v>8.3869887760391997E-3</v>
      </c>
      <c r="P808">
        <v>0</v>
      </c>
      <c r="Q808">
        <v>0</v>
      </c>
      <c r="R808">
        <v>0</v>
      </c>
      <c r="S808">
        <v>0</v>
      </c>
      <c r="T808">
        <v>10.251031490000001</v>
      </c>
      <c r="U808">
        <f t="shared" si="24"/>
        <v>0</v>
      </c>
      <c r="V808">
        <f t="shared" si="25"/>
        <v>0</v>
      </c>
    </row>
    <row r="809" spans="1:22" x14ac:dyDescent="0.2">
      <c r="A809" t="s">
        <v>1374</v>
      </c>
      <c r="B809" t="s">
        <v>22</v>
      </c>
      <c r="C809" t="s">
        <v>76</v>
      </c>
      <c r="D809" t="s">
        <v>77</v>
      </c>
      <c r="E809" s="1" t="s">
        <v>89</v>
      </c>
      <c r="F809" t="s">
        <v>90</v>
      </c>
      <c r="G809">
        <v>28</v>
      </c>
      <c r="H809">
        <v>5735561</v>
      </c>
      <c r="I809">
        <v>0</v>
      </c>
      <c r="J809">
        <v>88</v>
      </c>
      <c r="K809">
        <v>85</v>
      </c>
      <c r="L809">
        <v>-5735561</v>
      </c>
      <c r="M809">
        <v>1</v>
      </c>
      <c r="N809">
        <v>0</v>
      </c>
      <c r="O809" s="1" t="s">
        <v>1380</v>
      </c>
      <c r="P809">
        <v>0</v>
      </c>
      <c r="Q809">
        <v>0</v>
      </c>
      <c r="R809">
        <v>0</v>
      </c>
      <c r="S809">
        <v>0</v>
      </c>
      <c r="T809">
        <v>10.251031490000001</v>
      </c>
      <c r="U809">
        <f t="shared" si="24"/>
        <v>0</v>
      </c>
      <c r="V809">
        <f t="shared" si="25"/>
        <v>0</v>
      </c>
    </row>
    <row r="810" spans="1:22" x14ac:dyDescent="0.2">
      <c r="A810" t="s">
        <v>1374</v>
      </c>
      <c r="B810" t="s">
        <v>22</v>
      </c>
      <c r="C810" t="s">
        <v>76</v>
      </c>
      <c r="D810" t="s">
        <v>77</v>
      </c>
      <c r="E810">
        <v>17</v>
      </c>
      <c r="F810" t="s">
        <v>97</v>
      </c>
      <c r="G810">
        <v>87</v>
      </c>
      <c r="H810">
        <v>658995</v>
      </c>
      <c r="I810">
        <v>15</v>
      </c>
      <c r="J810">
        <v>99</v>
      </c>
      <c r="K810">
        <v>95</v>
      </c>
      <c r="L810">
        <v>-658980</v>
      </c>
      <c r="M810" s="1" t="s">
        <v>1381</v>
      </c>
      <c r="N810" s="1" t="s">
        <v>1382</v>
      </c>
      <c r="O810">
        <v>1.4884689630065E-3</v>
      </c>
      <c r="P810">
        <v>0</v>
      </c>
      <c r="Q810">
        <v>0</v>
      </c>
      <c r="R810">
        <v>0</v>
      </c>
      <c r="S810">
        <v>0</v>
      </c>
      <c r="T810">
        <v>10.251031490000001</v>
      </c>
      <c r="U810">
        <f t="shared" si="24"/>
        <v>0</v>
      </c>
      <c r="V810">
        <f t="shared" si="25"/>
        <v>0</v>
      </c>
    </row>
    <row r="811" spans="1:22" x14ac:dyDescent="0.2">
      <c r="A811" t="s">
        <v>1374</v>
      </c>
      <c r="B811" t="s">
        <v>22</v>
      </c>
      <c r="C811" t="s">
        <v>76</v>
      </c>
      <c r="D811" t="s">
        <v>77</v>
      </c>
      <c r="E811" s="1" t="s">
        <v>93</v>
      </c>
      <c r="F811" t="s">
        <v>94</v>
      </c>
      <c r="G811">
        <v>44</v>
      </c>
      <c r="H811">
        <v>1922841</v>
      </c>
      <c r="I811">
        <v>30</v>
      </c>
      <c r="J811">
        <v>88</v>
      </c>
      <c r="K811">
        <v>98</v>
      </c>
      <c r="L811">
        <v>-1922811</v>
      </c>
      <c r="M811" s="1" t="s">
        <v>1383</v>
      </c>
      <c r="N811" s="1" t="s">
        <v>1384</v>
      </c>
      <c r="O811">
        <v>4.3430809902205896E-3</v>
      </c>
      <c r="P811">
        <v>0</v>
      </c>
      <c r="Q811">
        <v>0</v>
      </c>
      <c r="R811">
        <v>0</v>
      </c>
      <c r="S811">
        <v>0</v>
      </c>
      <c r="T811">
        <v>10.251031490000001</v>
      </c>
      <c r="U811">
        <f t="shared" si="24"/>
        <v>0</v>
      </c>
      <c r="V811">
        <f t="shared" si="25"/>
        <v>0</v>
      </c>
    </row>
    <row r="812" spans="1:22" x14ac:dyDescent="0.2">
      <c r="A812" t="s">
        <v>1374</v>
      </c>
      <c r="B812" t="s">
        <v>22</v>
      </c>
      <c r="C812" t="s">
        <v>76</v>
      </c>
      <c r="D812" t="s">
        <v>77</v>
      </c>
      <c r="E812" s="1" t="s">
        <v>89</v>
      </c>
      <c r="F812" t="s">
        <v>90</v>
      </c>
      <c r="G812">
        <v>29</v>
      </c>
      <c r="H812">
        <v>4287371</v>
      </c>
      <c r="I812">
        <v>0</v>
      </c>
      <c r="J812">
        <v>73</v>
      </c>
      <c r="K812">
        <v>81</v>
      </c>
      <c r="L812">
        <v>-4287371</v>
      </c>
      <c r="M812">
        <v>1</v>
      </c>
      <c r="N812">
        <v>0</v>
      </c>
      <c r="O812">
        <v>9.6836446584940197E-3</v>
      </c>
      <c r="P812">
        <v>0</v>
      </c>
      <c r="Q812">
        <v>0</v>
      </c>
      <c r="R812">
        <v>0</v>
      </c>
      <c r="S812">
        <v>0</v>
      </c>
      <c r="T812">
        <v>10.251031490000001</v>
      </c>
      <c r="U812">
        <f t="shared" si="24"/>
        <v>0</v>
      </c>
      <c r="V812">
        <f t="shared" si="25"/>
        <v>0</v>
      </c>
    </row>
    <row r="813" spans="1:22" x14ac:dyDescent="0.2">
      <c r="A813" t="s">
        <v>1374</v>
      </c>
      <c r="B813" t="s">
        <v>22</v>
      </c>
      <c r="C813" t="s">
        <v>76</v>
      </c>
      <c r="D813" t="s">
        <v>77</v>
      </c>
      <c r="E813">
        <v>15</v>
      </c>
      <c r="F813" t="s">
        <v>88</v>
      </c>
      <c r="G813">
        <v>76</v>
      </c>
      <c r="H813">
        <v>115840</v>
      </c>
      <c r="I813">
        <v>0</v>
      </c>
      <c r="J813">
        <v>99</v>
      </c>
      <c r="K813">
        <v>92</v>
      </c>
      <c r="L813">
        <v>-115840</v>
      </c>
      <c r="M813">
        <v>1</v>
      </c>
      <c r="N813">
        <v>0</v>
      </c>
      <c r="O813" s="1" t="s">
        <v>1385</v>
      </c>
      <c r="P813">
        <v>0</v>
      </c>
      <c r="Q813">
        <v>0</v>
      </c>
      <c r="R813">
        <v>0</v>
      </c>
      <c r="S813">
        <v>0</v>
      </c>
      <c r="T813">
        <v>10.251031490000001</v>
      </c>
      <c r="U813">
        <f t="shared" si="24"/>
        <v>0</v>
      </c>
      <c r="V813">
        <f t="shared" si="25"/>
        <v>0</v>
      </c>
    </row>
    <row r="814" spans="1:22" x14ac:dyDescent="0.2">
      <c r="A814" t="s">
        <v>1374</v>
      </c>
      <c r="B814" t="s">
        <v>22</v>
      </c>
      <c r="C814" t="s">
        <v>76</v>
      </c>
      <c r="D814" t="s">
        <v>77</v>
      </c>
      <c r="E814" s="1" t="s">
        <v>89</v>
      </c>
      <c r="F814" t="s">
        <v>90</v>
      </c>
      <c r="G814">
        <v>34</v>
      </c>
      <c r="H814">
        <v>252784</v>
      </c>
      <c r="I814">
        <v>0</v>
      </c>
      <c r="J814">
        <v>71</v>
      </c>
      <c r="K814">
        <v>87</v>
      </c>
      <c r="L814">
        <v>-252784</v>
      </c>
      <c r="M814">
        <v>1</v>
      </c>
      <c r="N814">
        <v>0</v>
      </c>
      <c r="O814" s="1" t="s">
        <v>1386</v>
      </c>
      <c r="P814">
        <v>0</v>
      </c>
      <c r="Q814">
        <v>0</v>
      </c>
      <c r="R814">
        <v>0</v>
      </c>
      <c r="S814">
        <v>0</v>
      </c>
      <c r="T814">
        <v>10.251031490000001</v>
      </c>
      <c r="U814">
        <f t="shared" si="24"/>
        <v>0</v>
      </c>
      <c r="V814">
        <f t="shared" si="25"/>
        <v>0</v>
      </c>
    </row>
    <row r="815" spans="1:22" x14ac:dyDescent="0.2">
      <c r="A815" t="s">
        <v>1374</v>
      </c>
      <c r="B815" t="s">
        <v>22</v>
      </c>
      <c r="C815" t="s">
        <v>76</v>
      </c>
      <c r="D815" t="s">
        <v>77</v>
      </c>
      <c r="E815" s="1" t="s">
        <v>89</v>
      </c>
      <c r="F815" t="s">
        <v>90</v>
      </c>
      <c r="G815">
        <v>32</v>
      </c>
      <c r="H815">
        <v>1021954</v>
      </c>
      <c r="I815">
        <v>0</v>
      </c>
      <c r="J815">
        <v>49</v>
      </c>
      <c r="K815">
        <v>80</v>
      </c>
      <c r="L815">
        <v>-1021954</v>
      </c>
      <c r="M815">
        <v>1</v>
      </c>
      <c r="N815">
        <v>0</v>
      </c>
      <c r="O815">
        <v>2.3082302402396698E-3</v>
      </c>
      <c r="P815">
        <v>0</v>
      </c>
      <c r="Q815">
        <v>0</v>
      </c>
      <c r="R815">
        <v>0</v>
      </c>
      <c r="S815">
        <v>0</v>
      </c>
      <c r="T815">
        <v>10.251031490000001</v>
      </c>
      <c r="U815">
        <f t="shared" si="24"/>
        <v>0</v>
      </c>
      <c r="V815">
        <f t="shared" si="25"/>
        <v>0</v>
      </c>
    </row>
    <row r="816" spans="1:22" x14ac:dyDescent="0.2">
      <c r="A816" t="s">
        <v>1374</v>
      </c>
      <c r="B816" t="s">
        <v>22</v>
      </c>
      <c r="C816" t="s">
        <v>76</v>
      </c>
      <c r="D816" t="s">
        <v>77</v>
      </c>
      <c r="E816">
        <v>16</v>
      </c>
      <c r="F816" t="s">
        <v>95</v>
      </c>
      <c r="G816">
        <v>85</v>
      </c>
      <c r="H816">
        <v>743068</v>
      </c>
      <c r="I816">
        <v>58698</v>
      </c>
      <c r="J816">
        <v>105</v>
      </c>
      <c r="K816">
        <v>90</v>
      </c>
      <c r="L816">
        <v>-684370</v>
      </c>
      <c r="M816" s="1" t="s">
        <v>1387</v>
      </c>
      <c r="N816">
        <v>7.32108869670203E-2</v>
      </c>
      <c r="O816">
        <v>1.8109039416607799E-3</v>
      </c>
      <c r="P816">
        <v>0</v>
      </c>
      <c r="Q816">
        <v>0</v>
      </c>
      <c r="R816">
        <v>0</v>
      </c>
      <c r="S816">
        <v>0</v>
      </c>
      <c r="T816">
        <v>10.251031490000001</v>
      </c>
      <c r="U816">
        <f t="shared" si="24"/>
        <v>0</v>
      </c>
      <c r="V816">
        <f t="shared" si="25"/>
        <v>0</v>
      </c>
    </row>
    <row r="817" spans="1:22" x14ac:dyDescent="0.2">
      <c r="A817" t="s">
        <v>1374</v>
      </c>
      <c r="B817" t="s">
        <v>22</v>
      </c>
      <c r="C817" t="s">
        <v>76</v>
      </c>
      <c r="D817" t="s">
        <v>77</v>
      </c>
      <c r="E817">
        <v>16</v>
      </c>
      <c r="F817" t="s">
        <v>95</v>
      </c>
      <c r="G817">
        <v>84</v>
      </c>
      <c r="H817">
        <v>1830976</v>
      </c>
      <c r="I817">
        <v>402</v>
      </c>
      <c r="J817">
        <v>95</v>
      </c>
      <c r="K817">
        <v>111</v>
      </c>
      <c r="L817">
        <v>-1830574</v>
      </c>
      <c r="M817" s="1" t="s">
        <v>1388</v>
      </c>
      <c r="N817" s="1" t="s">
        <v>1389</v>
      </c>
      <c r="O817">
        <v>4.13643087742662E-3</v>
      </c>
      <c r="P817">
        <v>0</v>
      </c>
      <c r="Q817">
        <v>0</v>
      </c>
      <c r="R817">
        <v>0</v>
      </c>
      <c r="S817">
        <v>0</v>
      </c>
      <c r="T817">
        <v>10.251031490000001</v>
      </c>
      <c r="U817">
        <f t="shared" si="24"/>
        <v>0</v>
      </c>
      <c r="V817">
        <f t="shared" si="25"/>
        <v>0</v>
      </c>
    </row>
    <row r="818" spans="1:22" x14ac:dyDescent="0.2">
      <c r="A818" t="s">
        <v>1374</v>
      </c>
      <c r="B818" t="s">
        <v>22</v>
      </c>
      <c r="C818" t="s">
        <v>76</v>
      </c>
      <c r="D818" t="s">
        <v>77</v>
      </c>
      <c r="E818" s="1" t="s">
        <v>99</v>
      </c>
      <c r="F818" t="s">
        <v>100</v>
      </c>
      <c r="G818">
        <v>39</v>
      </c>
      <c r="H818">
        <v>1840374</v>
      </c>
      <c r="I818">
        <v>35</v>
      </c>
      <c r="J818">
        <v>78</v>
      </c>
      <c r="K818">
        <v>103</v>
      </c>
      <c r="L818">
        <v>-1840339</v>
      </c>
      <c r="M818" s="1" t="s">
        <v>1390</v>
      </c>
      <c r="N818" s="1" t="s">
        <v>1391</v>
      </c>
      <c r="O818">
        <v>4.1568286911243101E-3</v>
      </c>
      <c r="P818">
        <v>0</v>
      </c>
      <c r="Q818">
        <v>0</v>
      </c>
      <c r="R818">
        <v>0</v>
      </c>
      <c r="S818">
        <v>0</v>
      </c>
      <c r="T818">
        <v>10.251031490000001</v>
      </c>
      <c r="U818">
        <f t="shared" si="24"/>
        <v>0</v>
      </c>
      <c r="V818">
        <f t="shared" si="25"/>
        <v>0</v>
      </c>
    </row>
    <row r="819" spans="1:22" x14ac:dyDescent="0.2">
      <c r="A819" t="s">
        <v>1374</v>
      </c>
      <c r="B819" t="s">
        <v>22</v>
      </c>
      <c r="C819" t="s">
        <v>76</v>
      </c>
      <c r="D819" t="s">
        <v>77</v>
      </c>
      <c r="E819" s="1" t="s">
        <v>138</v>
      </c>
      <c r="F819" t="s">
        <v>139</v>
      </c>
      <c r="G819">
        <v>22</v>
      </c>
      <c r="H819">
        <v>252888</v>
      </c>
      <c r="I819">
        <v>2225760</v>
      </c>
      <c r="J819">
        <v>92</v>
      </c>
      <c r="K819">
        <v>49</v>
      </c>
      <c r="L819">
        <v>1972872</v>
      </c>
      <c r="M819" s="1" t="s">
        <v>1392</v>
      </c>
      <c r="N819" s="1" t="s">
        <v>1393</v>
      </c>
      <c r="O819">
        <v>5.5983833602193198E-3</v>
      </c>
      <c r="P819">
        <v>0</v>
      </c>
      <c r="Q819">
        <v>0</v>
      </c>
      <c r="R819">
        <v>0</v>
      </c>
      <c r="S819">
        <v>0</v>
      </c>
      <c r="T819">
        <v>10.251031490000001</v>
      </c>
      <c r="U819">
        <f t="shared" si="24"/>
        <v>0</v>
      </c>
      <c r="V819">
        <f t="shared" si="25"/>
        <v>0</v>
      </c>
    </row>
    <row r="820" spans="1:22" x14ac:dyDescent="0.2">
      <c r="A820" t="s">
        <v>1374</v>
      </c>
      <c r="B820" t="s">
        <v>22</v>
      </c>
      <c r="C820" t="s">
        <v>76</v>
      </c>
      <c r="D820" t="s">
        <v>77</v>
      </c>
      <c r="E820">
        <v>18</v>
      </c>
      <c r="F820" t="s">
        <v>147</v>
      </c>
      <c r="G820">
        <v>90</v>
      </c>
      <c r="H820">
        <v>88576</v>
      </c>
      <c r="I820">
        <v>0</v>
      </c>
      <c r="J820">
        <v>115</v>
      </c>
      <c r="K820">
        <v>103</v>
      </c>
      <c r="L820">
        <v>-88576</v>
      </c>
      <c r="M820">
        <v>1</v>
      </c>
      <c r="N820">
        <v>0</v>
      </c>
      <c r="O820" s="1" t="s">
        <v>1394</v>
      </c>
      <c r="P820">
        <v>0</v>
      </c>
      <c r="Q820">
        <v>0</v>
      </c>
      <c r="R820">
        <v>0</v>
      </c>
      <c r="S820">
        <v>0</v>
      </c>
      <c r="T820">
        <v>10.251031490000001</v>
      </c>
      <c r="U820">
        <f t="shared" si="24"/>
        <v>0</v>
      </c>
      <c r="V820">
        <f t="shared" si="25"/>
        <v>0</v>
      </c>
    </row>
    <row r="821" spans="1:22" x14ac:dyDescent="0.2">
      <c r="A821" t="s">
        <v>1374</v>
      </c>
      <c r="B821" t="s">
        <v>22</v>
      </c>
      <c r="C821" t="s">
        <v>76</v>
      </c>
      <c r="D821" t="s">
        <v>77</v>
      </c>
      <c r="E821" s="1" t="s">
        <v>89</v>
      </c>
      <c r="F821" t="s">
        <v>90</v>
      </c>
      <c r="G821">
        <v>30</v>
      </c>
      <c r="H821">
        <v>73866</v>
      </c>
      <c r="I821">
        <v>29</v>
      </c>
      <c r="J821">
        <v>101</v>
      </c>
      <c r="K821">
        <v>87</v>
      </c>
      <c r="L821">
        <v>-73837</v>
      </c>
      <c r="M821" s="1" t="s">
        <v>1395</v>
      </c>
      <c r="N821" s="1" t="s">
        <v>1396</v>
      </c>
      <c r="O821" s="1" t="s">
        <v>1397</v>
      </c>
      <c r="P821">
        <v>0</v>
      </c>
      <c r="Q821">
        <v>0</v>
      </c>
      <c r="R821">
        <v>0</v>
      </c>
      <c r="S821">
        <v>0</v>
      </c>
      <c r="T821">
        <v>10.251031490000001</v>
      </c>
      <c r="U821">
        <f t="shared" si="24"/>
        <v>0</v>
      </c>
      <c r="V821">
        <f t="shared" si="25"/>
        <v>0</v>
      </c>
    </row>
    <row r="822" spans="1:22" x14ac:dyDescent="0.2">
      <c r="A822" t="s">
        <v>1374</v>
      </c>
      <c r="B822" t="s">
        <v>22</v>
      </c>
      <c r="C822" t="s">
        <v>76</v>
      </c>
      <c r="D822" t="s">
        <v>77</v>
      </c>
      <c r="E822">
        <v>13</v>
      </c>
      <c r="F822" t="s">
        <v>91</v>
      </c>
      <c r="G822">
        <v>70</v>
      </c>
      <c r="H822">
        <v>2630</v>
      </c>
      <c r="I822">
        <v>0</v>
      </c>
      <c r="J822">
        <v>112</v>
      </c>
      <c r="K822">
        <v>88</v>
      </c>
      <c r="L822">
        <v>-2630</v>
      </c>
      <c r="M822">
        <v>1</v>
      </c>
      <c r="N822">
        <v>0</v>
      </c>
      <c r="O822" s="1" t="s">
        <v>1398</v>
      </c>
      <c r="P822">
        <v>0</v>
      </c>
      <c r="Q822">
        <v>0</v>
      </c>
      <c r="R822">
        <v>0</v>
      </c>
      <c r="S822">
        <v>0</v>
      </c>
      <c r="T822">
        <v>10.251031490000001</v>
      </c>
      <c r="U822">
        <f t="shared" si="24"/>
        <v>0</v>
      </c>
      <c r="V822">
        <f t="shared" si="25"/>
        <v>0</v>
      </c>
    </row>
    <row r="823" spans="1:22" x14ac:dyDescent="0.2">
      <c r="A823" t="s">
        <v>1374</v>
      </c>
      <c r="B823" t="s">
        <v>22</v>
      </c>
      <c r="C823" t="s">
        <v>76</v>
      </c>
      <c r="D823" t="s">
        <v>77</v>
      </c>
      <c r="E823">
        <v>11</v>
      </c>
      <c r="F823" t="s">
        <v>127</v>
      </c>
      <c r="G823">
        <v>62</v>
      </c>
      <c r="H823">
        <v>179430</v>
      </c>
      <c r="I823">
        <v>756</v>
      </c>
      <c r="J823">
        <v>57</v>
      </c>
      <c r="K823">
        <v>91</v>
      </c>
      <c r="L823">
        <v>-178674</v>
      </c>
      <c r="M823" s="1" t="s">
        <v>1399</v>
      </c>
      <c r="N823">
        <v>4.1956644800372903E-3</v>
      </c>
      <c r="O823" s="1" t="s">
        <v>1400</v>
      </c>
      <c r="P823">
        <v>0</v>
      </c>
      <c r="Q823">
        <v>0</v>
      </c>
      <c r="R823">
        <v>0</v>
      </c>
      <c r="S823">
        <v>0</v>
      </c>
      <c r="T823">
        <v>10.251031490000001</v>
      </c>
      <c r="U823">
        <f t="shared" si="24"/>
        <v>0</v>
      </c>
      <c r="V823">
        <f t="shared" si="25"/>
        <v>0</v>
      </c>
    </row>
    <row r="824" spans="1:22" x14ac:dyDescent="0.2">
      <c r="A824" t="s">
        <v>1374</v>
      </c>
      <c r="B824" t="s">
        <v>22</v>
      </c>
      <c r="C824" t="s">
        <v>76</v>
      </c>
      <c r="D824" t="s">
        <v>77</v>
      </c>
      <c r="E824">
        <v>20</v>
      </c>
      <c r="F824" t="s">
        <v>104</v>
      </c>
      <c r="G824">
        <v>94</v>
      </c>
      <c r="H824">
        <v>3590</v>
      </c>
      <c r="I824">
        <v>1003</v>
      </c>
      <c r="J824">
        <v>119</v>
      </c>
      <c r="K824">
        <v>90</v>
      </c>
      <c r="L824">
        <v>-2587</v>
      </c>
      <c r="M824" s="1" t="s">
        <v>1401</v>
      </c>
      <c r="N824" s="1" t="s">
        <v>1402</v>
      </c>
      <c r="O824" s="1" t="s">
        <v>1403</v>
      </c>
      <c r="P824">
        <v>0</v>
      </c>
      <c r="Q824">
        <v>0</v>
      </c>
      <c r="R824">
        <v>0</v>
      </c>
      <c r="S824">
        <v>0</v>
      </c>
      <c r="T824">
        <v>10.251031490000001</v>
      </c>
      <c r="U824">
        <f t="shared" si="24"/>
        <v>0</v>
      </c>
      <c r="V824">
        <f t="shared" si="25"/>
        <v>0</v>
      </c>
    </row>
    <row r="825" spans="1:22" x14ac:dyDescent="0.2">
      <c r="A825" t="s">
        <v>1374</v>
      </c>
      <c r="B825" t="s">
        <v>22</v>
      </c>
      <c r="C825" t="s">
        <v>76</v>
      </c>
      <c r="D825" t="s">
        <v>77</v>
      </c>
      <c r="E825" s="1" t="s">
        <v>99</v>
      </c>
      <c r="F825" t="s">
        <v>100</v>
      </c>
      <c r="G825">
        <v>40</v>
      </c>
      <c r="H825">
        <v>258890</v>
      </c>
      <c r="I825">
        <v>0</v>
      </c>
      <c r="J825">
        <v>100</v>
      </c>
      <c r="K825">
        <v>97</v>
      </c>
      <c r="L825">
        <v>-258890</v>
      </c>
      <c r="M825">
        <v>1</v>
      </c>
      <c r="N825">
        <v>0</v>
      </c>
      <c r="O825" s="1" t="s">
        <v>1404</v>
      </c>
      <c r="P825">
        <v>0</v>
      </c>
      <c r="Q825">
        <v>0</v>
      </c>
      <c r="R825">
        <v>0</v>
      </c>
      <c r="S825">
        <v>0</v>
      </c>
      <c r="T825">
        <v>10.251031490000001</v>
      </c>
      <c r="U825">
        <f t="shared" si="24"/>
        <v>0</v>
      </c>
      <c r="V825">
        <f t="shared" si="25"/>
        <v>0</v>
      </c>
    </row>
    <row r="826" spans="1:22" x14ac:dyDescent="0.2">
      <c r="A826" t="s">
        <v>1374</v>
      </c>
      <c r="B826" t="s">
        <v>22</v>
      </c>
      <c r="C826" t="s">
        <v>76</v>
      </c>
      <c r="D826" t="s">
        <v>77</v>
      </c>
      <c r="E826">
        <v>15</v>
      </c>
      <c r="F826" t="s">
        <v>88</v>
      </c>
      <c r="G826">
        <v>83</v>
      </c>
      <c r="H826">
        <v>9980</v>
      </c>
      <c r="I826">
        <v>0</v>
      </c>
      <c r="J826">
        <v>94</v>
      </c>
      <c r="K826">
        <v>85</v>
      </c>
      <c r="L826">
        <v>-9980</v>
      </c>
      <c r="M826">
        <v>1</v>
      </c>
      <c r="N826">
        <v>0</v>
      </c>
      <c r="O826" s="1" t="s">
        <v>1405</v>
      </c>
      <c r="P826">
        <v>0</v>
      </c>
      <c r="Q826">
        <v>0</v>
      </c>
      <c r="R826">
        <v>0</v>
      </c>
      <c r="S826">
        <v>0</v>
      </c>
      <c r="T826">
        <v>10.251031490000001</v>
      </c>
      <c r="U826">
        <f t="shared" si="24"/>
        <v>0</v>
      </c>
      <c r="V826">
        <f t="shared" si="25"/>
        <v>0</v>
      </c>
    </row>
    <row r="827" spans="1:22" x14ac:dyDescent="0.2">
      <c r="A827" t="s">
        <v>1374</v>
      </c>
      <c r="B827" t="s">
        <v>22</v>
      </c>
      <c r="C827" t="s">
        <v>76</v>
      </c>
      <c r="D827" t="s">
        <v>77</v>
      </c>
      <c r="E827">
        <v>15</v>
      </c>
      <c r="F827" t="s">
        <v>88</v>
      </c>
      <c r="G827">
        <v>73</v>
      </c>
      <c r="H827">
        <v>194978</v>
      </c>
      <c r="I827">
        <v>0</v>
      </c>
      <c r="J827">
        <v>103</v>
      </c>
      <c r="K827">
        <v>103</v>
      </c>
      <c r="L827">
        <v>-194978</v>
      </c>
      <c r="M827">
        <v>1</v>
      </c>
      <c r="N827">
        <v>0</v>
      </c>
      <c r="O827" s="1" t="s">
        <v>1406</v>
      </c>
      <c r="P827">
        <v>0</v>
      </c>
      <c r="Q827">
        <v>0</v>
      </c>
      <c r="R827">
        <v>0</v>
      </c>
      <c r="S827">
        <v>0</v>
      </c>
      <c r="T827">
        <v>10.251031490000001</v>
      </c>
      <c r="U827">
        <f t="shared" si="24"/>
        <v>0</v>
      </c>
      <c r="V827">
        <f t="shared" si="25"/>
        <v>0</v>
      </c>
    </row>
    <row r="828" spans="1:22" x14ac:dyDescent="0.2">
      <c r="A828" t="s">
        <v>1374</v>
      </c>
      <c r="B828" t="s">
        <v>22</v>
      </c>
      <c r="C828" t="s">
        <v>76</v>
      </c>
      <c r="D828" t="s">
        <v>77</v>
      </c>
      <c r="E828">
        <v>20</v>
      </c>
      <c r="F828" t="s">
        <v>104</v>
      </c>
      <c r="G828">
        <v>95</v>
      </c>
      <c r="H828">
        <v>1598</v>
      </c>
      <c r="I828">
        <v>260</v>
      </c>
      <c r="J828">
        <v>114</v>
      </c>
      <c r="K828">
        <v>85</v>
      </c>
      <c r="L828">
        <v>-1338</v>
      </c>
      <c r="M828">
        <v>0.86006458557588805</v>
      </c>
      <c r="N828" s="1" t="s">
        <v>1407</v>
      </c>
      <c r="O828" s="1" t="s">
        <v>1408</v>
      </c>
      <c r="P828">
        <v>0</v>
      </c>
      <c r="Q828">
        <v>0</v>
      </c>
      <c r="R828">
        <v>0</v>
      </c>
      <c r="S828">
        <v>0</v>
      </c>
      <c r="T828">
        <v>10.251031490000001</v>
      </c>
      <c r="U828">
        <f t="shared" si="24"/>
        <v>0</v>
      </c>
      <c r="V828">
        <f t="shared" si="25"/>
        <v>0</v>
      </c>
    </row>
    <row r="829" spans="1:22" x14ac:dyDescent="0.2">
      <c r="A829" t="s">
        <v>1374</v>
      </c>
      <c r="B829" t="s">
        <v>22</v>
      </c>
      <c r="C829" t="s">
        <v>76</v>
      </c>
      <c r="D829" t="s">
        <v>77</v>
      </c>
      <c r="E829">
        <v>20</v>
      </c>
      <c r="F829" t="s">
        <v>104</v>
      </c>
      <c r="G829">
        <v>96</v>
      </c>
      <c r="H829">
        <v>546</v>
      </c>
      <c r="I829">
        <v>0</v>
      </c>
      <c r="J829">
        <v>109</v>
      </c>
      <c r="K829">
        <v>90</v>
      </c>
      <c r="L829">
        <v>-546</v>
      </c>
      <c r="M829">
        <v>1</v>
      </c>
      <c r="N829">
        <v>0</v>
      </c>
      <c r="O829" s="1" t="s">
        <v>1409</v>
      </c>
      <c r="P829">
        <v>0</v>
      </c>
      <c r="Q829">
        <v>0</v>
      </c>
      <c r="R829">
        <v>0</v>
      </c>
      <c r="S829">
        <v>0</v>
      </c>
      <c r="T829">
        <v>10.251031490000001</v>
      </c>
      <c r="U829">
        <f t="shared" si="24"/>
        <v>0</v>
      </c>
      <c r="V829">
        <f t="shared" si="25"/>
        <v>0</v>
      </c>
    </row>
    <row r="830" spans="1:22" x14ac:dyDescent="0.2">
      <c r="A830" t="s">
        <v>1374</v>
      </c>
      <c r="B830" t="s">
        <v>22</v>
      </c>
      <c r="C830" t="s">
        <v>76</v>
      </c>
      <c r="D830" t="s">
        <v>77</v>
      </c>
      <c r="E830" s="1" t="s">
        <v>163</v>
      </c>
      <c r="F830" t="s">
        <v>224</v>
      </c>
      <c r="G830">
        <v>42</v>
      </c>
      <c r="H830">
        <v>170</v>
      </c>
      <c r="I830">
        <v>50</v>
      </c>
      <c r="J830">
        <v>117</v>
      </c>
      <c r="K830">
        <v>95</v>
      </c>
      <c r="L830">
        <v>-120</v>
      </c>
      <c r="M830" s="1" t="s">
        <v>1410</v>
      </c>
      <c r="N830" s="1" t="s">
        <v>1411</v>
      </c>
      <c r="O830" s="1" t="s">
        <v>1412</v>
      </c>
      <c r="P830">
        <v>0</v>
      </c>
      <c r="Q830">
        <v>0</v>
      </c>
      <c r="R830">
        <v>0</v>
      </c>
      <c r="S830">
        <v>0</v>
      </c>
      <c r="T830">
        <v>10.251031490000001</v>
      </c>
      <c r="U830">
        <f t="shared" si="24"/>
        <v>0</v>
      </c>
      <c r="V830">
        <f t="shared" si="25"/>
        <v>0</v>
      </c>
    </row>
    <row r="831" spans="1:22" x14ac:dyDescent="0.2">
      <c r="A831" t="s">
        <v>1374</v>
      </c>
      <c r="B831" t="s">
        <v>22</v>
      </c>
      <c r="C831" t="s">
        <v>76</v>
      </c>
      <c r="D831" t="s">
        <v>77</v>
      </c>
      <c r="E831" s="1" t="s">
        <v>138</v>
      </c>
      <c r="F831" t="s">
        <v>139</v>
      </c>
      <c r="G831">
        <v>21</v>
      </c>
      <c r="H831">
        <v>174788</v>
      </c>
      <c r="I831">
        <v>169</v>
      </c>
      <c r="J831">
        <v>82</v>
      </c>
      <c r="K831">
        <v>95</v>
      </c>
      <c r="L831">
        <v>-174619</v>
      </c>
      <c r="M831" s="1" t="s">
        <v>1413</v>
      </c>
      <c r="N831" s="1" t="s">
        <v>1414</v>
      </c>
      <c r="O831" s="1" t="s">
        <v>1415</v>
      </c>
      <c r="P831">
        <v>0</v>
      </c>
      <c r="Q831">
        <v>0</v>
      </c>
      <c r="R831">
        <v>0</v>
      </c>
      <c r="S831">
        <v>0</v>
      </c>
      <c r="T831">
        <v>10.251031490000001</v>
      </c>
      <c r="U831">
        <f t="shared" si="24"/>
        <v>0</v>
      </c>
      <c r="V831">
        <f t="shared" si="25"/>
        <v>0</v>
      </c>
    </row>
    <row r="832" spans="1:22" x14ac:dyDescent="0.2">
      <c r="A832" t="s">
        <v>1374</v>
      </c>
      <c r="B832" t="s">
        <v>22</v>
      </c>
      <c r="C832" t="s">
        <v>76</v>
      </c>
      <c r="D832" t="s">
        <v>77</v>
      </c>
      <c r="E832">
        <v>12</v>
      </c>
      <c r="F832" t="s">
        <v>194</v>
      </c>
      <c r="G832">
        <v>66</v>
      </c>
      <c r="H832">
        <v>104</v>
      </c>
      <c r="I832">
        <v>0</v>
      </c>
      <c r="J832">
        <v>57</v>
      </c>
      <c r="K832">
        <v>57</v>
      </c>
      <c r="L832">
        <v>-104</v>
      </c>
      <c r="M832">
        <v>1</v>
      </c>
      <c r="N832">
        <v>0</v>
      </c>
      <c r="O832" s="1" t="s">
        <v>1416</v>
      </c>
      <c r="P832">
        <v>0</v>
      </c>
      <c r="Q832">
        <v>0</v>
      </c>
      <c r="R832">
        <v>0</v>
      </c>
      <c r="S832">
        <v>0</v>
      </c>
      <c r="T832">
        <v>10.251031490000001</v>
      </c>
      <c r="U832">
        <f t="shared" si="24"/>
        <v>0</v>
      </c>
      <c r="V832">
        <f t="shared" si="25"/>
        <v>0</v>
      </c>
    </row>
    <row r="833" spans="1:22" x14ac:dyDescent="0.2">
      <c r="A833" t="s">
        <v>1374</v>
      </c>
      <c r="B833" t="s">
        <v>22</v>
      </c>
      <c r="C833" t="s">
        <v>76</v>
      </c>
      <c r="D833" t="s">
        <v>77</v>
      </c>
      <c r="E833" s="1" t="s">
        <v>85</v>
      </c>
      <c r="F833" t="s">
        <v>86</v>
      </c>
      <c r="G833">
        <v>27</v>
      </c>
      <c r="H833">
        <v>404124</v>
      </c>
      <c r="I833">
        <v>0</v>
      </c>
      <c r="J833">
        <v>125</v>
      </c>
      <c r="K833">
        <v>91</v>
      </c>
      <c r="L833">
        <v>-404124</v>
      </c>
      <c r="M833">
        <v>1</v>
      </c>
      <c r="N833">
        <v>0</v>
      </c>
      <c r="O833" s="1" t="s">
        <v>1417</v>
      </c>
      <c r="P833">
        <v>0</v>
      </c>
      <c r="Q833">
        <v>0</v>
      </c>
      <c r="R833">
        <v>0</v>
      </c>
      <c r="S833">
        <v>0</v>
      </c>
      <c r="T833">
        <v>10.251031490000001</v>
      </c>
      <c r="U833">
        <f t="shared" si="24"/>
        <v>0</v>
      </c>
      <c r="V833">
        <f t="shared" si="25"/>
        <v>0</v>
      </c>
    </row>
    <row r="834" spans="1:22" x14ac:dyDescent="0.2">
      <c r="A834" t="s">
        <v>1374</v>
      </c>
      <c r="B834" t="s">
        <v>22</v>
      </c>
      <c r="C834" t="s">
        <v>76</v>
      </c>
      <c r="D834" t="s">
        <v>77</v>
      </c>
      <c r="E834" s="1" t="s">
        <v>82</v>
      </c>
      <c r="F834" t="s">
        <v>83</v>
      </c>
      <c r="G834" s="1" t="s">
        <v>93</v>
      </c>
      <c r="H834">
        <v>32</v>
      </c>
      <c r="I834">
        <v>24523130</v>
      </c>
      <c r="J834">
        <v>103</v>
      </c>
      <c r="K834">
        <v>25</v>
      </c>
      <c r="L834">
        <v>24523098</v>
      </c>
      <c r="M834" s="1" t="s">
        <v>1418</v>
      </c>
      <c r="N834" s="1" t="s">
        <v>1419</v>
      </c>
      <c r="O834">
        <v>5.5389091989166202E-2</v>
      </c>
      <c r="P834">
        <v>0</v>
      </c>
      <c r="Q834">
        <v>0</v>
      </c>
      <c r="R834">
        <v>0</v>
      </c>
      <c r="S834">
        <v>0</v>
      </c>
      <c r="T834">
        <v>10.251031490000001</v>
      </c>
      <c r="U834">
        <f t="shared" si="24"/>
        <v>0</v>
      </c>
      <c r="V834">
        <f t="shared" si="25"/>
        <v>0</v>
      </c>
    </row>
    <row r="835" spans="1:22" x14ac:dyDescent="0.2">
      <c r="A835" t="s">
        <v>1374</v>
      </c>
      <c r="B835" t="s">
        <v>22</v>
      </c>
      <c r="C835" t="s">
        <v>76</v>
      </c>
      <c r="D835" t="s">
        <v>77</v>
      </c>
      <c r="E835">
        <v>10</v>
      </c>
      <c r="F835" t="s">
        <v>119</v>
      </c>
      <c r="G835">
        <v>49</v>
      </c>
      <c r="H835">
        <v>1787</v>
      </c>
      <c r="I835">
        <v>170</v>
      </c>
      <c r="J835">
        <v>113</v>
      </c>
      <c r="K835">
        <v>97</v>
      </c>
      <c r="L835">
        <v>-1617</v>
      </c>
      <c r="M835" s="1" t="s">
        <v>1420</v>
      </c>
      <c r="N835">
        <v>8.68676545733265E-2</v>
      </c>
      <c r="O835" s="1" t="s">
        <v>1421</v>
      </c>
      <c r="P835">
        <v>0</v>
      </c>
      <c r="Q835">
        <v>0</v>
      </c>
      <c r="R835">
        <v>0</v>
      </c>
      <c r="S835">
        <v>0</v>
      </c>
      <c r="T835">
        <v>10.251031490000001</v>
      </c>
      <c r="U835">
        <f t="shared" ref="U835:U898" si="26">IF(OR(P835=1,Q835=1),1,0)</f>
        <v>0</v>
      </c>
      <c r="V835">
        <f t="shared" ref="V835:V898" si="27">IF(OR(R835=1,S835=1),1,0)</f>
        <v>0</v>
      </c>
    </row>
    <row r="836" spans="1:22" x14ac:dyDescent="0.2">
      <c r="A836" t="s">
        <v>1374</v>
      </c>
      <c r="B836" t="s">
        <v>22</v>
      </c>
      <c r="C836" t="s">
        <v>76</v>
      </c>
      <c r="D836" t="s">
        <v>77</v>
      </c>
      <c r="E836" s="1" t="s">
        <v>89</v>
      </c>
      <c r="F836" t="s">
        <v>90</v>
      </c>
      <c r="G836">
        <v>33</v>
      </c>
      <c r="H836">
        <v>437832</v>
      </c>
      <c r="I836">
        <v>125</v>
      </c>
      <c r="J836">
        <v>77</v>
      </c>
      <c r="K836">
        <v>90</v>
      </c>
      <c r="L836">
        <v>-437707</v>
      </c>
      <c r="M836" s="1" t="s">
        <v>1422</v>
      </c>
      <c r="N836" s="1" t="s">
        <v>1423</v>
      </c>
      <c r="O836" s="1" t="s">
        <v>1424</v>
      </c>
      <c r="P836">
        <v>0</v>
      </c>
      <c r="Q836">
        <v>0</v>
      </c>
      <c r="R836">
        <v>0</v>
      </c>
      <c r="S836">
        <v>0</v>
      </c>
      <c r="T836">
        <v>10.251031490000001</v>
      </c>
      <c r="U836">
        <f t="shared" si="26"/>
        <v>0</v>
      </c>
      <c r="V836">
        <f t="shared" si="27"/>
        <v>0</v>
      </c>
    </row>
    <row r="837" spans="1:22" x14ac:dyDescent="0.2">
      <c r="A837" t="s">
        <v>1374</v>
      </c>
      <c r="B837" t="s">
        <v>22</v>
      </c>
      <c r="C837" t="s">
        <v>76</v>
      </c>
      <c r="D837" t="s">
        <v>77</v>
      </c>
      <c r="E837">
        <v>11</v>
      </c>
      <c r="F837" t="s">
        <v>127</v>
      </c>
      <c r="G837">
        <v>63</v>
      </c>
      <c r="H837">
        <v>49</v>
      </c>
      <c r="I837">
        <v>273</v>
      </c>
      <c r="J837">
        <v>124</v>
      </c>
      <c r="K837">
        <v>102</v>
      </c>
      <c r="L837">
        <v>224</v>
      </c>
      <c r="M837" s="1" t="s">
        <v>1425</v>
      </c>
      <c r="N837" s="1" t="s">
        <v>1426</v>
      </c>
      <c r="O837" s="1" t="s">
        <v>1427</v>
      </c>
      <c r="P837">
        <v>0</v>
      </c>
      <c r="Q837">
        <v>0</v>
      </c>
      <c r="R837">
        <v>0</v>
      </c>
      <c r="S837">
        <v>0</v>
      </c>
      <c r="T837">
        <v>10.251031490000001</v>
      </c>
      <c r="U837">
        <f t="shared" si="26"/>
        <v>0</v>
      </c>
      <c r="V837">
        <f t="shared" si="27"/>
        <v>0</v>
      </c>
    </row>
    <row r="838" spans="1:22" x14ac:dyDescent="0.2">
      <c r="A838" t="s">
        <v>1374</v>
      </c>
      <c r="B838" t="s">
        <v>22</v>
      </c>
      <c r="C838" t="s">
        <v>76</v>
      </c>
      <c r="D838" t="s">
        <v>77</v>
      </c>
      <c r="E838">
        <v>12</v>
      </c>
      <c r="F838" t="s">
        <v>194</v>
      </c>
      <c r="G838">
        <v>64</v>
      </c>
      <c r="H838">
        <v>29319</v>
      </c>
      <c r="I838">
        <v>309</v>
      </c>
      <c r="J838">
        <v>65</v>
      </c>
      <c r="K838">
        <v>87</v>
      </c>
      <c r="L838">
        <v>-29010</v>
      </c>
      <c r="M838" s="1" t="s">
        <v>1428</v>
      </c>
      <c r="N838" s="1" t="s">
        <v>1429</v>
      </c>
      <c r="O838" s="1" t="s">
        <v>1430</v>
      </c>
      <c r="P838">
        <v>0</v>
      </c>
      <c r="Q838">
        <v>0</v>
      </c>
      <c r="R838">
        <v>0</v>
      </c>
      <c r="S838">
        <v>0</v>
      </c>
      <c r="T838">
        <v>10.251031490000001</v>
      </c>
      <c r="U838">
        <f t="shared" si="26"/>
        <v>0</v>
      </c>
      <c r="V838">
        <f t="shared" si="27"/>
        <v>0</v>
      </c>
    </row>
    <row r="839" spans="1:22" x14ac:dyDescent="0.2">
      <c r="A839" t="s">
        <v>1374</v>
      </c>
      <c r="B839" t="s">
        <v>22</v>
      </c>
      <c r="C839" t="s">
        <v>76</v>
      </c>
      <c r="D839" t="s">
        <v>77</v>
      </c>
      <c r="E839">
        <v>13</v>
      </c>
      <c r="F839" t="s">
        <v>91</v>
      </c>
      <c r="G839">
        <v>69</v>
      </c>
      <c r="H839">
        <v>1891</v>
      </c>
      <c r="I839">
        <v>482</v>
      </c>
      <c r="J839">
        <v>101</v>
      </c>
      <c r="K839">
        <v>82</v>
      </c>
      <c r="L839">
        <v>-1409</v>
      </c>
      <c r="M839" s="1" t="s">
        <v>1431</v>
      </c>
      <c r="N839" s="1" t="s">
        <v>1432</v>
      </c>
      <c r="O839" s="1" t="s">
        <v>1433</v>
      </c>
      <c r="P839">
        <v>0</v>
      </c>
      <c r="Q839">
        <v>0</v>
      </c>
      <c r="R839">
        <v>0</v>
      </c>
      <c r="S839">
        <v>0</v>
      </c>
      <c r="T839">
        <v>10.251031490000001</v>
      </c>
      <c r="U839">
        <f t="shared" si="26"/>
        <v>0</v>
      </c>
      <c r="V839">
        <f t="shared" si="27"/>
        <v>0</v>
      </c>
    </row>
    <row r="840" spans="1:22" x14ac:dyDescent="0.2">
      <c r="A840" t="s">
        <v>1374</v>
      </c>
      <c r="B840" t="s">
        <v>22</v>
      </c>
      <c r="C840" t="s">
        <v>76</v>
      </c>
      <c r="D840" t="s">
        <v>77</v>
      </c>
      <c r="E840" s="1" t="s">
        <v>82</v>
      </c>
      <c r="F840" t="s">
        <v>83</v>
      </c>
      <c r="G840">
        <v>12</v>
      </c>
      <c r="H840">
        <v>0</v>
      </c>
      <c r="I840">
        <v>232650</v>
      </c>
      <c r="J840">
        <v>103</v>
      </c>
      <c r="K840">
        <v>60</v>
      </c>
      <c r="L840">
        <v>232650</v>
      </c>
      <c r="M840">
        <v>0</v>
      </c>
      <c r="N840">
        <v>1</v>
      </c>
      <c r="O840" s="1" t="s">
        <v>1434</v>
      </c>
      <c r="P840">
        <v>0</v>
      </c>
      <c r="Q840">
        <v>0</v>
      </c>
      <c r="R840">
        <v>0</v>
      </c>
      <c r="S840">
        <v>0</v>
      </c>
      <c r="T840">
        <v>10.251031490000001</v>
      </c>
      <c r="U840">
        <f t="shared" si="26"/>
        <v>0</v>
      </c>
      <c r="V840">
        <f t="shared" si="27"/>
        <v>0</v>
      </c>
    </row>
    <row r="841" spans="1:22" x14ac:dyDescent="0.2">
      <c r="A841" t="s">
        <v>1374</v>
      </c>
      <c r="B841" t="s">
        <v>22</v>
      </c>
      <c r="C841" t="s">
        <v>76</v>
      </c>
      <c r="D841" t="s">
        <v>77</v>
      </c>
      <c r="E841" s="1" t="s">
        <v>82</v>
      </c>
      <c r="F841" t="s">
        <v>83</v>
      </c>
      <c r="G841" s="1" t="s">
        <v>99</v>
      </c>
      <c r="H841">
        <v>0</v>
      </c>
      <c r="I841">
        <v>379325</v>
      </c>
      <c r="J841">
        <v>106</v>
      </c>
      <c r="K841">
        <v>53</v>
      </c>
      <c r="L841">
        <v>379325</v>
      </c>
      <c r="M841">
        <v>0</v>
      </c>
      <c r="N841">
        <v>1</v>
      </c>
      <c r="O841" s="1" t="s">
        <v>1435</v>
      </c>
      <c r="P841">
        <v>0</v>
      </c>
      <c r="Q841">
        <v>0</v>
      </c>
      <c r="R841">
        <v>0</v>
      </c>
      <c r="S841">
        <v>0</v>
      </c>
      <c r="T841">
        <v>10.251031490000001</v>
      </c>
      <c r="U841">
        <f t="shared" si="26"/>
        <v>0</v>
      </c>
      <c r="V841">
        <f t="shared" si="27"/>
        <v>0</v>
      </c>
    </row>
    <row r="842" spans="1:22" x14ac:dyDescent="0.2">
      <c r="A842" t="s">
        <v>1374</v>
      </c>
      <c r="B842" t="s">
        <v>22</v>
      </c>
      <c r="C842" t="s">
        <v>76</v>
      </c>
      <c r="D842" t="s">
        <v>77</v>
      </c>
      <c r="E842" s="1" t="s">
        <v>138</v>
      </c>
      <c r="F842" t="s">
        <v>139</v>
      </c>
      <c r="G842">
        <v>17</v>
      </c>
      <c r="H842">
        <v>620</v>
      </c>
      <c r="I842">
        <v>6537849</v>
      </c>
      <c r="J842">
        <v>104</v>
      </c>
      <c r="K842">
        <v>24</v>
      </c>
      <c r="L842">
        <v>6537229</v>
      </c>
      <c r="M842" s="1" t="s">
        <v>1436</v>
      </c>
      <c r="N842" s="1" t="s">
        <v>1437</v>
      </c>
      <c r="O842">
        <v>1.47680735832235E-2</v>
      </c>
      <c r="P842">
        <v>0</v>
      </c>
      <c r="Q842">
        <v>0</v>
      </c>
      <c r="R842">
        <v>0</v>
      </c>
      <c r="S842">
        <v>0</v>
      </c>
      <c r="T842">
        <v>10.251031490000001</v>
      </c>
      <c r="U842">
        <f t="shared" si="26"/>
        <v>0</v>
      </c>
      <c r="V842">
        <f t="shared" si="27"/>
        <v>0</v>
      </c>
    </row>
    <row r="843" spans="1:22" x14ac:dyDescent="0.2">
      <c r="A843" t="s">
        <v>1374</v>
      </c>
      <c r="B843" t="s">
        <v>22</v>
      </c>
      <c r="C843" t="s">
        <v>76</v>
      </c>
      <c r="D843" t="s">
        <v>77</v>
      </c>
      <c r="E843" s="1" t="s">
        <v>82</v>
      </c>
      <c r="F843" t="s">
        <v>83</v>
      </c>
      <c r="G843" s="1" t="s">
        <v>163</v>
      </c>
      <c r="H843">
        <v>0</v>
      </c>
      <c r="I843">
        <v>14953348</v>
      </c>
      <c r="J843">
        <v>74</v>
      </c>
      <c r="K843">
        <v>40</v>
      </c>
      <c r="L843">
        <v>14953348</v>
      </c>
      <c r="M843">
        <v>0</v>
      </c>
      <c r="N843">
        <v>1</v>
      </c>
      <c r="O843">
        <v>3.3774289299153798E-2</v>
      </c>
      <c r="P843">
        <v>0</v>
      </c>
      <c r="Q843">
        <v>0</v>
      </c>
      <c r="R843">
        <v>0</v>
      </c>
      <c r="S843">
        <v>0</v>
      </c>
      <c r="T843">
        <v>10.251031490000001</v>
      </c>
      <c r="U843">
        <f t="shared" si="26"/>
        <v>0</v>
      </c>
      <c r="V843">
        <f t="shared" si="27"/>
        <v>0</v>
      </c>
    </row>
    <row r="844" spans="1:22" x14ac:dyDescent="0.2">
      <c r="A844" t="s">
        <v>1374</v>
      </c>
      <c r="B844" t="s">
        <v>22</v>
      </c>
      <c r="C844" t="s">
        <v>76</v>
      </c>
      <c r="D844" t="s">
        <v>77</v>
      </c>
      <c r="E844" s="1" t="s">
        <v>138</v>
      </c>
      <c r="F844" t="s">
        <v>139</v>
      </c>
      <c r="G844">
        <v>24</v>
      </c>
      <c r="H844">
        <v>0</v>
      </c>
      <c r="I844">
        <v>24667516</v>
      </c>
      <c r="J844">
        <v>98</v>
      </c>
      <c r="K844">
        <v>23</v>
      </c>
      <c r="L844">
        <v>24667516</v>
      </c>
      <c r="M844">
        <v>0</v>
      </c>
      <c r="N844">
        <v>1</v>
      </c>
      <c r="O844">
        <v>5.5715136280885397E-2</v>
      </c>
      <c r="P844">
        <v>0</v>
      </c>
      <c r="Q844">
        <v>0</v>
      </c>
      <c r="R844">
        <v>0</v>
      </c>
      <c r="S844">
        <v>0</v>
      </c>
      <c r="T844">
        <v>10.251031490000001</v>
      </c>
      <c r="U844">
        <f t="shared" si="26"/>
        <v>0</v>
      </c>
      <c r="V844">
        <f t="shared" si="27"/>
        <v>0</v>
      </c>
    </row>
    <row r="845" spans="1:22" x14ac:dyDescent="0.2">
      <c r="A845" t="s">
        <v>1438</v>
      </c>
      <c r="B845" t="s">
        <v>23</v>
      </c>
      <c r="C845" t="s">
        <v>76</v>
      </c>
      <c r="D845" t="s">
        <v>77</v>
      </c>
      <c r="E845" s="1" t="s">
        <v>89</v>
      </c>
      <c r="F845" t="s">
        <v>90</v>
      </c>
      <c r="G845">
        <v>31</v>
      </c>
      <c r="H845">
        <v>267864480</v>
      </c>
      <c r="I845">
        <v>7805401</v>
      </c>
      <c r="J845">
        <v>37</v>
      </c>
      <c r="K845">
        <v>13</v>
      </c>
      <c r="L845">
        <v>-260059079</v>
      </c>
      <c r="M845" s="1" t="s">
        <v>1439</v>
      </c>
      <c r="N845">
        <v>2.8314304673712199E-2</v>
      </c>
      <c r="O845" s="1" t="s">
        <v>1440</v>
      </c>
      <c r="P845">
        <v>0</v>
      </c>
      <c r="Q845">
        <v>0</v>
      </c>
      <c r="R845">
        <v>0</v>
      </c>
      <c r="S845">
        <v>0</v>
      </c>
      <c r="T845">
        <v>4.5962645599999998</v>
      </c>
      <c r="U845">
        <f t="shared" si="26"/>
        <v>0</v>
      </c>
      <c r="V845">
        <f t="shared" si="27"/>
        <v>0</v>
      </c>
    </row>
    <row r="846" spans="1:22" x14ac:dyDescent="0.2">
      <c r="A846" t="s">
        <v>1438</v>
      </c>
      <c r="B846" t="s">
        <v>23</v>
      </c>
      <c r="C846" t="s">
        <v>76</v>
      </c>
      <c r="D846" t="s">
        <v>77</v>
      </c>
      <c r="E846">
        <v>10</v>
      </c>
      <c r="F846" t="s">
        <v>119</v>
      </c>
      <c r="G846">
        <v>48</v>
      </c>
      <c r="H846">
        <v>8553898</v>
      </c>
      <c r="I846">
        <v>55863</v>
      </c>
      <c r="J846">
        <v>78</v>
      </c>
      <c r="K846">
        <v>70</v>
      </c>
      <c r="L846">
        <v>-8498035</v>
      </c>
      <c r="M846" s="1" t="s">
        <v>1441</v>
      </c>
      <c r="N846">
        <v>6.4883334159914503E-3</v>
      </c>
      <c r="O846" s="1" t="s">
        <v>1442</v>
      </c>
      <c r="P846">
        <v>0</v>
      </c>
      <c r="Q846">
        <v>0</v>
      </c>
      <c r="R846">
        <v>0</v>
      </c>
      <c r="S846">
        <v>0</v>
      </c>
      <c r="T846">
        <v>4.5962645599999998</v>
      </c>
      <c r="U846">
        <f t="shared" si="26"/>
        <v>0</v>
      </c>
      <c r="V846">
        <f t="shared" si="27"/>
        <v>0</v>
      </c>
    </row>
    <row r="847" spans="1:22" x14ac:dyDescent="0.2">
      <c r="A847" t="s">
        <v>1438</v>
      </c>
      <c r="B847" t="s">
        <v>23</v>
      </c>
      <c r="C847" t="s">
        <v>76</v>
      </c>
      <c r="D847" t="s">
        <v>77</v>
      </c>
      <c r="E847" s="1" t="s">
        <v>89</v>
      </c>
      <c r="F847" t="s">
        <v>90</v>
      </c>
      <c r="G847">
        <v>28</v>
      </c>
      <c r="H847">
        <v>12673295</v>
      </c>
      <c r="I847">
        <v>852021</v>
      </c>
      <c r="J847">
        <v>70</v>
      </c>
      <c r="K847">
        <v>59</v>
      </c>
      <c r="L847">
        <v>-11821274</v>
      </c>
      <c r="M847" s="1" t="s">
        <v>1443</v>
      </c>
      <c r="N847">
        <v>6.2994535580536498E-2</v>
      </c>
      <c r="O847" s="1" t="s">
        <v>1444</v>
      </c>
      <c r="P847">
        <v>0</v>
      </c>
      <c r="Q847">
        <v>0</v>
      </c>
      <c r="R847">
        <v>0</v>
      </c>
      <c r="S847">
        <v>0</v>
      </c>
      <c r="T847">
        <v>4.5962645599999998</v>
      </c>
      <c r="U847">
        <f t="shared" si="26"/>
        <v>0</v>
      </c>
      <c r="V847">
        <f t="shared" si="27"/>
        <v>0</v>
      </c>
    </row>
    <row r="848" spans="1:22" x14ac:dyDescent="0.2">
      <c r="A848" t="s">
        <v>1438</v>
      </c>
      <c r="B848" t="s">
        <v>23</v>
      </c>
      <c r="C848" t="s">
        <v>76</v>
      </c>
      <c r="D848" t="s">
        <v>77</v>
      </c>
      <c r="E848">
        <v>15</v>
      </c>
      <c r="F848" t="s">
        <v>88</v>
      </c>
      <c r="G848">
        <v>82</v>
      </c>
      <c r="H848">
        <v>3555832</v>
      </c>
      <c r="I848">
        <v>0</v>
      </c>
      <c r="J848">
        <v>33</v>
      </c>
      <c r="K848">
        <v>96</v>
      </c>
      <c r="L848">
        <v>-3555832</v>
      </c>
      <c r="M848">
        <v>1</v>
      </c>
      <c r="N848">
        <v>0</v>
      </c>
      <c r="O848">
        <v>8.7895289240999003E-3</v>
      </c>
      <c r="P848">
        <v>0</v>
      </c>
      <c r="Q848">
        <v>0</v>
      </c>
      <c r="R848">
        <v>0</v>
      </c>
      <c r="S848">
        <v>0</v>
      </c>
      <c r="T848">
        <v>4.5962645599999998</v>
      </c>
      <c r="U848">
        <f t="shared" si="26"/>
        <v>0</v>
      </c>
      <c r="V848">
        <f t="shared" si="27"/>
        <v>0</v>
      </c>
    </row>
    <row r="849" spans="1:22" x14ac:dyDescent="0.2">
      <c r="A849" t="s">
        <v>1438</v>
      </c>
      <c r="B849" t="s">
        <v>23</v>
      </c>
      <c r="C849" t="s">
        <v>76</v>
      </c>
      <c r="D849" t="s">
        <v>77</v>
      </c>
      <c r="E849">
        <v>15</v>
      </c>
      <c r="F849" t="s">
        <v>88</v>
      </c>
      <c r="G849">
        <v>76</v>
      </c>
      <c r="H849">
        <v>3715003</v>
      </c>
      <c r="I849">
        <v>2946143</v>
      </c>
      <c r="J849">
        <v>76</v>
      </c>
      <c r="K849">
        <v>45</v>
      </c>
      <c r="L849">
        <v>-768860</v>
      </c>
      <c r="M849" s="1" t="s">
        <v>1445</v>
      </c>
      <c r="N849" s="1" t="s">
        <v>1446</v>
      </c>
      <c r="O849" s="1" t="s">
        <v>1447</v>
      </c>
      <c r="P849">
        <v>0</v>
      </c>
      <c r="Q849">
        <v>0</v>
      </c>
      <c r="R849">
        <v>0</v>
      </c>
      <c r="S849">
        <v>0</v>
      </c>
      <c r="T849">
        <v>4.5962645599999998</v>
      </c>
      <c r="U849">
        <f t="shared" si="26"/>
        <v>0</v>
      </c>
      <c r="V849">
        <f t="shared" si="27"/>
        <v>0</v>
      </c>
    </row>
    <row r="850" spans="1:22" x14ac:dyDescent="0.2">
      <c r="A850" t="s">
        <v>1438</v>
      </c>
      <c r="B850" t="s">
        <v>23</v>
      </c>
      <c r="C850" t="s">
        <v>76</v>
      </c>
      <c r="D850" t="s">
        <v>77</v>
      </c>
      <c r="E850">
        <v>16</v>
      </c>
      <c r="F850" t="s">
        <v>95</v>
      </c>
      <c r="G850">
        <v>85</v>
      </c>
      <c r="H850">
        <v>726781</v>
      </c>
      <c r="I850">
        <v>101806</v>
      </c>
      <c r="J850">
        <v>106</v>
      </c>
      <c r="K850">
        <v>89</v>
      </c>
      <c r="L850">
        <v>-624975</v>
      </c>
      <c r="M850" s="1" t="s">
        <v>1448</v>
      </c>
      <c r="N850" s="1" t="s">
        <v>1449</v>
      </c>
      <c r="O850">
        <v>2.0481534005636799E-3</v>
      </c>
      <c r="P850">
        <v>0</v>
      </c>
      <c r="Q850">
        <v>0</v>
      </c>
      <c r="R850">
        <v>0</v>
      </c>
      <c r="S850">
        <v>0</v>
      </c>
      <c r="T850">
        <v>4.5962645599999998</v>
      </c>
      <c r="U850">
        <f t="shared" si="26"/>
        <v>0</v>
      </c>
      <c r="V850">
        <f t="shared" si="27"/>
        <v>0</v>
      </c>
    </row>
    <row r="851" spans="1:22" x14ac:dyDescent="0.2">
      <c r="A851" t="s">
        <v>1438</v>
      </c>
      <c r="B851" t="s">
        <v>23</v>
      </c>
      <c r="C851" t="s">
        <v>76</v>
      </c>
      <c r="D851" t="s">
        <v>77</v>
      </c>
      <c r="E851" s="1" t="s">
        <v>89</v>
      </c>
      <c r="F851" t="s">
        <v>90</v>
      </c>
      <c r="G851">
        <v>29</v>
      </c>
      <c r="H851">
        <v>1092718</v>
      </c>
      <c r="I851">
        <v>6883</v>
      </c>
      <c r="J851">
        <v>91</v>
      </c>
      <c r="K851">
        <v>72</v>
      </c>
      <c r="L851">
        <v>-1085835</v>
      </c>
      <c r="M851" s="1" t="s">
        <v>1450</v>
      </c>
      <c r="N851">
        <v>6.2595432343186298E-3</v>
      </c>
      <c r="O851">
        <v>2.7180628315593E-3</v>
      </c>
      <c r="P851">
        <v>0</v>
      </c>
      <c r="Q851">
        <v>0</v>
      </c>
      <c r="R851">
        <v>0</v>
      </c>
      <c r="S851">
        <v>0</v>
      </c>
      <c r="T851">
        <v>4.5962645599999998</v>
      </c>
      <c r="U851">
        <f t="shared" si="26"/>
        <v>0</v>
      </c>
      <c r="V851">
        <f t="shared" si="27"/>
        <v>0</v>
      </c>
    </row>
    <row r="852" spans="1:22" x14ac:dyDescent="0.2">
      <c r="A852" t="s">
        <v>1438</v>
      </c>
      <c r="B852" t="s">
        <v>23</v>
      </c>
      <c r="C852" t="s">
        <v>76</v>
      </c>
      <c r="D852" t="s">
        <v>77</v>
      </c>
      <c r="E852" s="1" t="s">
        <v>85</v>
      </c>
      <c r="F852" t="s">
        <v>86</v>
      </c>
      <c r="G852">
        <v>25</v>
      </c>
      <c r="H852">
        <v>716656</v>
      </c>
      <c r="I852">
        <v>5432</v>
      </c>
      <c r="J852">
        <v>76</v>
      </c>
      <c r="K852">
        <v>79</v>
      </c>
      <c r="L852">
        <v>-711224</v>
      </c>
      <c r="M852">
        <v>0.99247737117913604</v>
      </c>
      <c r="N852">
        <v>7.5226288208639297E-3</v>
      </c>
      <c r="O852">
        <v>1.7849024818229399E-3</v>
      </c>
      <c r="P852">
        <v>0</v>
      </c>
      <c r="Q852">
        <v>0</v>
      </c>
      <c r="R852">
        <v>0</v>
      </c>
      <c r="S852">
        <v>0</v>
      </c>
      <c r="T852">
        <v>4.5962645599999998</v>
      </c>
      <c r="U852">
        <f t="shared" si="26"/>
        <v>0</v>
      </c>
      <c r="V852">
        <f t="shared" si="27"/>
        <v>0</v>
      </c>
    </row>
    <row r="853" spans="1:22" x14ac:dyDescent="0.2">
      <c r="A853" t="s">
        <v>1438</v>
      </c>
      <c r="B853" t="s">
        <v>23</v>
      </c>
      <c r="C853" t="s">
        <v>76</v>
      </c>
      <c r="D853" t="s">
        <v>77</v>
      </c>
      <c r="E853" s="1" t="s">
        <v>89</v>
      </c>
      <c r="F853" t="s">
        <v>90</v>
      </c>
      <c r="G853">
        <v>33</v>
      </c>
      <c r="H853">
        <v>330618</v>
      </c>
      <c r="I853">
        <v>0</v>
      </c>
      <c r="J853">
        <v>83</v>
      </c>
      <c r="K853">
        <v>95</v>
      </c>
      <c r="L853">
        <v>-330618</v>
      </c>
      <c r="M853">
        <v>1</v>
      </c>
      <c r="N853">
        <v>0</v>
      </c>
      <c r="O853" s="1" t="s">
        <v>1451</v>
      </c>
      <c r="P853">
        <v>0</v>
      </c>
      <c r="Q853">
        <v>0</v>
      </c>
      <c r="R853">
        <v>0</v>
      </c>
      <c r="S853">
        <v>0</v>
      </c>
      <c r="T853">
        <v>4.5962645599999998</v>
      </c>
      <c r="U853">
        <f t="shared" si="26"/>
        <v>0</v>
      </c>
      <c r="V853">
        <f t="shared" si="27"/>
        <v>0</v>
      </c>
    </row>
    <row r="854" spans="1:22" x14ac:dyDescent="0.2">
      <c r="A854" t="s">
        <v>1438</v>
      </c>
      <c r="B854" t="s">
        <v>23</v>
      </c>
      <c r="C854" t="s">
        <v>76</v>
      </c>
      <c r="D854" t="s">
        <v>77</v>
      </c>
      <c r="E854" s="1" t="s">
        <v>138</v>
      </c>
      <c r="F854" t="s">
        <v>139</v>
      </c>
      <c r="G854">
        <v>22</v>
      </c>
      <c r="H854">
        <v>143488</v>
      </c>
      <c r="I854">
        <v>0</v>
      </c>
      <c r="J854">
        <v>99</v>
      </c>
      <c r="K854">
        <v>98</v>
      </c>
      <c r="L854">
        <v>-143488</v>
      </c>
      <c r="M854">
        <v>1</v>
      </c>
      <c r="N854">
        <v>0</v>
      </c>
      <c r="O854" s="1" t="s">
        <v>1452</v>
      </c>
      <c r="P854">
        <v>0</v>
      </c>
      <c r="Q854">
        <v>0</v>
      </c>
      <c r="R854">
        <v>0</v>
      </c>
      <c r="S854">
        <v>0</v>
      </c>
      <c r="T854">
        <v>4.5962645599999998</v>
      </c>
      <c r="U854">
        <f t="shared" si="26"/>
        <v>0</v>
      </c>
      <c r="V854">
        <f t="shared" si="27"/>
        <v>0</v>
      </c>
    </row>
    <row r="855" spans="1:22" x14ac:dyDescent="0.2">
      <c r="A855" t="s">
        <v>1438</v>
      </c>
      <c r="B855" t="s">
        <v>23</v>
      </c>
      <c r="C855" t="s">
        <v>76</v>
      </c>
      <c r="D855" t="s">
        <v>77</v>
      </c>
      <c r="E855">
        <v>15</v>
      </c>
      <c r="F855" t="s">
        <v>88</v>
      </c>
      <c r="G855">
        <v>72</v>
      </c>
      <c r="H855">
        <v>42304327</v>
      </c>
      <c r="I855">
        <v>3665</v>
      </c>
      <c r="J855">
        <v>76</v>
      </c>
      <c r="K855">
        <v>71</v>
      </c>
      <c r="L855">
        <v>-42300662</v>
      </c>
      <c r="M855" s="1" t="s">
        <v>1453</v>
      </c>
      <c r="N855" s="1" t="s">
        <v>1454</v>
      </c>
      <c r="O855" s="1" t="s">
        <v>1455</v>
      </c>
      <c r="P855">
        <v>0</v>
      </c>
      <c r="Q855">
        <v>0</v>
      </c>
      <c r="R855">
        <v>0</v>
      </c>
      <c r="S855">
        <v>0</v>
      </c>
      <c r="T855">
        <v>4.5962645599999998</v>
      </c>
      <c r="U855">
        <f t="shared" si="26"/>
        <v>0</v>
      </c>
      <c r="V855">
        <f t="shared" si="27"/>
        <v>0</v>
      </c>
    </row>
    <row r="856" spans="1:22" x14ac:dyDescent="0.2">
      <c r="A856" t="s">
        <v>1438</v>
      </c>
      <c r="B856" t="s">
        <v>23</v>
      </c>
      <c r="C856" t="s">
        <v>76</v>
      </c>
      <c r="D856" t="s">
        <v>77</v>
      </c>
      <c r="E856" s="1" t="s">
        <v>93</v>
      </c>
      <c r="F856" t="s">
        <v>94</v>
      </c>
      <c r="G856">
        <v>44</v>
      </c>
      <c r="H856">
        <v>348204</v>
      </c>
      <c r="I856">
        <v>1112</v>
      </c>
      <c r="J856">
        <v>106</v>
      </c>
      <c r="K856">
        <v>90</v>
      </c>
      <c r="L856">
        <v>-347092</v>
      </c>
      <c r="M856" s="1" t="s">
        <v>1456</v>
      </c>
      <c r="N856">
        <v>3.1833640600487799E-3</v>
      </c>
      <c r="O856" s="1" t="s">
        <v>1457</v>
      </c>
      <c r="P856">
        <v>0</v>
      </c>
      <c r="Q856">
        <v>0</v>
      </c>
      <c r="R856">
        <v>0</v>
      </c>
      <c r="S856">
        <v>0</v>
      </c>
      <c r="T856">
        <v>4.5962645599999998</v>
      </c>
      <c r="U856">
        <f t="shared" si="26"/>
        <v>0</v>
      </c>
      <c r="V856">
        <f t="shared" si="27"/>
        <v>0</v>
      </c>
    </row>
    <row r="857" spans="1:22" x14ac:dyDescent="0.2">
      <c r="A857" t="s">
        <v>1438</v>
      </c>
      <c r="B857" t="s">
        <v>23</v>
      </c>
      <c r="C857" t="s">
        <v>76</v>
      </c>
      <c r="D857" t="s">
        <v>77</v>
      </c>
      <c r="E857">
        <v>17</v>
      </c>
      <c r="F857" t="s">
        <v>97</v>
      </c>
      <c r="G857">
        <v>87</v>
      </c>
      <c r="H857">
        <v>497669</v>
      </c>
      <c r="I857">
        <v>598</v>
      </c>
      <c r="J857">
        <v>105</v>
      </c>
      <c r="K857">
        <v>93</v>
      </c>
      <c r="L857">
        <v>-497071</v>
      </c>
      <c r="M857" s="1" t="s">
        <v>1458</v>
      </c>
      <c r="N857">
        <v>1.2001597537063401E-3</v>
      </c>
      <c r="O857">
        <v>1.23164767301281E-3</v>
      </c>
      <c r="P857">
        <v>0</v>
      </c>
      <c r="Q857">
        <v>0</v>
      </c>
      <c r="R857">
        <v>0</v>
      </c>
      <c r="S857">
        <v>0</v>
      </c>
      <c r="T857">
        <v>4.5962645599999998</v>
      </c>
      <c r="U857">
        <f t="shared" si="26"/>
        <v>0</v>
      </c>
      <c r="V857">
        <f t="shared" si="27"/>
        <v>0</v>
      </c>
    </row>
    <row r="858" spans="1:22" x14ac:dyDescent="0.2">
      <c r="A858" t="s">
        <v>1438</v>
      </c>
      <c r="B858" t="s">
        <v>23</v>
      </c>
      <c r="C858" t="s">
        <v>76</v>
      </c>
      <c r="D858" t="s">
        <v>77</v>
      </c>
      <c r="E858">
        <v>16</v>
      </c>
      <c r="F858" t="s">
        <v>95</v>
      </c>
      <c r="G858">
        <v>84</v>
      </c>
      <c r="H858">
        <v>66721</v>
      </c>
      <c r="I858">
        <v>1127</v>
      </c>
      <c r="J858">
        <v>136</v>
      </c>
      <c r="K858">
        <v>108</v>
      </c>
      <c r="L858">
        <v>-65594</v>
      </c>
      <c r="M858" s="1" t="s">
        <v>1459</v>
      </c>
      <c r="N858" s="1" t="s">
        <v>1460</v>
      </c>
      <c r="O858" s="1" t="s">
        <v>1461</v>
      </c>
      <c r="P858">
        <v>0</v>
      </c>
      <c r="Q858">
        <v>0</v>
      </c>
      <c r="R858">
        <v>0</v>
      </c>
      <c r="S858">
        <v>0</v>
      </c>
      <c r="T858">
        <v>4.5962645599999998</v>
      </c>
      <c r="U858">
        <f t="shared" si="26"/>
        <v>0</v>
      </c>
      <c r="V858">
        <f t="shared" si="27"/>
        <v>0</v>
      </c>
    </row>
    <row r="859" spans="1:22" x14ac:dyDescent="0.2">
      <c r="A859" t="s">
        <v>1438</v>
      </c>
      <c r="B859" t="s">
        <v>23</v>
      </c>
      <c r="C859" t="s">
        <v>76</v>
      </c>
      <c r="D859" t="s">
        <v>77</v>
      </c>
      <c r="E859">
        <v>18</v>
      </c>
      <c r="F859" t="s">
        <v>147</v>
      </c>
      <c r="G859">
        <v>90</v>
      </c>
      <c r="H859">
        <v>118844</v>
      </c>
      <c r="I859">
        <v>0</v>
      </c>
      <c r="J859">
        <v>110</v>
      </c>
      <c r="K859">
        <v>103</v>
      </c>
      <c r="L859">
        <v>-118844</v>
      </c>
      <c r="M859">
        <v>1</v>
      </c>
      <c r="N859">
        <v>0</v>
      </c>
      <c r="O859" s="1" t="s">
        <v>1462</v>
      </c>
      <c r="P859">
        <v>0</v>
      </c>
      <c r="Q859">
        <v>0</v>
      </c>
      <c r="R859">
        <v>0</v>
      </c>
      <c r="S859">
        <v>0</v>
      </c>
      <c r="T859">
        <v>4.5962645599999998</v>
      </c>
      <c r="U859">
        <f t="shared" si="26"/>
        <v>0</v>
      </c>
      <c r="V859">
        <f t="shared" si="27"/>
        <v>0</v>
      </c>
    </row>
    <row r="860" spans="1:22" x14ac:dyDescent="0.2">
      <c r="A860" t="s">
        <v>1438</v>
      </c>
      <c r="B860" t="s">
        <v>23</v>
      </c>
      <c r="C860" t="s">
        <v>76</v>
      </c>
      <c r="D860" t="s">
        <v>77</v>
      </c>
      <c r="E860" s="1" t="s">
        <v>89</v>
      </c>
      <c r="F860" t="s">
        <v>90</v>
      </c>
      <c r="G860">
        <v>38</v>
      </c>
      <c r="H860">
        <v>12329</v>
      </c>
      <c r="I860">
        <v>0</v>
      </c>
      <c r="J860">
        <v>115</v>
      </c>
      <c r="K860">
        <v>87</v>
      </c>
      <c r="L860">
        <v>-12329</v>
      </c>
      <c r="M860">
        <v>1</v>
      </c>
      <c r="N860">
        <v>0</v>
      </c>
      <c r="O860" s="1" t="s">
        <v>1463</v>
      </c>
      <c r="P860">
        <v>0</v>
      </c>
      <c r="Q860">
        <v>0</v>
      </c>
      <c r="R860">
        <v>0</v>
      </c>
      <c r="S860">
        <v>0</v>
      </c>
      <c r="T860">
        <v>4.5962645599999998</v>
      </c>
      <c r="U860">
        <f t="shared" si="26"/>
        <v>0</v>
      </c>
      <c r="V860">
        <f t="shared" si="27"/>
        <v>0</v>
      </c>
    </row>
    <row r="861" spans="1:22" x14ac:dyDescent="0.2">
      <c r="A861" t="s">
        <v>1438</v>
      </c>
      <c r="B861" t="s">
        <v>23</v>
      </c>
      <c r="C861" t="s">
        <v>76</v>
      </c>
      <c r="D861" t="s">
        <v>77</v>
      </c>
      <c r="E861">
        <v>11</v>
      </c>
      <c r="F861" t="s">
        <v>127</v>
      </c>
      <c r="G861">
        <v>63</v>
      </c>
      <c r="H861">
        <v>10915</v>
      </c>
      <c r="I861">
        <v>0</v>
      </c>
      <c r="J861">
        <v>98</v>
      </c>
      <c r="K861">
        <v>108</v>
      </c>
      <c r="L861">
        <v>-10915</v>
      </c>
      <c r="M861">
        <v>1</v>
      </c>
      <c r="N861">
        <v>0</v>
      </c>
      <c r="O861" s="1" t="s">
        <v>1464</v>
      </c>
      <c r="P861">
        <v>0</v>
      </c>
      <c r="Q861">
        <v>0</v>
      </c>
      <c r="R861">
        <v>0</v>
      </c>
      <c r="S861">
        <v>0</v>
      </c>
      <c r="T861">
        <v>4.5962645599999998</v>
      </c>
      <c r="U861">
        <f t="shared" si="26"/>
        <v>0</v>
      </c>
      <c r="V861">
        <f t="shared" si="27"/>
        <v>0</v>
      </c>
    </row>
    <row r="862" spans="1:22" x14ac:dyDescent="0.2">
      <c r="A862" t="s">
        <v>1438</v>
      </c>
      <c r="B862" t="s">
        <v>23</v>
      </c>
      <c r="C862" t="s">
        <v>76</v>
      </c>
      <c r="D862" t="s">
        <v>77</v>
      </c>
      <c r="E862">
        <v>20</v>
      </c>
      <c r="F862" t="s">
        <v>104</v>
      </c>
      <c r="G862">
        <v>95</v>
      </c>
      <c r="H862">
        <v>9935</v>
      </c>
      <c r="I862">
        <v>0</v>
      </c>
      <c r="J862">
        <v>95</v>
      </c>
      <c r="K862">
        <v>91</v>
      </c>
      <c r="L862">
        <v>-9935</v>
      </c>
      <c r="M862">
        <v>1</v>
      </c>
      <c r="N862">
        <v>0</v>
      </c>
      <c r="O862" s="1" t="s">
        <v>1465</v>
      </c>
      <c r="P862">
        <v>0</v>
      </c>
      <c r="Q862">
        <v>0</v>
      </c>
      <c r="R862">
        <v>0</v>
      </c>
      <c r="S862">
        <v>0</v>
      </c>
      <c r="T862">
        <v>4.5962645599999998</v>
      </c>
      <c r="U862">
        <f t="shared" si="26"/>
        <v>0</v>
      </c>
      <c r="V862">
        <f t="shared" si="27"/>
        <v>0</v>
      </c>
    </row>
    <row r="863" spans="1:22" x14ac:dyDescent="0.2">
      <c r="A863" t="s">
        <v>1438</v>
      </c>
      <c r="B863" t="s">
        <v>23</v>
      </c>
      <c r="C863" t="s">
        <v>76</v>
      </c>
      <c r="D863" t="s">
        <v>77</v>
      </c>
      <c r="E863" s="1" t="s">
        <v>99</v>
      </c>
      <c r="F863" t="s">
        <v>100</v>
      </c>
      <c r="G863">
        <v>40</v>
      </c>
      <c r="H863">
        <v>12323</v>
      </c>
      <c r="I863">
        <v>2106</v>
      </c>
      <c r="J863">
        <v>126</v>
      </c>
      <c r="K863">
        <v>88</v>
      </c>
      <c r="L863">
        <v>-10217</v>
      </c>
      <c r="M863">
        <v>0.85404393928893196</v>
      </c>
      <c r="N863" s="1" t="s">
        <v>1466</v>
      </c>
      <c r="O863" s="1" t="s">
        <v>1467</v>
      </c>
      <c r="P863">
        <v>0</v>
      </c>
      <c r="Q863">
        <v>0</v>
      </c>
      <c r="R863">
        <v>0</v>
      </c>
      <c r="S863">
        <v>0</v>
      </c>
      <c r="T863">
        <v>4.5962645599999998</v>
      </c>
      <c r="U863">
        <f t="shared" si="26"/>
        <v>0</v>
      </c>
      <c r="V863">
        <f t="shared" si="27"/>
        <v>0</v>
      </c>
    </row>
    <row r="864" spans="1:22" x14ac:dyDescent="0.2">
      <c r="A864" t="s">
        <v>1438</v>
      </c>
      <c r="B864" t="s">
        <v>23</v>
      </c>
      <c r="C864" t="s">
        <v>76</v>
      </c>
      <c r="D864" t="s">
        <v>77</v>
      </c>
      <c r="E864">
        <v>15</v>
      </c>
      <c r="F864" t="s">
        <v>88</v>
      </c>
      <c r="G864">
        <v>73</v>
      </c>
      <c r="H864">
        <v>22932</v>
      </c>
      <c r="I864">
        <v>0</v>
      </c>
      <c r="J864">
        <v>120</v>
      </c>
      <c r="K864">
        <v>103</v>
      </c>
      <c r="L864">
        <v>-22932</v>
      </c>
      <c r="M864">
        <v>1</v>
      </c>
      <c r="N864">
        <v>0</v>
      </c>
      <c r="O864" s="1" t="s">
        <v>1468</v>
      </c>
      <c r="P864">
        <v>0</v>
      </c>
      <c r="Q864">
        <v>0</v>
      </c>
      <c r="R864">
        <v>0</v>
      </c>
      <c r="S864">
        <v>0</v>
      </c>
      <c r="T864">
        <v>4.5962645599999998</v>
      </c>
      <c r="U864">
        <f t="shared" si="26"/>
        <v>0</v>
      </c>
      <c r="V864">
        <f t="shared" si="27"/>
        <v>0</v>
      </c>
    </row>
    <row r="865" spans="1:22" x14ac:dyDescent="0.2">
      <c r="A865" t="s">
        <v>1438</v>
      </c>
      <c r="B865" t="s">
        <v>23</v>
      </c>
      <c r="C865" t="s">
        <v>76</v>
      </c>
      <c r="D865" t="s">
        <v>77</v>
      </c>
      <c r="E865">
        <v>11</v>
      </c>
      <c r="F865" t="s">
        <v>127</v>
      </c>
      <c r="G865">
        <v>61</v>
      </c>
      <c r="H865">
        <v>6173</v>
      </c>
      <c r="I865">
        <v>12</v>
      </c>
      <c r="J865">
        <v>92</v>
      </c>
      <c r="K865">
        <v>103</v>
      </c>
      <c r="L865">
        <v>-6161</v>
      </c>
      <c r="M865" s="1" t="s">
        <v>1469</v>
      </c>
      <c r="N865">
        <v>1.9401778496362101E-3</v>
      </c>
      <c r="O865" s="1" t="s">
        <v>1470</v>
      </c>
      <c r="P865">
        <v>0</v>
      </c>
      <c r="Q865">
        <v>0</v>
      </c>
      <c r="R865">
        <v>0</v>
      </c>
      <c r="S865">
        <v>0</v>
      </c>
      <c r="T865">
        <v>4.5962645599999998</v>
      </c>
      <c r="U865">
        <f t="shared" si="26"/>
        <v>0</v>
      </c>
      <c r="V865">
        <f t="shared" si="27"/>
        <v>0</v>
      </c>
    </row>
    <row r="866" spans="1:22" x14ac:dyDescent="0.2">
      <c r="A866" t="s">
        <v>1438</v>
      </c>
      <c r="B866" t="s">
        <v>23</v>
      </c>
      <c r="C866" t="s">
        <v>76</v>
      </c>
      <c r="D866" t="s">
        <v>77</v>
      </c>
      <c r="E866" s="1" t="s">
        <v>138</v>
      </c>
      <c r="F866" t="s">
        <v>139</v>
      </c>
      <c r="G866">
        <v>17</v>
      </c>
      <c r="H866">
        <v>986</v>
      </c>
      <c r="I866">
        <v>857416</v>
      </c>
      <c r="J866">
        <v>101</v>
      </c>
      <c r="K866">
        <v>48</v>
      </c>
      <c r="L866">
        <v>856430</v>
      </c>
      <c r="M866">
        <v>1.14864597239987E-3</v>
      </c>
      <c r="N866" s="1" t="s">
        <v>1471</v>
      </c>
      <c r="O866">
        <v>2.12185199061856E-3</v>
      </c>
      <c r="P866">
        <v>0</v>
      </c>
      <c r="Q866">
        <v>0</v>
      </c>
      <c r="R866">
        <v>0</v>
      </c>
      <c r="S866">
        <v>0</v>
      </c>
      <c r="T866">
        <v>4.5962645599999998</v>
      </c>
      <c r="U866">
        <f t="shared" si="26"/>
        <v>0</v>
      </c>
      <c r="V866">
        <f t="shared" si="27"/>
        <v>0</v>
      </c>
    </row>
    <row r="867" spans="1:22" x14ac:dyDescent="0.2">
      <c r="A867" t="s">
        <v>1438</v>
      </c>
      <c r="B867" t="s">
        <v>23</v>
      </c>
      <c r="C867" t="s">
        <v>76</v>
      </c>
      <c r="D867" t="s">
        <v>77</v>
      </c>
      <c r="E867">
        <v>18</v>
      </c>
      <c r="F867" t="s">
        <v>147</v>
      </c>
      <c r="G867">
        <v>92</v>
      </c>
      <c r="H867">
        <v>232</v>
      </c>
      <c r="I867">
        <v>0</v>
      </c>
      <c r="J867">
        <v>88</v>
      </c>
      <c r="K867">
        <v>66</v>
      </c>
      <c r="L867">
        <v>-232</v>
      </c>
      <c r="M867">
        <v>1</v>
      </c>
      <c r="N867">
        <v>0</v>
      </c>
      <c r="O867" s="1" t="s">
        <v>1472</v>
      </c>
      <c r="P867">
        <v>0</v>
      </c>
      <c r="Q867">
        <v>0</v>
      </c>
      <c r="R867">
        <v>0</v>
      </c>
      <c r="S867">
        <v>0</v>
      </c>
      <c r="T867">
        <v>4.5962645599999998</v>
      </c>
      <c r="U867">
        <f t="shared" si="26"/>
        <v>0</v>
      </c>
      <c r="V867">
        <f t="shared" si="27"/>
        <v>0</v>
      </c>
    </row>
    <row r="868" spans="1:22" x14ac:dyDescent="0.2">
      <c r="A868" t="s">
        <v>1438</v>
      </c>
      <c r="B868" t="s">
        <v>23</v>
      </c>
      <c r="C868" t="s">
        <v>76</v>
      </c>
      <c r="D868" t="s">
        <v>77</v>
      </c>
      <c r="E868" s="1" t="s">
        <v>89</v>
      </c>
      <c r="F868" t="s">
        <v>90</v>
      </c>
      <c r="G868">
        <v>30</v>
      </c>
      <c r="H868">
        <v>226596</v>
      </c>
      <c r="I868">
        <v>0</v>
      </c>
      <c r="J868">
        <v>83</v>
      </c>
      <c r="K868">
        <v>91</v>
      </c>
      <c r="L868">
        <v>-226596</v>
      </c>
      <c r="M868">
        <v>1</v>
      </c>
      <c r="N868">
        <v>0</v>
      </c>
      <c r="O868" s="1" t="s">
        <v>1473</v>
      </c>
      <c r="P868">
        <v>0</v>
      </c>
      <c r="Q868">
        <v>0</v>
      </c>
      <c r="R868">
        <v>0</v>
      </c>
      <c r="S868">
        <v>0</v>
      </c>
      <c r="T868">
        <v>4.5962645599999998</v>
      </c>
      <c r="U868">
        <f t="shared" si="26"/>
        <v>0</v>
      </c>
      <c r="V868">
        <f t="shared" si="27"/>
        <v>0</v>
      </c>
    </row>
    <row r="869" spans="1:22" x14ac:dyDescent="0.2">
      <c r="A869" t="s">
        <v>1438</v>
      </c>
      <c r="B869" t="s">
        <v>23</v>
      </c>
      <c r="C869" t="s">
        <v>76</v>
      </c>
      <c r="D869" t="s">
        <v>77</v>
      </c>
      <c r="E869" s="1" t="s">
        <v>89</v>
      </c>
      <c r="F869" t="s">
        <v>90</v>
      </c>
      <c r="G869">
        <v>34</v>
      </c>
      <c r="H869">
        <v>23312</v>
      </c>
      <c r="I869">
        <v>90429</v>
      </c>
      <c r="J869">
        <v>101</v>
      </c>
      <c r="K869">
        <v>61</v>
      </c>
      <c r="L869">
        <v>67117</v>
      </c>
      <c r="M869" s="1" t="s">
        <v>1474</v>
      </c>
      <c r="N869" s="1" t="s">
        <v>1475</v>
      </c>
      <c r="O869" s="1" t="s">
        <v>1476</v>
      </c>
      <c r="P869">
        <v>0</v>
      </c>
      <c r="Q869">
        <v>0</v>
      </c>
      <c r="R869">
        <v>0</v>
      </c>
      <c r="S869">
        <v>0</v>
      </c>
      <c r="T869">
        <v>4.5962645599999998</v>
      </c>
      <c r="U869">
        <f t="shared" si="26"/>
        <v>0</v>
      </c>
      <c r="V869">
        <f t="shared" si="27"/>
        <v>0</v>
      </c>
    </row>
    <row r="870" spans="1:22" x14ac:dyDescent="0.2">
      <c r="A870" t="s">
        <v>1438</v>
      </c>
      <c r="B870" t="s">
        <v>23</v>
      </c>
      <c r="C870" t="s">
        <v>76</v>
      </c>
      <c r="D870" t="s">
        <v>77</v>
      </c>
      <c r="E870">
        <v>11</v>
      </c>
      <c r="F870" t="s">
        <v>127</v>
      </c>
      <c r="G870">
        <v>62</v>
      </c>
      <c r="H870">
        <v>13432</v>
      </c>
      <c r="I870">
        <v>0</v>
      </c>
      <c r="J870">
        <v>92</v>
      </c>
      <c r="K870">
        <v>105</v>
      </c>
      <c r="L870">
        <v>-13432</v>
      </c>
      <c r="M870">
        <v>1</v>
      </c>
      <c r="N870">
        <v>0</v>
      </c>
      <c r="O870" s="1" t="s">
        <v>1477</v>
      </c>
      <c r="P870">
        <v>0</v>
      </c>
      <c r="Q870">
        <v>0</v>
      </c>
      <c r="R870">
        <v>0</v>
      </c>
      <c r="S870">
        <v>0</v>
      </c>
      <c r="T870">
        <v>4.5962645599999998</v>
      </c>
      <c r="U870">
        <f t="shared" si="26"/>
        <v>0</v>
      </c>
      <c r="V870">
        <f t="shared" si="27"/>
        <v>0</v>
      </c>
    </row>
    <row r="871" spans="1:22" x14ac:dyDescent="0.2">
      <c r="A871" t="s">
        <v>1438</v>
      </c>
      <c r="B871" t="s">
        <v>23</v>
      </c>
      <c r="C871" t="s">
        <v>76</v>
      </c>
      <c r="D871" t="s">
        <v>77</v>
      </c>
      <c r="E871">
        <v>15</v>
      </c>
      <c r="F871" t="s">
        <v>88</v>
      </c>
      <c r="G871">
        <v>83</v>
      </c>
      <c r="H871">
        <v>1776</v>
      </c>
      <c r="I871">
        <v>0</v>
      </c>
      <c r="J871">
        <v>106</v>
      </c>
      <c r="K871">
        <v>85</v>
      </c>
      <c r="L871">
        <v>-1776</v>
      </c>
      <c r="M871">
        <v>1</v>
      </c>
      <c r="N871">
        <v>0</v>
      </c>
      <c r="O871" s="1" t="s">
        <v>1478</v>
      </c>
      <c r="P871">
        <v>0</v>
      </c>
      <c r="Q871">
        <v>0</v>
      </c>
      <c r="R871">
        <v>0</v>
      </c>
      <c r="S871">
        <v>0</v>
      </c>
      <c r="T871">
        <v>4.5962645599999998</v>
      </c>
      <c r="U871">
        <f t="shared" si="26"/>
        <v>0</v>
      </c>
      <c r="V871">
        <f t="shared" si="27"/>
        <v>0</v>
      </c>
    </row>
    <row r="872" spans="1:22" x14ac:dyDescent="0.2">
      <c r="A872" t="s">
        <v>1438</v>
      </c>
      <c r="B872" t="s">
        <v>23</v>
      </c>
      <c r="C872" t="s">
        <v>76</v>
      </c>
      <c r="D872" t="s">
        <v>77</v>
      </c>
      <c r="E872" s="1" t="s">
        <v>138</v>
      </c>
      <c r="F872" t="s">
        <v>139</v>
      </c>
      <c r="G872">
        <v>19</v>
      </c>
      <c r="H872">
        <v>256</v>
      </c>
      <c r="I872">
        <v>0</v>
      </c>
      <c r="J872">
        <v>99</v>
      </c>
      <c r="K872">
        <v>86</v>
      </c>
      <c r="L872">
        <v>-256</v>
      </c>
      <c r="M872">
        <v>1</v>
      </c>
      <c r="N872">
        <v>0</v>
      </c>
      <c r="O872" s="1" t="s">
        <v>1479</v>
      </c>
      <c r="P872">
        <v>0</v>
      </c>
      <c r="Q872">
        <v>0</v>
      </c>
      <c r="R872">
        <v>0</v>
      </c>
      <c r="S872">
        <v>0</v>
      </c>
      <c r="T872">
        <v>4.5962645599999998</v>
      </c>
      <c r="U872">
        <f t="shared" si="26"/>
        <v>0</v>
      </c>
      <c r="V872">
        <f t="shared" si="27"/>
        <v>0</v>
      </c>
    </row>
    <row r="873" spans="1:22" x14ac:dyDescent="0.2">
      <c r="A873" t="s">
        <v>1438</v>
      </c>
      <c r="B873" t="s">
        <v>23</v>
      </c>
      <c r="C873" t="s">
        <v>76</v>
      </c>
      <c r="D873" t="s">
        <v>77</v>
      </c>
      <c r="E873" s="1" t="s">
        <v>99</v>
      </c>
      <c r="F873" t="s">
        <v>100</v>
      </c>
      <c r="G873">
        <v>39</v>
      </c>
      <c r="H873">
        <v>116984</v>
      </c>
      <c r="I873">
        <v>0</v>
      </c>
      <c r="J873">
        <v>111</v>
      </c>
      <c r="K873">
        <v>109</v>
      </c>
      <c r="L873">
        <v>-116984</v>
      </c>
      <c r="M873">
        <v>1</v>
      </c>
      <c r="N873">
        <v>0</v>
      </c>
      <c r="O873" s="1" t="s">
        <v>1480</v>
      </c>
      <c r="P873">
        <v>0</v>
      </c>
      <c r="Q873">
        <v>0</v>
      </c>
      <c r="R873">
        <v>0</v>
      </c>
      <c r="S873">
        <v>0</v>
      </c>
      <c r="T873">
        <v>4.5962645599999998</v>
      </c>
      <c r="U873">
        <f t="shared" si="26"/>
        <v>0</v>
      </c>
      <c r="V873">
        <f t="shared" si="27"/>
        <v>0</v>
      </c>
    </row>
    <row r="874" spans="1:22" x14ac:dyDescent="0.2">
      <c r="A874" t="s">
        <v>1438</v>
      </c>
      <c r="B874" t="s">
        <v>23</v>
      </c>
      <c r="C874" t="s">
        <v>76</v>
      </c>
      <c r="D874" t="s">
        <v>77</v>
      </c>
      <c r="E874">
        <v>13</v>
      </c>
      <c r="F874" t="s">
        <v>91</v>
      </c>
      <c r="G874">
        <v>69</v>
      </c>
      <c r="H874">
        <v>26</v>
      </c>
      <c r="I874">
        <v>0</v>
      </c>
      <c r="J874">
        <v>118</v>
      </c>
      <c r="K874">
        <v>91</v>
      </c>
      <c r="L874">
        <v>-26</v>
      </c>
      <c r="M874">
        <v>1</v>
      </c>
      <c r="N874">
        <v>0</v>
      </c>
      <c r="O874" s="1" t="s">
        <v>1481</v>
      </c>
      <c r="P874">
        <v>0</v>
      </c>
      <c r="Q874">
        <v>0</v>
      </c>
      <c r="R874">
        <v>0</v>
      </c>
      <c r="S874">
        <v>0</v>
      </c>
      <c r="T874">
        <v>4.5962645599999998</v>
      </c>
      <c r="U874">
        <f t="shared" si="26"/>
        <v>0</v>
      </c>
      <c r="V874">
        <f t="shared" si="27"/>
        <v>0</v>
      </c>
    </row>
    <row r="875" spans="1:22" x14ac:dyDescent="0.2">
      <c r="A875" t="s">
        <v>1438</v>
      </c>
      <c r="B875" t="s">
        <v>23</v>
      </c>
      <c r="C875" t="s">
        <v>76</v>
      </c>
      <c r="D875" t="s">
        <v>77</v>
      </c>
      <c r="E875">
        <v>10</v>
      </c>
      <c r="F875" t="s">
        <v>119</v>
      </c>
      <c r="G875">
        <v>49</v>
      </c>
      <c r="H875">
        <v>2727</v>
      </c>
      <c r="I875">
        <v>0</v>
      </c>
      <c r="J875">
        <v>108</v>
      </c>
      <c r="K875">
        <v>109</v>
      </c>
      <c r="L875">
        <v>-2727</v>
      </c>
      <c r="M875">
        <v>1</v>
      </c>
      <c r="N875">
        <v>0</v>
      </c>
      <c r="O875" s="1" t="s">
        <v>1482</v>
      </c>
      <c r="P875">
        <v>0</v>
      </c>
      <c r="Q875">
        <v>0</v>
      </c>
      <c r="R875">
        <v>0</v>
      </c>
      <c r="S875">
        <v>0</v>
      </c>
      <c r="T875">
        <v>4.5962645599999998</v>
      </c>
      <c r="U875">
        <f t="shared" si="26"/>
        <v>0</v>
      </c>
      <c r="V875">
        <f t="shared" si="27"/>
        <v>0</v>
      </c>
    </row>
    <row r="876" spans="1:22" x14ac:dyDescent="0.2">
      <c r="A876" t="s">
        <v>1438</v>
      </c>
      <c r="B876" t="s">
        <v>23</v>
      </c>
      <c r="C876" t="s">
        <v>76</v>
      </c>
      <c r="D876" t="s">
        <v>77</v>
      </c>
      <c r="E876" s="1" t="s">
        <v>82</v>
      </c>
      <c r="F876" t="s">
        <v>83</v>
      </c>
      <c r="G876" s="1" t="s">
        <v>93</v>
      </c>
      <c r="H876">
        <v>0</v>
      </c>
      <c r="I876">
        <v>47577943</v>
      </c>
      <c r="J876">
        <v>105</v>
      </c>
      <c r="K876">
        <v>19</v>
      </c>
      <c r="L876">
        <v>47577943</v>
      </c>
      <c r="M876">
        <v>0</v>
      </c>
      <c r="N876">
        <v>1</v>
      </c>
      <c r="O876" s="1" t="s">
        <v>1483</v>
      </c>
      <c r="P876">
        <v>0</v>
      </c>
      <c r="Q876">
        <v>0</v>
      </c>
      <c r="R876">
        <v>0</v>
      </c>
      <c r="S876">
        <v>0</v>
      </c>
      <c r="T876">
        <v>4.5962645599999998</v>
      </c>
      <c r="U876">
        <f t="shared" si="26"/>
        <v>0</v>
      </c>
      <c r="V876">
        <f t="shared" si="27"/>
        <v>0</v>
      </c>
    </row>
    <row r="877" spans="1:22" x14ac:dyDescent="0.2">
      <c r="A877" t="s">
        <v>1484</v>
      </c>
      <c r="B877" t="s">
        <v>24</v>
      </c>
      <c r="C877" t="s">
        <v>76</v>
      </c>
      <c r="D877" t="s">
        <v>77</v>
      </c>
      <c r="E877" s="1" t="s">
        <v>85</v>
      </c>
      <c r="F877" t="s">
        <v>86</v>
      </c>
      <c r="G877">
        <v>27</v>
      </c>
      <c r="H877">
        <v>15103300504</v>
      </c>
      <c r="I877">
        <v>41121064</v>
      </c>
      <c r="J877">
        <v>21</v>
      </c>
      <c r="K877">
        <v>26</v>
      </c>
      <c r="L877">
        <v>-15062179440</v>
      </c>
      <c r="M877" s="1" t="s">
        <v>1485</v>
      </c>
      <c r="N877">
        <v>2.7152614456327799E-3</v>
      </c>
      <c r="O877" s="1" t="s">
        <v>1486</v>
      </c>
      <c r="P877">
        <v>0</v>
      </c>
      <c r="Q877">
        <v>0</v>
      </c>
      <c r="R877">
        <v>0</v>
      </c>
      <c r="S877">
        <v>0</v>
      </c>
      <c r="T877">
        <v>146.3475875</v>
      </c>
      <c r="U877">
        <f t="shared" si="26"/>
        <v>0</v>
      </c>
      <c r="V877">
        <f t="shared" si="27"/>
        <v>0</v>
      </c>
    </row>
    <row r="878" spans="1:22" x14ac:dyDescent="0.2">
      <c r="A878" t="s">
        <v>1484</v>
      </c>
      <c r="B878" t="s">
        <v>24</v>
      </c>
      <c r="C878" t="s">
        <v>76</v>
      </c>
      <c r="D878" t="s">
        <v>77</v>
      </c>
      <c r="E878">
        <v>16</v>
      </c>
      <c r="F878" t="s">
        <v>95</v>
      </c>
      <c r="G878">
        <v>84</v>
      </c>
      <c r="H878">
        <v>445079937</v>
      </c>
      <c r="I878">
        <v>1336459482</v>
      </c>
      <c r="J878">
        <v>14</v>
      </c>
      <c r="K878">
        <v>25</v>
      </c>
      <c r="L878">
        <v>891379545</v>
      </c>
      <c r="M878" s="1" t="s">
        <v>1487</v>
      </c>
      <c r="N878" s="1" t="s">
        <v>1488</v>
      </c>
      <c r="O878">
        <v>6.5642779070535506E-2</v>
      </c>
      <c r="P878">
        <v>0</v>
      </c>
      <c r="Q878">
        <v>0</v>
      </c>
      <c r="R878">
        <v>0</v>
      </c>
      <c r="S878">
        <v>0</v>
      </c>
      <c r="T878">
        <v>146.3475875</v>
      </c>
      <c r="U878">
        <f t="shared" si="26"/>
        <v>0</v>
      </c>
      <c r="V878">
        <f t="shared" si="27"/>
        <v>0</v>
      </c>
    </row>
    <row r="879" spans="1:22" x14ac:dyDescent="0.2">
      <c r="A879" t="s">
        <v>1484</v>
      </c>
      <c r="B879" t="s">
        <v>24</v>
      </c>
      <c r="C879" t="s">
        <v>76</v>
      </c>
      <c r="D879" t="s">
        <v>77</v>
      </c>
      <c r="E879" s="1" t="s">
        <v>89</v>
      </c>
      <c r="F879" t="s">
        <v>90</v>
      </c>
      <c r="G879">
        <v>28</v>
      </c>
      <c r="H879">
        <v>436950282</v>
      </c>
      <c r="I879">
        <v>14267519</v>
      </c>
      <c r="J879">
        <v>16</v>
      </c>
      <c r="K879">
        <v>32</v>
      </c>
      <c r="L879">
        <v>-422682763</v>
      </c>
      <c r="M879" s="1" t="s">
        <v>1489</v>
      </c>
      <c r="N879" s="1" t="s">
        <v>1490</v>
      </c>
      <c r="O879" s="1" t="s">
        <v>1491</v>
      </c>
      <c r="P879">
        <v>0</v>
      </c>
      <c r="Q879">
        <v>0</v>
      </c>
      <c r="R879">
        <v>0</v>
      </c>
      <c r="S879">
        <v>0</v>
      </c>
      <c r="T879">
        <v>146.3475875</v>
      </c>
      <c r="U879">
        <f t="shared" si="26"/>
        <v>0</v>
      </c>
      <c r="V879">
        <f t="shared" si="27"/>
        <v>0</v>
      </c>
    </row>
    <row r="880" spans="1:22" x14ac:dyDescent="0.2">
      <c r="A880" t="s">
        <v>1484</v>
      </c>
      <c r="B880" t="s">
        <v>24</v>
      </c>
      <c r="C880" t="s">
        <v>76</v>
      </c>
      <c r="D880" t="s">
        <v>77</v>
      </c>
      <c r="E880" s="1" t="s">
        <v>99</v>
      </c>
      <c r="F880" t="s">
        <v>100</v>
      </c>
      <c r="G880">
        <v>40</v>
      </c>
      <c r="H880">
        <v>607967525</v>
      </c>
      <c r="I880">
        <v>158146010</v>
      </c>
      <c r="J880">
        <v>7</v>
      </c>
      <c r="K880">
        <v>23</v>
      </c>
      <c r="L880">
        <v>-449821515</v>
      </c>
      <c r="M880" s="1" t="s">
        <v>1492</v>
      </c>
      <c r="N880" s="1" t="s">
        <v>1493</v>
      </c>
      <c r="O880" s="1" t="s">
        <v>1494</v>
      </c>
      <c r="P880">
        <v>0</v>
      </c>
      <c r="Q880">
        <v>0</v>
      </c>
      <c r="R880">
        <v>1</v>
      </c>
      <c r="S880">
        <v>0</v>
      </c>
      <c r="T880">
        <v>146.3475875</v>
      </c>
      <c r="U880">
        <f t="shared" si="26"/>
        <v>0</v>
      </c>
      <c r="V880">
        <f t="shared" si="27"/>
        <v>1</v>
      </c>
    </row>
    <row r="881" spans="1:22" x14ac:dyDescent="0.2">
      <c r="A881" t="s">
        <v>1484</v>
      </c>
      <c r="B881" t="s">
        <v>24</v>
      </c>
      <c r="C881" t="s">
        <v>76</v>
      </c>
      <c r="D881" t="s">
        <v>77</v>
      </c>
      <c r="E881" s="1" t="s">
        <v>89</v>
      </c>
      <c r="F881" t="s">
        <v>90</v>
      </c>
      <c r="G881">
        <v>29</v>
      </c>
      <c r="H881">
        <v>338980915</v>
      </c>
      <c r="I881">
        <v>351087560</v>
      </c>
      <c r="J881">
        <v>15</v>
      </c>
      <c r="K881">
        <v>10</v>
      </c>
      <c r="L881">
        <v>12106645</v>
      </c>
      <c r="M881" s="1" t="s">
        <v>1495</v>
      </c>
      <c r="N881" s="1" t="s">
        <v>1496</v>
      </c>
      <c r="O881" s="1" t="s">
        <v>1497</v>
      </c>
      <c r="P881">
        <v>0</v>
      </c>
      <c r="Q881">
        <v>0</v>
      </c>
      <c r="R881">
        <v>0</v>
      </c>
      <c r="S881">
        <v>1</v>
      </c>
      <c r="T881">
        <v>146.3475875</v>
      </c>
      <c r="U881">
        <f t="shared" si="26"/>
        <v>0</v>
      </c>
      <c r="V881">
        <f t="shared" si="27"/>
        <v>1</v>
      </c>
    </row>
    <row r="882" spans="1:22" x14ac:dyDescent="0.2">
      <c r="A882" t="s">
        <v>1484</v>
      </c>
      <c r="B882" t="s">
        <v>24</v>
      </c>
      <c r="C882" t="s">
        <v>76</v>
      </c>
      <c r="D882" t="s">
        <v>77</v>
      </c>
      <c r="E882">
        <v>15</v>
      </c>
      <c r="F882" t="s">
        <v>88</v>
      </c>
      <c r="G882">
        <v>76</v>
      </c>
      <c r="H882">
        <v>138554537</v>
      </c>
      <c r="I882">
        <v>34340848</v>
      </c>
      <c r="J882">
        <v>36</v>
      </c>
      <c r="K882">
        <v>18</v>
      </c>
      <c r="L882">
        <v>-104213689</v>
      </c>
      <c r="M882" s="1" t="s">
        <v>1498</v>
      </c>
      <c r="N882" s="1" t="s">
        <v>1499</v>
      </c>
      <c r="O882">
        <v>6.3705205951831798E-3</v>
      </c>
      <c r="P882">
        <v>0</v>
      </c>
      <c r="Q882">
        <v>0</v>
      </c>
      <c r="R882">
        <v>0</v>
      </c>
      <c r="S882">
        <v>0</v>
      </c>
      <c r="T882">
        <v>146.3475875</v>
      </c>
      <c r="U882">
        <f t="shared" si="26"/>
        <v>0</v>
      </c>
      <c r="V882">
        <f t="shared" si="27"/>
        <v>0</v>
      </c>
    </row>
    <row r="883" spans="1:22" x14ac:dyDescent="0.2">
      <c r="A883" t="s">
        <v>1484</v>
      </c>
      <c r="B883" t="s">
        <v>24</v>
      </c>
      <c r="C883" t="s">
        <v>76</v>
      </c>
      <c r="D883" t="s">
        <v>77</v>
      </c>
      <c r="E883" s="1" t="s">
        <v>85</v>
      </c>
      <c r="F883" t="s">
        <v>86</v>
      </c>
      <c r="G883">
        <v>26</v>
      </c>
      <c r="H883">
        <v>159109288</v>
      </c>
      <c r="I883">
        <v>12568</v>
      </c>
      <c r="J883">
        <v>20</v>
      </c>
      <c r="K883">
        <v>53</v>
      </c>
      <c r="L883">
        <v>-159096720</v>
      </c>
      <c r="M883">
        <v>0.99992101650699705</v>
      </c>
      <c r="N883" s="1" t="s">
        <v>1500</v>
      </c>
      <c r="O883">
        <v>5.8630197722846803E-3</v>
      </c>
      <c r="P883">
        <v>0</v>
      </c>
      <c r="Q883">
        <v>0</v>
      </c>
      <c r="R883">
        <v>0</v>
      </c>
      <c r="S883">
        <v>0</v>
      </c>
      <c r="T883">
        <v>146.3475875</v>
      </c>
      <c r="U883">
        <f t="shared" si="26"/>
        <v>0</v>
      </c>
      <c r="V883">
        <f t="shared" si="27"/>
        <v>0</v>
      </c>
    </row>
    <row r="884" spans="1:22" x14ac:dyDescent="0.2">
      <c r="A884" t="s">
        <v>1484</v>
      </c>
      <c r="B884" t="s">
        <v>24</v>
      </c>
      <c r="C884" t="s">
        <v>76</v>
      </c>
      <c r="D884" t="s">
        <v>77</v>
      </c>
      <c r="E884" s="1" t="s">
        <v>89</v>
      </c>
      <c r="F884" t="s">
        <v>90</v>
      </c>
      <c r="G884">
        <v>31</v>
      </c>
      <c r="H884">
        <v>199942643</v>
      </c>
      <c r="I884">
        <v>28204</v>
      </c>
      <c r="J884">
        <v>41</v>
      </c>
      <c r="K884">
        <v>39</v>
      </c>
      <c r="L884">
        <v>-199914439</v>
      </c>
      <c r="M884" s="1" t="s">
        <v>1501</v>
      </c>
      <c r="N884" s="1" t="s">
        <v>1502</v>
      </c>
      <c r="O884">
        <v>7.3681457677411298E-3</v>
      </c>
      <c r="P884">
        <v>0</v>
      </c>
      <c r="Q884">
        <v>0</v>
      </c>
      <c r="R884">
        <v>0</v>
      </c>
      <c r="S884">
        <v>0</v>
      </c>
      <c r="T884">
        <v>146.3475875</v>
      </c>
      <c r="U884">
        <f t="shared" si="26"/>
        <v>0</v>
      </c>
      <c r="V884">
        <f t="shared" si="27"/>
        <v>0</v>
      </c>
    </row>
    <row r="885" spans="1:22" x14ac:dyDescent="0.2">
      <c r="A885" t="s">
        <v>1484</v>
      </c>
      <c r="B885" t="s">
        <v>24</v>
      </c>
      <c r="C885" t="s">
        <v>76</v>
      </c>
      <c r="D885" t="s">
        <v>77</v>
      </c>
      <c r="E885" s="1" t="s">
        <v>93</v>
      </c>
      <c r="F885" t="s">
        <v>94</v>
      </c>
      <c r="G885">
        <v>44</v>
      </c>
      <c r="H885">
        <v>79965021</v>
      </c>
      <c r="I885">
        <v>28450661</v>
      </c>
      <c r="J885">
        <v>42</v>
      </c>
      <c r="K885">
        <v>17</v>
      </c>
      <c r="L885">
        <v>-51514360</v>
      </c>
      <c r="M885" s="1" t="s">
        <v>1503</v>
      </c>
      <c r="N885" s="1" t="s">
        <v>1504</v>
      </c>
      <c r="O885">
        <v>3.99469502914627E-3</v>
      </c>
      <c r="P885">
        <v>0</v>
      </c>
      <c r="Q885">
        <v>0</v>
      </c>
      <c r="R885">
        <v>0</v>
      </c>
      <c r="S885">
        <v>0</v>
      </c>
      <c r="T885">
        <v>146.3475875</v>
      </c>
      <c r="U885">
        <f t="shared" si="26"/>
        <v>0</v>
      </c>
      <c r="V885">
        <f t="shared" si="27"/>
        <v>0</v>
      </c>
    </row>
    <row r="886" spans="1:22" x14ac:dyDescent="0.2">
      <c r="A886" t="s">
        <v>1484</v>
      </c>
      <c r="B886" t="s">
        <v>24</v>
      </c>
      <c r="C886" t="s">
        <v>76</v>
      </c>
      <c r="D886" t="s">
        <v>77</v>
      </c>
      <c r="E886">
        <v>15</v>
      </c>
      <c r="F886" t="s">
        <v>88</v>
      </c>
      <c r="G886">
        <v>72</v>
      </c>
      <c r="H886">
        <v>86117631</v>
      </c>
      <c r="I886">
        <v>83474982</v>
      </c>
      <c r="J886">
        <v>68</v>
      </c>
      <c r="K886">
        <v>25</v>
      </c>
      <c r="L886">
        <v>-2642649</v>
      </c>
      <c r="M886">
        <v>0.50779116776743105</v>
      </c>
      <c r="N886">
        <v>0.492208832232569</v>
      </c>
      <c r="O886">
        <v>6.2488263287503601E-3</v>
      </c>
      <c r="P886">
        <v>0</v>
      </c>
      <c r="Q886">
        <v>0</v>
      </c>
      <c r="R886">
        <v>0</v>
      </c>
      <c r="S886">
        <v>0</v>
      </c>
      <c r="T886">
        <v>146.3475875</v>
      </c>
      <c r="U886">
        <f t="shared" si="26"/>
        <v>0</v>
      </c>
      <c r="V886">
        <f t="shared" si="27"/>
        <v>0</v>
      </c>
    </row>
    <row r="887" spans="1:22" x14ac:dyDescent="0.2">
      <c r="A887" t="s">
        <v>1484</v>
      </c>
      <c r="B887" t="s">
        <v>24</v>
      </c>
      <c r="C887" t="s">
        <v>76</v>
      </c>
      <c r="D887" t="s">
        <v>77</v>
      </c>
      <c r="E887">
        <v>16</v>
      </c>
      <c r="F887" t="s">
        <v>95</v>
      </c>
      <c r="G887">
        <v>85</v>
      </c>
      <c r="H887">
        <v>86983825</v>
      </c>
      <c r="I887">
        <v>1213835069</v>
      </c>
      <c r="J887">
        <v>30</v>
      </c>
      <c r="K887">
        <v>20</v>
      </c>
      <c r="L887">
        <v>1126851244</v>
      </c>
      <c r="M887">
        <v>6.6868512904610294E-2</v>
      </c>
      <c r="N887" s="1" t="s">
        <v>1505</v>
      </c>
      <c r="O887">
        <v>4.7930102673535202E-2</v>
      </c>
      <c r="P887">
        <v>0</v>
      </c>
      <c r="Q887">
        <v>0</v>
      </c>
      <c r="R887">
        <v>0</v>
      </c>
      <c r="S887">
        <v>0</v>
      </c>
      <c r="T887">
        <v>146.3475875</v>
      </c>
      <c r="U887">
        <f t="shared" si="26"/>
        <v>0</v>
      </c>
      <c r="V887">
        <f t="shared" si="27"/>
        <v>0</v>
      </c>
    </row>
    <row r="888" spans="1:22" x14ac:dyDescent="0.2">
      <c r="A888" t="s">
        <v>1484</v>
      </c>
      <c r="B888" t="s">
        <v>24</v>
      </c>
      <c r="C888" t="s">
        <v>76</v>
      </c>
      <c r="D888" t="s">
        <v>77</v>
      </c>
      <c r="E888" s="1" t="s">
        <v>89</v>
      </c>
      <c r="F888" t="s">
        <v>90</v>
      </c>
      <c r="G888">
        <v>33</v>
      </c>
      <c r="H888">
        <v>9766410</v>
      </c>
      <c r="I888">
        <v>79530795</v>
      </c>
      <c r="J888">
        <v>32</v>
      </c>
      <c r="K888">
        <v>23</v>
      </c>
      <c r="L888">
        <v>69764385</v>
      </c>
      <c r="M888" s="1" t="s">
        <v>1506</v>
      </c>
      <c r="N888" s="1" t="s">
        <v>1507</v>
      </c>
      <c r="O888">
        <v>3.2902537192927E-3</v>
      </c>
      <c r="P888">
        <v>0</v>
      </c>
      <c r="Q888">
        <v>0</v>
      </c>
      <c r="R888">
        <v>0</v>
      </c>
      <c r="S888">
        <v>0</v>
      </c>
      <c r="T888">
        <v>146.3475875</v>
      </c>
      <c r="U888">
        <f t="shared" si="26"/>
        <v>0</v>
      </c>
      <c r="V888">
        <f t="shared" si="27"/>
        <v>0</v>
      </c>
    </row>
    <row r="889" spans="1:22" x14ac:dyDescent="0.2">
      <c r="A889" t="s">
        <v>1484</v>
      </c>
      <c r="B889" t="s">
        <v>24</v>
      </c>
      <c r="C889" t="s">
        <v>76</v>
      </c>
      <c r="D889" t="s">
        <v>77</v>
      </c>
      <c r="E889">
        <v>13</v>
      </c>
      <c r="F889" t="s">
        <v>91</v>
      </c>
      <c r="G889">
        <v>68</v>
      </c>
      <c r="H889">
        <v>10229748</v>
      </c>
      <c r="I889">
        <v>8709273</v>
      </c>
      <c r="J889">
        <v>31</v>
      </c>
      <c r="K889">
        <v>34</v>
      </c>
      <c r="L889">
        <v>-1520475</v>
      </c>
      <c r="M889" s="1" t="s">
        <v>1508</v>
      </c>
      <c r="N889" s="1" t="s">
        <v>1509</v>
      </c>
      <c r="O889" s="1" t="s">
        <v>1510</v>
      </c>
      <c r="P889">
        <v>0</v>
      </c>
      <c r="Q889">
        <v>0</v>
      </c>
      <c r="R889">
        <v>0</v>
      </c>
      <c r="S889">
        <v>0</v>
      </c>
      <c r="T889">
        <v>146.3475875</v>
      </c>
      <c r="U889">
        <f t="shared" si="26"/>
        <v>0</v>
      </c>
      <c r="V889">
        <f t="shared" si="27"/>
        <v>0</v>
      </c>
    </row>
    <row r="890" spans="1:22" x14ac:dyDescent="0.2">
      <c r="A890" t="s">
        <v>1484</v>
      </c>
      <c r="B890" t="s">
        <v>24</v>
      </c>
      <c r="C890" t="s">
        <v>76</v>
      </c>
      <c r="D890" t="s">
        <v>77</v>
      </c>
      <c r="E890">
        <v>10</v>
      </c>
      <c r="F890" t="s">
        <v>119</v>
      </c>
      <c r="G890">
        <v>48</v>
      </c>
      <c r="H890">
        <v>11679479</v>
      </c>
      <c r="I890">
        <v>108663111</v>
      </c>
      <c r="J890">
        <v>71</v>
      </c>
      <c r="K890">
        <v>18</v>
      </c>
      <c r="L890">
        <v>96983632</v>
      </c>
      <c r="M890">
        <v>9.7051916532625696E-2</v>
      </c>
      <c r="N890" s="1" t="s">
        <v>1511</v>
      </c>
      <c r="O890">
        <v>4.4341550705513898E-3</v>
      </c>
      <c r="P890">
        <v>0</v>
      </c>
      <c r="Q890">
        <v>0</v>
      </c>
      <c r="R890">
        <v>0</v>
      </c>
      <c r="S890">
        <v>0</v>
      </c>
      <c r="T890">
        <v>146.3475875</v>
      </c>
      <c r="U890">
        <f t="shared" si="26"/>
        <v>0</v>
      </c>
      <c r="V890">
        <f t="shared" si="27"/>
        <v>0</v>
      </c>
    </row>
    <row r="891" spans="1:22" x14ac:dyDescent="0.2">
      <c r="A891" t="s">
        <v>1484</v>
      </c>
      <c r="B891" t="s">
        <v>24</v>
      </c>
      <c r="C891" t="s">
        <v>76</v>
      </c>
      <c r="D891" t="s">
        <v>77</v>
      </c>
      <c r="E891">
        <v>13</v>
      </c>
      <c r="F891" t="s">
        <v>91</v>
      </c>
      <c r="G891">
        <v>70</v>
      </c>
      <c r="H891">
        <v>13888254</v>
      </c>
      <c r="I891">
        <v>18946434</v>
      </c>
      <c r="J891">
        <v>33</v>
      </c>
      <c r="K891">
        <v>27</v>
      </c>
      <c r="L891">
        <v>5058180</v>
      </c>
      <c r="M891">
        <v>0.42297505613575498</v>
      </c>
      <c r="N891" s="1" t="s">
        <v>1512</v>
      </c>
      <c r="O891">
        <v>1.2098301880088501E-3</v>
      </c>
      <c r="P891">
        <v>0</v>
      </c>
      <c r="Q891">
        <v>0</v>
      </c>
      <c r="R891">
        <v>0</v>
      </c>
      <c r="S891">
        <v>0</v>
      </c>
      <c r="T891">
        <v>146.3475875</v>
      </c>
      <c r="U891">
        <f t="shared" si="26"/>
        <v>0</v>
      </c>
      <c r="V891">
        <f t="shared" si="27"/>
        <v>0</v>
      </c>
    </row>
    <row r="892" spans="1:22" x14ac:dyDescent="0.2">
      <c r="A892" t="s">
        <v>1484</v>
      </c>
      <c r="B892" t="s">
        <v>24</v>
      </c>
      <c r="C892" t="s">
        <v>76</v>
      </c>
      <c r="D892" t="s">
        <v>77</v>
      </c>
      <c r="E892" s="1" t="s">
        <v>82</v>
      </c>
      <c r="F892" t="s">
        <v>83</v>
      </c>
      <c r="G892" s="1" t="s">
        <v>99</v>
      </c>
      <c r="H892">
        <v>1683421</v>
      </c>
      <c r="I892">
        <v>9829287</v>
      </c>
      <c r="J892">
        <v>51</v>
      </c>
      <c r="K892">
        <v>25</v>
      </c>
      <c r="L892">
        <v>8145866</v>
      </c>
      <c r="M892" s="1" t="s">
        <v>1513</v>
      </c>
      <c r="N892" s="1" t="s">
        <v>1514</v>
      </c>
      <c r="O892" s="1" t="s">
        <v>1515</v>
      </c>
      <c r="P892">
        <v>0</v>
      </c>
      <c r="Q892">
        <v>0</v>
      </c>
      <c r="R892">
        <v>0</v>
      </c>
      <c r="S892">
        <v>0</v>
      </c>
      <c r="T892">
        <v>146.3475875</v>
      </c>
      <c r="U892">
        <f t="shared" si="26"/>
        <v>0</v>
      </c>
      <c r="V892">
        <f t="shared" si="27"/>
        <v>0</v>
      </c>
    </row>
    <row r="893" spans="1:22" x14ac:dyDescent="0.2">
      <c r="A893" t="s">
        <v>1484</v>
      </c>
      <c r="B893" t="s">
        <v>24</v>
      </c>
      <c r="C893" t="s">
        <v>76</v>
      </c>
      <c r="D893" t="s">
        <v>77</v>
      </c>
      <c r="E893">
        <v>15</v>
      </c>
      <c r="F893" t="s">
        <v>88</v>
      </c>
      <c r="G893">
        <v>73</v>
      </c>
      <c r="H893">
        <v>9614475</v>
      </c>
      <c r="I893">
        <v>53811369</v>
      </c>
      <c r="J893">
        <v>49</v>
      </c>
      <c r="K893">
        <v>36</v>
      </c>
      <c r="L893">
        <v>44196894</v>
      </c>
      <c r="M893" s="1" t="s">
        <v>1516</v>
      </c>
      <c r="N893" s="1" t="s">
        <v>1517</v>
      </c>
      <c r="O893">
        <v>2.3369949722421698E-3</v>
      </c>
      <c r="P893">
        <v>0</v>
      </c>
      <c r="Q893">
        <v>0</v>
      </c>
      <c r="R893">
        <v>0</v>
      </c>
      <c r="S893">
        <v>0</v>
      </c>
      <c r="T893">
        <v>146.3475875</v>
      </c>
      <c r="U893">
        <f t="shared" si="26"/>
        <v>0</v>
      </c>
      <c r="V893">
        <f t="shared" si="27"/>
        <v>0</v>
      </c>
    </row>
    <row r="894" spans="1:22" x14ac:dyDescent="0.2">
      <c r="A894" t="s">
        <v>1484</v>
      </c>
      <c r="B894" t="s">
        <v>24</v>
      </c>
      <c r="C894" t="s">
        <v>76</v>
      </c>
      <c r="D894" t="s">
        <v>77</v>
      </c>
      <c r="E894" s="1" t="s">
        <v>163</v>
      </c>
      <c r="F894" t="s">
        <v>224</v>
      </c>
      <c r="G894">
        <v>41</v>
      </c>
      <c r="H894">
        <v>982253</v>
      </c>
      <c r="I894">
        <v>43767</v>
      </c>
      <c r="J894">
        <v>25</v>
      </c>
      <c r="K894">
        <v>56</v>
      </c>
      <c r="L894">
        <v>-938486</v>
      </c>
      <c r="M894">
        <v>0.95734293678485805</v>
      </c>
      <c r="N894">
        <v>4.2657063215142003E-2</v>
      </c>
      <c r="O894" s="1" t="s">
        <v>1518</v>
      </c>
      <c r="P894">
        <v>0</v>
      </c>
      <c r="Q894">
        <v>0</v>
      </c>
      <c r="R894">
        <v>0</v>
      </c>
      <c r="S894">
        <v>0</v>
      </c>
      <c r="T894">
        <v>146.3475875</v>
      </c>
      <c r="U894">
        <f t="shared" si="26"/>
        <v>0</v>
      </c>
      <c r="V894">
        <f t="shared" si="27"/>
        <v>0</v>
      </c>
    </row>
    <row r="895" spans="1:22" x14ac:dyDescent="0.2">
      <c r="A895" t="s">
        <v>1484</v>
      </c>
      <c r="B895" t="s">
        <v>24</v>
      </c>
      <c r="C895" t="s">
        <v>76</v>
      </c>
      <c r="D895" t="s">
        <v>77</v>
      </c>
      <c r="E895" s="1" t="s">
        <v>138</v>
      </c>
      <c r="F895" t="s">
        <v>139</v>
      </c>
      <c r="G895">
        <v>22</v>
      </c>
      <c r="H895">
        <v>2091889</v>
      </c>
      <c r="I895">
        <v>10180978</v>
      </c>
      <c r="J895">
        <v>58</v>
      </c>
      <c r="K895">
        <v>40</v>
      </c>
      <c r="L895">
        <v>8089089</v>
      </c>
      <c r="M895" s="1" t="s">
        <v>1519</v>
      </c>
      <c r="N895" s="1" t="s">
        <v>1520</v>
      </c>
      <c r="O895" s="1" t="s">
        <v>1521</v>
      </c>
      <c r="P895">
        <v>0</v>
      </c>
      <c r="Q895">
        <v>0</v>
      </c>
      <c r="R895">
        <v>0</v>
      </c>
      <c r="S895">
        <v>0</v>
      </c>
      <c r="T895">
        <v>146.3475875</v>
      </c>
      <c r="U895">
        <f t="shared" si="26"/>
        <v>0</v>
      </c>
      <c r="V895">
        <f t="shared" si="27"/>
        <v>0</v>
      </c>
    </row>
    <row r="896" spans="1:22" x14ac:dyDescent="0.2">
      <c r="A896" t="s">
        <v>1484</v>
      </c>
      <c r="B896" t="s">
        <v>24</v>
      </c>
      <c r="C896" t="s">
        <v>76</v>
      </c>
      <c r="D896" t="s">
        <v>77</v>
      </c>
      <c r="E896">
        <v>17</v>
      </c>
      <c r="F896" t="s">
        <v>97</v>
      </c>
      <c r="G896">
        <v>87</v>
      </c>
      <c r="H896">
        <v>31044912</v>
      </c>
      <c r="I896">
        <v>755511690</v>
      </c>
      <c r="J896">
        <v>28</v>
      </c>
      <c r="K896">
        <v>22</v>
      </c>
      <c r="L896">
        <v>724466778</v>
      </c>
      <c r="M896">
        <v>3.9469393456314797E-2</v>
      </c>
      <c r="N896" s="1" t="s">
        <v>1522</v>
      </c>
      <c r="O896" s="1" t="s">
        <v>1523</v>
      </c>
      <c r="P896">
        <v>0</v>
      </c>
      <c r="Q896">
        <v>0</v>
      </c>
      <c r="R896">
        <v>0</v>
      </c>
      <c r="S896">
        <v>0</v>
      </c>
      <c r="T896">
        <v>146.3475875</v>
      </c>
      <c r="U896">
        <f t="shared" si="26"/>
        <v>0</v>
      </c>
      <c r="V896">
        <f t="shared" si="27"/>
        <v>0</v>
      </c>
    </row>
    <row r="897" spans="1:22" x14ac:dyDescent="0.2">
      <c r="A897" t="s">
        <v>1484</v>
      </c>
      <c r="B897" t="s">
        <v>24</v>
      </c>
      <c r="C897" t="s">
        <v>76</v>
      </c>
      <c r="D897" t="s">
        <v>77</v>
      </c>
      <c r="E897" s="1" t="s">
        <v>155</v>
      </c>
      <c r="F897" t="s">
        <v>156</v>
      </c>
      <c r="G897" s="1" t="s">
        <v>85</v>
      </c>
      <c r="H897">
        <v>683996</v>
      </c>
      <c r="I897">
        <v>62947</v>
      </c>
      <c r="J897">
        <v>28</v>
      </c>
      <c r="K897">
        <v>43</v>
      </c>
      <c r="L897">
        <v>-621049</v>
      </c>
      <c r="M897" s="1" t="s">
        <v>1524</v>
      </c>
      <c r="N897">
        <v>8.4272829385910297E-2</v>
      </c>
      <c r="O897" s="1" t="s">
        <v>1525</v>
      </c>
      <c r="P897">
        <v>0</v>
      </c>
      <c r="Q897">
        <v>0</v>
      </c>
      <c r="R897">
        <v>0</v>
      </c>
      <c r="S897">
        <v>0</v>
      </c>
      <c r="T897">
        <v>146.3475875</v>
      </c>
      <c r="U897">
        <f t="shared" si="26"/>
        <v>0</v>
      </c>
      <c r="V897">
        <f t="shared" si="27"/>
        <v>0</v>
      </c>
    </row>
    <row r="898" spans="1:22" x14ac:dyDescent="0.2">
      <c r="A898" t="s">
        <v>1484</v>
      </c>
      <c r="B898" t="s">
        <v>24</v>
      </c>
      <c r="C898" t="s">
        <v>76</v>
      </c>
      <c r="D898" t="s">
        <v>77</v>
      </c>
      <c r="E898">
        <v>10</v>
      </c>
      <c r="F898" t="s">
        <v>119</v>
      </c>
      <c r="G898">
        <v>47</v>
      </c>
      <c r="H898">
        <v>159151</v>
      </c>
      <c r="I898">
        <v>944313</v>
      </c>
      <c r="J898">
        <v>66</v>
      </c>
      <c r="K898">
        <v>16</v>
      </c>
      <c r="L898">
        <v>785162</v>
      </c>
      <c r="M898" s="1" t="s">
        <v>1526</v>
      </c>
      <c r="N898" s="1" t="s">
        <v>1527</v>
      </c>
      <c r="O898" s="1" t="s">
        <v>1528</v>
      </c>
      <c r="P898">
        <v>0</v>
      </c>
      <c r="Q898">
        <v>0</v>
      </c>
      <c r="R898">
        <v>0</v>
      </c>
      <c r="S898">
        <v>0</v>
      </c>
      <c r="T898">
        <v>146.3475875</v>
      </c>
      <c r="U898">
        <f t="shared" si="26"/>
        <v>0</v>
      </c>
      <c r="V898">
        <f t="shared" si="27"/>
        <v>0</v>
      </c>
    </row>
    <row r="899" spans="1:22" x14ac:dyDescent="0.2">
      <c r="A899" t="s">
        <v>1484</v>
      </c>
      <c r="B899" t="s">
        <v>24</v>
      </c>
      <c r="C899" t="s">
        <v>76</v>
      </c>
      <c r="D899" t="s">
        <v>77</v>
      </c>
      <c r="E899" s="1" t="s">
        <v>82</v>
      </c>
      <c r="F899" t="s">
        <v>83</v>
      </c>
      <c r="G899">
        <v>12</v>
      </c>
      <c r="H899">
        <v>5907507</v>
      </c>
      <c r="I899">
        <v>123532616</v>
      </c>
      <c r="J899">
        <v>32</v>
      </c>
      <c r="K899">
        <v>14</v>
      </c>
      <c r="L899">
        <v>117625109</v>
      </c>
      <c r="M899">
        <v>4.56389167677166E-2</v>
      </c>
      <c r="N899" s="1" t="s">
        <v>1529</v>
      </c>
      <c r="O899">
        <v>4.7693636785883196E-3</v>
      </c>
      <c r="P899">
        <v>0</v>
      </c>
      <c r="Q899">
        <v>0</v>
      </c>
      <c r="R899">
        <v>0</v>
      </c>
      <c r="S899">
        <v>0</v>
      </c>
      <c r="T899">
        <v>146.3475875</v>
      </c>
      <c r="U899">
        <f t="shared" ref="U899:U962" si="28">IF(OR(P899=1,Q899=1),1,0)</f>
        <v>0</v>
      </c>
      <c r="V899">
        <f t="shared" ref="V899:V962" si="29">IF(OR(R899=1,S899=1),1,0)</f>
        <v>0</v>
      </c>
    </row>
    <row r="900" spans="1:22" x14ac:dyDescent="0.2">
      <c r="A900" t="s">
        <v>1484</v>
      </c>
      <c r="B900" t="s">
        <v>24</v>
      </c>
      <c r="C900" t="s">
        <v>76</v>
      </c>
      <c r="D900" t="s">
        <v>77</v>
      </c>
      <c r="E900" s="1" t="s">
        <v>85</v>
      </c>
      <c r="F900" t="s">
        <v>86</v>
      </c>
      <c r="G900">
        <v>25</v>
      </c>
      <c r="H900">
        <v>1398796</v>
      </c>
      <c r="I900">
        <v>270516</v>
      </c>
      <c r="J900">
        <v>68</v>
      </c>
      <c r="K900">
        <v>54</v>
      </c>
      <c r="L900">
        <v>-1128280</v>
      </c>
      <c r="M900" s="1" t="s">
        <v>1530</v>
      </c>
      <c r="N900" s="1" t="s">
        <v>1531</v>
      </c>
      <c r="O900" s="1" t="s">
        <v>1532</v>
      </c>
      <c r="P900">
        <v>0</v>
      </c>
      <c r="Q900">
        <v>0</v>
      </c>
      <c r="R900">
        <v>0</v>
      </c>
      <c r="S900">
        <v>0</v>
      </c>
      <c r="T900">
        <v>146.3475875</v>
      </c>
      <c r="U900">
        <f t="shared" si="28"/>
        <v>0</v>
      </c>
      <c r="V900">
        <f t="shared" si="29"/>
        <v>0</v>
      </c>
    </row>
    <row r="901" spans="1:22" x14ac:dyDescent="0.2">
      <c r="A901" t="s">
        <v>1484</v>
      </c>
      <c r="B901" t="s">
        <v>24</v>
      </c>
      <c r="C901" t="s">
        <v>76</v>
      </c>
      <c r="D901" t="s">
        <v>77</v>
      </c>
      <c r="E901">
        <v>18</v>
      </c>
      <c r="F901" t="s">
        <v>147</v>
      </c>
      <c r="G901">
        <v>90</v>
      </c>
      <c r="H901">
        <v>9451440</v>
      </c>
      <c r="I901">
        <v>146186556</v>
      </c>
      <c r="J901">
        <v>45</v>
      </c>
      <c r="K901">
        <v>28</v>
      </c>
      <c r="L901">
        <v>136735116</v>
      </c>
      <c r="M901">
        <v>6.0727073355531999E-2</v>
      </c>
      <c r="N901" s="1" t="s">
        <v>1533</v>
      </c>
      <c r="O901">
        <v>5.7346531193474999E-3</v>
      </c>
      <c r="P901">
        <v>0</v>
      </c>
      <c r="Q901">
        <v>0</v>
      </c>
      <c r="R901">
        <v>0</v>
      </c>
      <c r="S901">
        <v>0</v>
      </c>
      <c r="T901">
        <v>146.3475875</v>
      </c>
      <c r="U901">
        <f t="shared" si="28"/>
        <v>0</v>
      </c>
      <c r="V901">
        <f t="shared" si="29"/>
        <v>0</v>
      </c>
    </row>
    <row r="902" spans="1:22" x14ac:dyDescent="0.2">
      <c r="A902" t="s">
        <v>1484</v>
      </c>
      <c r="B902" t="s">
        <v>24</v>
      </c>
      <c r="C902" t="s">
        <v>76</v>
      </c>
      <c r="D902" t="s">
        <v>77</v>
      </c>
      <c r="E902" s="1" t="s">
        <v>82</v>
      </c>
      <c r="F902" t="s">
        <v>83</v>
      </c>
      <c r="G902" s="1" t="s">
        <v>93</v>
      </c>
      <c r="H902">
        <v>1086848</v>
      </c>
      <c r="I902">
        <v>65119</v>
      </c>
      <c r="J902">
        <v>34</v>
      </c>
      <c r="K902">
        <v>82</v>
      </c>
      <c r="L902">
        <v>-1021729</v>
      </c>
      <c r="M902" s="1" t="s">
        <v>1534</v>
      </c>
      <c r="N902" s="1" t="s">
        <v>1535</v>
      </c>
      <c r="O902" s="1" t="s">
        <v>1536</v>
      </c>
      <c r="P902">
        <v>0</v>
      </c>
      <c r="Q902">
        <v>0</v>
      </c>
      <c r="R902">
        <v>0</v>
      </c>
      <c r="S902">
        <v>0</v>
      </c>
      <c r="T902">
        <v>146.3475875</v>
      </c>
      <c r="U902">
        <f t="shared" si="28"/>
        <v>0</v>
      </c>
      <c r="V902">
        <f t="shared" si="29"/>
        <v>0</v>
      </c>
    </row>
    <row r="903" spans="1:22" x14ac:dyDescent="0.2">
      <c r="A903" t="s">
        <v>1484</v>
      </c>
      <c r="B903" t="s">
        <v>24</v>
      </c>
      <c r="C903" t="s">
        <v>76</v>
      </c>
      <c r="D903" t="s">
        <v>77</v>
      </c>
      <c r="E903">
        <v>20</v>
      </c>
      <c r="F903" t="s">
        <v>104</v>
      </c>
      <c r="G903">
        <v>96</v>
      </c>
      <c r="H903">
        <v>15725539</v>
      </c>
      <c r="I903">
        <v>585364614</v>
      </c>
      <c r="J903">
        <v>11</v>
      </c>
      <c r="K903">
        <v>3</v>
      </c>
      <c r="L903">
        <v>569639075</v>
      </c>
      <c r="M903" s="1" t="s">
        <v>1537</v>
      </c>
      <c r="N903" s="1" t="s">
        <v>1538</v>
      </c>
      <c r="O903" s="1" t="s">
        <v>1539</v>
      </c>
      <c r="P903">
        <v>0</v>
      </c>
      <c r="Q903">
        <v>1</v>
      </c>
      <c r="R903">
        <v>0</v>
      </c>
      <c r="S903">
        <v>1</v>
      </c>
      <c r="T903">
        <v>146.3475875</v>
      </c>
      <c r="U903">
        <f t="shared" si="28"/>
        <v>1</v>
      </c>
      <c r="V903">
        <f t="shared" si="29"/>
        <v>1</v>
      </c>
    </row>
    <row r="904" spans="1:22" x14ac:dyDescent="0.2">
      <c r="A904" t="s">
        <v>1484</v>
      </c>
      <c r="B904" t="s">
        <v>24</v>
      </c>
      <c r="C904" t="s">
        <v>76</v>
      </c>
      <c r="D904" t="s">
        <v>77</v>
      </c>
      <c r="E904" s="1" t="s">
        <v>138</v>
      </c>
      <c r="F904" t="s">
        <v>139</v>
      </c>
      <c r="G904">
        <v>24</v>
      </c>
      <c r="H904">
        <v>58232</v>
      </c>
      <c r="I904">
        <v>547033</v>
      </c>
      <c r="J904">
        <v>63</v>
      </c>
      <c r="K904">
        <v>57</v>
      </c>
      <c r="L904">
        <v>488801</v>
      </c>
      <c r="M904">
        <v>9.6209098494048004E-2</v>
      </c>
      <c r="N904">
        <v>0.90379090150595198</v>
      </c>
      <c r="O904" s="1" t="s">
        <v>1540</v>
      </c>
      <c r="P904">
        <v>0</v>
      </c>
      <c r="Q904">
        <v>0</v>
      </c>
      <c r="R904">
        <v>0</v>
      </c>
      <c r="S904">
        <v>0</v>
      </c>
      <c r="T904">
        <v>146.3475875</v>
      </c>
      <c r="U904">
        <f t="shared" si="28"/>
        <v>0</v>
      </c>
      <c r="V904">
        <f t="shared" si="29"/>
        <v>0</v>
      </c>
    </row>
    <row r="905" spans="1:22" x14ac:dyDescent="0.2">
      <c r="A905" t="s">
        <v>1484</v>
      </c>
      <c r="B905" t="s">
        <v>24</v>
      </c>
      <c r="C905" t="s">
        <v>76</v>
      </c>
      <c r="D905" t="s">
        <v>77</v>
      </c>
      <c r="E905">
        <v>11</v>
      </c>
      <c r="F905" t="s">
        <v>127</v>
      </c>
      <c r="G905">
        <v>52</v>
      </c>
      <c r="H905">
        <v>670749</v>
      </c>
      <c r="I905">
        <v>846750</v>
      </c>
      <c r="J905">
        <v>19</v>
      </c>
      <c r="K905">
        <v>35</v>
      </c>
      <c r="L905">
        <v>176001</v>
      </c>
      <c r="M905">
        <v>0.44200951697496998</v>
      </c>
      <c r="N905">
        <v>0.55799048302502996</v>
      </c>
      <c r="O905" s="1" t="s">
        <v>1541</v>
      </c>
      <c r="P905">
        <v>0</v>
      </c>
      <c r="Q905">
        <v>0</v>
      </c>
      <c r="R905">
        <v>0</v>
      </c>
      <c r="S905">
        <v>0</v>
      </c>
      <c r="T905">
        <v>146.3475875</v>
      </c>
      <c r="U905">
        <f t="shared" si="28"/>
        <v>0</v>
      </c>
      <c r="V905">
        <f t="shared" si="29"/>
        <v>0</v>
      </c>
    </row>
    <row r="906" spans="1:22" x14ac:dyDescent="0.2">
      <c r="A906" t="s">
        <v>1484</v>
      </c>
      <c r="B906" t="s">
        <v>24</v>
      </c>
      <c r="C906" t="s">
        <v>76</v>
      </c>
      <c r="D906" t="s">
        <v>77</v>
      </c>
      <c r="E906" s="1" t="s">
        <v>99</v>
      </c>
      <c r="F906" t="s">
        <v>100</v>
      </c>
      <c r="G906">
        <v>39</v>
      </c>
      <c r="H906">
        <v>21107861</v>
      </c>
      <c r="I906">
        <v>332079613</v>
      </c>
      <c r="J906">
        <v>41</v>
      </c>
      <c r="K906">
        <v>20</v>
      </c>
      <c r="L906">
        <v>310971752</v>
      </c>
      <c r="M906">
        <v>5.9763900347156701E-2</v>
      </c>
      <c r="N906" s="1" t="s">
        <v>1542</v>
      </c>
      <c r="O906">
        <v>1.30135808834789E-2</v>
      </c>
      <c r="P906">
        <v>0</v>
      </c>
      <c r="Q906">
        <v>0</v>
      </c>
      <c r="R906">
        <v>0</v>
      </c>
      <c r="S906">
        <v>0</v>
      </c>
      <c r="T906">
        <v>146.3475875</v>
      </c>
      <c r="U906">
        <f t="shared" si="28"/>
        <v>0</v>
      </c>
      <c r="V906">
        <f t="shared" si="29"/>
        <v>0</v>
      </c>
    </row>
    <row r="907" spans="1:22" x14ac:dyDescent="0.2">
      <c r="A907" t="s">
        <v>1484</v>
      </c>
      <c r="B907" t="s">
        <v>24</v>
      </c>
      <c r="C907" t="s">
        <v>76</v>
      </c>
      <c r="D907" t="s">
        <v>77</v>
      </c>
      <c r="E907" s="1" t="s">
        <v>82</v>
      </c>
      <c r="F907" t="s">
        <v>83</v>
      </c>
      <c r="G907">
        <v>11</v>
      </c>
      <c r="H907">
        <v>569546</v>
      </c>
      <c r="I907">
        <v>250411</v>
      </c>
      <c r="J907">
        <v>54</v>
      </c>
      <c r="K907">
        <v>35</v>
      </c>
      <c r="L907">
        <v>-319135</v>
      </c>
      <c r="M907" s="1" t="s">
        <v>1543</v>
      </c>
      <c r="N907" s="1" t="s">
        <v>1544</v>
      </c>
      <c r="O907" s="1" t="s">
        <v>1545</v>
      </c>
      <c r="P907">
        <v>0</v>
      </c>
      <c r="Q907">
        <v>0</v>
      </c>
      <c r="R907">
        <v>0</v>
      </c>
      <c r="S907">
        <v>0</v>
      </c>
      <c r="T907">
        <v>146.3475875</v>
      </c>
      <c r="U907">
        <f t="shared" si="28"/>
        <v>0</v>
      </c>
      <c r="V907">
        <f t="shared" si="29"/>
        <v>0</v>
      </c>
    </row>
    <row r="908" spans="1:22" x14ac:dyDescent="0.2">
      <c r="A908" t="s">
        <v>1484</v>
      </c>
      <c r="B908" t="s">
        <v>24</v>
      </c>
      <c r="C908" t="s">
        <v>76</v>
      </c>
      <c r="D908" t="s">
        <v>77</v>
      </c>
      <c r="E908">
        <v>17</v>
      </c>
      <c r="F908" t="s">
        <v>97</v>
      </c>
      <c r="G908">
        <v>86</v>
      </c>
      <c r="H908">
        <v>8118007</v>
      </c>
      <c r="I908">
        <v>10672915</v>
      </c>
      <c r="J908">
        <v>24</v>
      </c>
      <c r="K908">
        <v>18</v>
      </c>
      <c r="L908">
        <v>2554908</v>
      </c>
      <c r="M908" s="1" t="s">
        <v>1546</v>
      </c>
      <c r="N908" s="1" t="s">
        <v>1547</v>
      </c>
      <c r="O908" s="1" t="s">
        <v>1548</v>
      </c>
      <c r="P908">
        <v>0</v>
      </c>
      <c r="Q908">
        <v>0</v>
      </c>
      <c r="R908">
        <v>0</v>
      </c>
      <c r="S908">
        <v>0</v>
      </c>
      <c r="T908">
        <v>146.3475875</v>
      </c>
      <c r="U908">
        <f t="shared" si="28"/>
        <v>0</v>
      </c>
      <c r="V908">
        <f t="shared" si="29"/>
        <v>0</v>
      </c>
    </row>
    <row r="909" spans="1:22" x14ac:dyDescent="0.2">
      <c r="A909" t="s">
        <v>1484</v>
      </c>
      <c r="B909" t="s">
        <v>24</v>
      </c>
      <c r="C909" t="s">
        <v>76</v>
      </c>
      <c r="D909" t="s">
        <v>77</v>
      </c>
      <c r="E909">
        <v>20</v>
      </c>
      <c r="F909" t="s">
        <v>104</v>
      </c>
      <c r="G909">
        <v>94</v>
      </c>
      <c r="H909">
        <v>3008346</v>
      </c>
      <c r="I909">
        <v>65853263</v>
      </c>
      <c r="J909">
        <v>48</v>
      </c>
      <c r="K909">
        <v>24</v>
      </c>
      <c r="L909">
        <v>62844917</v>
      </c>
      <c r="M909" s="1" t="s">
        <v>1549</v>
      </c>
      <c r="N909" s="1" t="s">
        <v>1550</v>
      </c>
      <c r="O909">
        <v>2.5372817114346401E-3</v>
      </c>
      <c r="P909">
        <v>0</v>
      </c>
      <c r="Q909">
        <v>0</v>
      </c>
      <c r="R909">
        <v>0</v>
      </c>
      <c r="S909">
        <v>0</v>
      </c>
      <c r="T909">
        <v>146.3475875</v>
      </c>
      <c r="U909">
        <f t="shared" si="28"/>
        <v>0</v>
      </c>
      <c r="V909">
        <f t="shared" si="29"/>
        <v>0</v>
      </c>
    </row>
    <row r="910" spans="1:22" x14ac:dyDescent="0.2">
      <c r="A910" t="s">
        <v>1484</v>
      </c>
      <c r="B910" t="s">
        <v>24</v>
      </c>
      <c r="C910" t="s">
        <v>76</v>
      </c>
      <c r="D910" t="s">
        <v>77</v>
      </c>
      <c r="E910" s="1" t="s">
        <v>89</v>
      </c>
      <c r="F910" t="s">
        <v>90</v>
      </c>
      <c r="G910">
        <v>38</v>
      </c>
      <c r="H910">
        <v>3079984</v>
      </c>
      <c r="I910">
        <v>238986508</v>
      </c>
      <c r="J910">
        <v>61</v>
      </c>
      <c r="K910">
        <v>16</v>
      </c>
      <c r="L910">
        <v>235906524</v>
      </c>
      <c r="M910" s="1" t="s">
        <v>1551</v>
      </c>
      <c r="N910" s="1" t="s">
        <v>1552</v>
      </c>
      <c r="O910">
        <v>8.919206100786E-3</v>
      </c>
      <c r="P910">
        <v>0</v>
      </c>
      <c r="Q910">
        <v>0</v>
      </c>
      <c r="R910">
        <v>0</v>
      </c>
      <c r="S910">
        <v>0</v>
      </c>
      <c r="T910">
        <v>146.3475875</v>
      </c>
      <c r="U910">
        <f t="shared" si="28"/>
        <v>0</v>
      </c>
      <c r="V910">
        <f t="shared" si="29"/>
        <v>0</v>
      </c>
    </row>
    <row r="911" spans="1:22" x14ac:dyDescent="0.2">
      <c r="A911" t="s">
        <v>1484</v>
      </c>
      <c r="B911" t="s">
        <v>24</v>
      </c>
      <c r="C911" t="s">
        <v>76</v>
      </c>
      <c r="D911" t="s">
        <v>77</v>
      </c>
      <c r="E911">
        <v>11</v>
      </c>
      <c r="F911" t="s">
        <v>127</v>
      </c>
      <c r="G911">
        <v>62</v>
      </c>
      <c r="H911">
        <v>1235994</v>
      </c>
      <c r="I911">
        <v>8107234</v>
      </c>
      <c r="J911">
        <v>34</v>
      </c>
      <c r="K911">
        <v>41</v>
      </c>
      <c r="L911">
        <v>6871240</v>
      </c>
      <c r="M911" s="1" t="s">
        <v>1553</v>
      </c>
      <c r="N911" s="1" t="s">
        <v>1554</v>
      </c>
      <c r="O911" s="1" t="s">
        <v>1555</v>
      </c>
      <c r="P911">
        <v>0</v>
      </c>
      <c r="Q911">
        <v>0</v>
      </c>
      <c r="R911">
        <v>0</v>
      </c>
      <c r="S911">
        <v>0</v>
      </c>
      <c r="T911">
        <v>146.3475875</v>
      </c>
      <c r="U911">
        <f t="shared" si="28"/>
        <v>0</v>
      </c>
      <c r="V911">
        <f t="shared" si="29"/>
        <v>0</v>
      </c>
    </row>
    <row r="912" spans="1:22" x14ac:dyDescent="0.2">
      <c r="A912" t="s">
        <v>1484</v>
      </c>
      <c r="B912" t="s">
        <v>24</v>
      </c>
      <c r="C912" t="s">
        <v>76</v>
      </c>
      <c r="D912" t="s">
        <v>77</v>
      </c>
      <c r="E912">
        <v>15</v>
      </c>
      <c r="F912" t="s">
        <v>88</v>
      </c>
      <c r="G912">
        <v>81</v>
      </c>
      <c r="H912">
        <v>188667</v>
      </c>
      <c r="I912">
        <v>164579</v>
      </c>
      <c r="J912">
        <v>55</v>
      </c>
      <c r="K912">
        <v>37</v>
      </c>
      <c r="L912">
        <v>-24088</v>
      </c>
      <c r="M912" s="1" t="s">
        <v>1556</v>
      </c>
      <c r="N912" s="1" t="s">
        <v>1557</v>
      </c>
      <c r="O912" s="1" t="s">
        <v>1558</v>
      </c>
      <c r="P912">
        <v>0</v>
      </c>
      <c r="Q912">
        <v>0</v>
      </c>
      <c r="R912">
        <v>0</v>
      </c>
      <c r="S912">
        <v>0</v>
      </c>
      <c r="T912">
        <v>146.3475875</v>
      </c>
      <c r="U912">
        <f t="shared" si="28"/>
        <v>0</v>
      </c>
      <c r="V912">
        <f t="shared" si="29"/>
        <v>0</v>
      </c>
    </row>
    <row r="913" spans="1:22" x14ac:dyDescent="0.2">
      <c r="A913" t="s">
        <v>1484</v>
      </c>
      <c r="B913" t="s">
        <v>24</v>
      </c>
      <c r="C913" t="s">
        <v>76</v>
      </c>
      <c r="D913" t="s">
        <v>77</v>
      </c>
      <c r="E913">
        <v>12</v>
      </c>
      <c r="F913" t="s">
        <v>194</v>
      </c>
      <c r="G913">
        <v>65</v>
      </c>
      <c r="H913">
        <v>45252</v>
      </c>
      <c r="I913">
        <v>17131</v>
      </c>
      <c r="J913">
        <v>38</v>
      </c>
      <c r="K913">
        <v>55</v>
      </c>
      <c r="L913">
        <v>-28121</v>
      </c>
      <c r="M913" s="1" t="s">
        <v>1559</v>
      </c>
      <c r="N913" s="1" t="s">
        <v>1560</v>
      </c>
      <c r="O913" s="1" t="s">
        <v>1561</v>
      </c>
      <c r="P913">
        <v>0</v>
      </c>
      <c r="Q913">
        <v>0</v>
      </c>
      <c r="R913">
        <v>0</v>
      </c>
      <c r="S913">
        <v>0</v>
      </c>
      <c r="T913">
        <v>146.3475875</v>
      </c>
      <c r="U913">
        <f t="shared" si="28"/>
        <v>0</v>
      </c>
      <c r="V913">
        <f t="shared" si="29"/>
        <v>0</v>
      </c>
    </row>
    <row r="914" spans="1:22" x14ac:dyDescent="0.2">
      <c r="A914" t="s">
        <v>1484</v>
      </c>
      <c r="B914" t="s">
        <v>24</v>
      </c>
      <c r="C914" t="s">
        <v>76</v>
      </c>
      <c r="D914" t="s">
        <v>77</v>
      </c>
      <c r="E914">
        <v>11</v>
      </c>
      <c r="F914" t="s">
        <v>127</v>
      </c>
      <c r="G914">
        <v>57</v>
      </c>
      <c r="H914">
        <v>61085</v>
      </c>
      <c r="I914">
        <v>614009</v>
      </c>
      <c r="J914">
        <v>28</v>
      </c>
      <c r="K914">
        <v>39</v>
      </c>
      <c r="L914">
        <v>552924</v>
      </c>
      <c r="M914">
        <v>9.04836956038714E-2</v>
      </c>
      <c r="N914" s="1" t="s">
        <v>1562</v>
      </c>
      <c r="O914" s="1" t="s">
        <v>1563</v>
      </c>
      <c r="P914">
        <v>0</v>
      </c>
      <c r="Q914">
        <v>0</v>
      </c>
      <c r="R914">
        <v>0</v>
      </c>
      <c r="S914">
        <v>0</v>
      </c>
      <c r="T914">
        <v>146.3475875</v>
      </c>
      <c r="U914">
        <f t="shared" si="28"/>
        <v>0</v>
      </c>
      <c r="V914">
        <f t="shared" si="29"/>
        <v>0</v>
      </c>
    </row>
    <row r="915" spans="1:22" x14ac:dyDescent="0.2">
      <c r="A915" t="s">
        <v>1484</v>
      </c>
      <c r="B915" t="s">
        <v>24</v>
      </c>
      <c r="C915" t="s">
        <v>76</v>
      </c>
      <c r="D915" t="s">
        <v>77</v>
      </c>
      <c r="E915">
        <v>20</v>
      </c>
      <c r="F915" t="s">
        <v>104</v>
      </c>
      <c r="G915">
        <v>95</v>
      </c>
      <c r="H915">
        <v>727833</v>
      </c>
      <c r="I915">
        <v>25622191</v>
      </c>
      <c r="J915">
        <v>44</v>
      </c>
      <c r="K915">
        <v>25</v>
      </c>
      <c r="L915">
        <v>24894358</v>
      </c>
      <c r="M915" s="1" t="s">
        <v>1564</v>
      </c>
      <c r="N915" s="1" t="s">
        <v>1565</v>
      </c>
      <c r="O915" s="1" t="s">
        <v>1566</v>
      </c>
      <c r="P915">
        <v>0</v>
      </c>
      <c r="Q915">
        <v>0</v>
      </c>
      <c r="R915">
        <v>0</v>
      </c>
      <c r="S915">
        <v>0</v>
      </c>
      <c r="T915">
        <v>146.3475875</v>
      </c>
      <c r="U915">
        <f t="shared" si="28"/>
        <v>0</v>
      </c>
      <c r="V915">
        <f t="shared" si="29"/>
        <v>0</v>
      </c>
    </row>
    <row r="916" spans="1:22" x14ac:dyDescent="0.2">
      <c r="A916" t="s">
        <v>1484</v>
      </c>
      <c r="B916" t="s">
        <v>24</v>
      </c>
      <c r="C916" t="s">
        <v>76</v>
      </c>
      <c r="D916" t="s">
        <v>77</v>
      </c>
      <c r="E916" s="1" t="s">
        <v>155</v>
      </c>
      <c r="F916" t="s">
        <v>156</v>
      </c>
      <c r="G916" s="1" t="s">
        <v>155</v>
      </c>
      <c r="H916">
        <v>442933</v>
      </c>
      <c r="I916">
        <v>109829876</v>
      </c>
      <c r="J916">
        <v>23</v>
      </c>
      <c r="K916">
        <v>5</v>
      </c>
      <c r="L916">
        <v>109386943</v>
      </c>
      <c r="M916">
        <v>4.0167018870445204E-3</v>
      </c>
      <c r="N916" s="1" t="s">
        <v>1567</v>
      </c>
      <c r="O916">
        <v>4.0631229157632003E-3</v>
      </c>
      <c r="P916">
        <v>0</v>
      </c>
      <c r="Q916">
        <v>1</v>
      </c>
      <c r="R916">
        <v>0</v>
      </c>
      <c r="S916">
        <v>1</v>
      </c>
      <c r="T916">
        <v>146.3475875</v>
      </c>
      <c r="U916">
        <f t="shared" si="28"/>
        <v>1</v>
      </c>
      <c r="V916">
        <f t="shared" si="29"/>
        <v>1</v>
      </c>
    </row>
    <row r="917" spans="1:22" x14ac:dyDescent="0.2">
      <c r="A917" t="s">
        <v>1484</v>
      </c>
      <c r="B917" t="s">
        <v>24</v>
      </c>
      <c r="C917" t="s">
        <v>76</v>
      </c>
      <c r="D917" t="s">
        <v>77</v>
      </c>
      <c r="E917">
        <v>17</v>
      </c>
      <c r="F917" t="s">
        <v>97</v>
      </c>
      <c r="G917">
        <v>88</v>
      </c>
      <c r="H917">
        <v>2488911</v>
      </c>
      <c r="I917">
        <v>57635</v>
      </c>
      <c r="J917">
        <v>52</v>
      </c>
      <c r="K917">
        <v>64</v>
      </c>
      <c r="L917">
        <v>-2431276</v>
      </c>
      <c r="M917" s="1" t="s">
        <v>1568</v>
      </c>
      <c r="N917" s="1" t="s">
        <v>1569</v>
      </c>
      <c r="O917" s="1" t="s">
        <v>1570</v>
      </c>
      <c r="P917">
        <v>0</v>
      </c>
      <c r="Q917">
        <v>0</v>
      </c>
      <c r="R917">
        <v>0</v>
      </c>
      <c r="S917">
        <v>0</v>
      </c>
      <c r="T917">
        <v>146.3475875</v>
      </c>
      <c r="U917">
        <f t="shared" si="28"/>
        <v>0</v>
      </c>
      <c r="V917">
        <f t="shared" si="29"/>
        <v>0</v>
      </c>
    </row>
    <row r="918" spans="1:22" x14ac:dyDescent="0.2">
      <c r="A918" t="s">
        <v>1484</v>
      </c>
      <c r="B918" t="s">
        <v>24</v>
      </c>
      <c r="C918" t="s">
        <v>76</v>
      </c>
      <c r="D918" t="s">
        <v>77</v>
      </c>
      <c r="E918" s="1" t="s">
        <v>89</v>
      </c>
      <c r="F918" t="s">
        <v>90</v>
      </c>
      <c r="G918">
        <v>34</v>
      </c>
      <c r="H918">
        <v>1508588</v>
      </c>
      <c r="I918">
        <v>132515279</v>
      </c>
      <c r="J918">
        <v>43</v>
      </c>
      <c r="K918">
        <v>14</v>
      </c>
      <c r="L918">
        <v>131006691</v>
      </c>
      <c r="M918" s="1" t="s">
        <v>1571</v>
      </c>
      <c r="N918" s="1" t="s">
        <v>1572</v>
      </c>
      <c r="O918">
        <v>4.9382567670593997E-3</v>
      </c>
      <c r="P918">
        <v>0</v>
      </c>
      <c r="Q918">
        <v>0</v>
      </c>
      <c r="R918">
        <v>0</v>
      </c>
      <c r="S918">
        <v>0</v>
      </c>
      <c r="T918">
        <v>146.3475875</v>
      </c>
      <c r="U918">
        <f t="shared" si="28"/>
        <v>0</v>
      </c>
      <c r="V918">
        <f t="shared" si="29"/>
        <v>0</v>
      </c>
    </row>
    <row r="919" spans="1:22" x14ac:dyDescent="0.2">
      <c r="A919" t="s">
        <v>1484</v>
      </c>
      <c r="B919" t="s">
        <v>24</v>
      </c>
      <c r="C919" t="s">
        <v>76</v>
      </c>
      <c r="D919" t="s">
        <v>77</v>
      </c>
      <c r="E919" s="1" t="s">
        <v>82</v>
      </c>
      <c r="F919" t="s">
        <v>83</v>
      </c>
      <c r="G919">
        <v>10</v>
      </c>
      <c r="H919">
        <v>937057</v>
      </c>
      <c r="I919">
        <v>341313708</v>
      </c>
      <c r="J919">
        <v>108</v>
      </c>
      <c r="K919">
        <v>1</v>
      </c>
      <c r="L919">
        <v>340376651</v>
      </c>
      <c r="M919">
        <v>2.7379252169093E-3</v>
      </c>
      <c r="N919" s="1" t="s">
        <v>1573</v>
      </c>
      <c r="O919" s="1" t="s">
        <v>1574</v>
      </c>
      <c r="P919">
        <v>0</v>
      </c>
      <c r="Q919">
        <v>1</v>
      </c>
      <c r="R919">
        <v>0</v>
      </c>
      <c r="S919">
        <v>1</v>
      </c>
      <c r="T919">
        <v>146.3475875</v>
      </c>
      <c r="U919">
        <f t="shared" si="28"/>
        <v>1</v>
      </c>
      <c r="V919">
        <f t="shared" si="29"/>
        <v>1</v>
      </c>
    </row>
    <row r="920" spans="1:22" x14ac:dyDescent="0.2">
      <c r="A920" t="s">
        <v>1484</v>
      </c>
      <c r="B920" t="s">
        <v>24</v>
      </c>
      <c r="C920" t="s">
        <v>76</v>
      </c>
      <c r="D920" t="s">
        <v>77</v>
      </c>
      <c r="E920">
        <v>10</v>
      </c>
      <c r="F920" t="s">
        <v>119</v>
      </c>
      <c r="G920">
        <v>49</v>
      </c>
      <c r="H920">
        <v>184588</v>
      </c>
      <c r="I920">
        <v>6196896</v>
      </c>
      <c r="J920">
        <v>62</v>
      </c>
      <c r="K920">
        <v>25</v>
      </c>
      <c r="L920">
        <v>6012308</v>
      </c>
      <c r="M920" s="1" t="s">
        <v>1575</v>
      </c>
      <c r="N920" s="1" t="s">
        <v>1576</v>
      </c>
      <c r="O920" s="1" t="s">
        <v>1577</v>
      </c>
      <c r="P920">
        <v>0</v>
      </c>
      <c r="Q920">
        <v>0</v>
      </c>
      <c r="R920">
        <v>0</v>
      </c>
      <c r="S920">
        <v>0</v>
      </c>
      <c r="T920">
        <v>146.3475875</v>
      </c>
      <c r="U920">
        <f t="shared" si="28"/>
        <v>0</v>
      </c>
      <c r="V920">
        <f t="shared" si="29"/>
        <v>0</v>
      </c>
    </row>
    <row r="921" spans="1:22" x14ac:dyDescent="0.2">
      <c r="A921" t="s">
        <v>1484</v>
      </c>
      <c r="B921" t="s">
        <v>24</v>
      </c>
      <c r="C921" t="s">
        <v>76</v>
      </c>
      <c r="D921" t="s">
        <v>77</v>
      </c>
      <c r="E921" s="1" t="s">
        <v>89</v>
      </c>
      <c r="F921" t="s">
        <v>90</v>
      </c>
      <c r="G921">
        <v>32</v>
      </c>
      <c r="H921">
        <v>480325</v>
      </c>
      <c r="I921">
        <v>18149100</v>
      </c>
      <c r="J921">
        <v>64</v>
      </c>
      <c r="K921">
        <v>33</v>
      </c>
      <c r="L921">
        <v>17668775</v>
      </c>
      <c r="M921" s="1" t="s">
        <v>1578</v>
      </c>
      <c r="N921">
        <v>0.97421686391286899</v>
      </c>
      <c r="O921" s="1" t="s">
        <v>1579</v>
      </c>
      <c r="P921">
        <v>0</v>
      </c>
      <c r="Q921">
        <v>0</v>
      </c>
      <c r="R921">
        <v>0</v>
      </c>
      <c r="S921">
        <v>0</v>
      </c>
      <c r="T921">
        <v>146.3475875</v>
      </c>
      <c r="U921">
        <f t="shared" si="28"/>
        <v>0</v>
      </c>
      <c r="V921">
        <f t="shared" si="29"/>
        <v>0</v>
      </c>
    </row>
    <row r="922" spans="1:22" x14ac:dyDescent="0.2">
      <c r="A922" t="s">
        <v>1484</v>
      </c>
      <c r="B922" t="s">
        <v>24</v>
      </c>
      <c r="C922" t="s">
        <v>76</v>
      </c>
      <c r="D922" t="s">
        <v>77</v>
      </c>
      <c r="E922" s="1" t="s">
        <v>82</v>
      </c>
      <c r="F922" t="s">
        <v>83</v>
      </c>
      <c r="G922">
        <v>14</v>
      </c>
      <c r="H922">
        <v>7008</v>
      </c>
      <c r="I922">
        <v>0</v>
      </c>
      <c r="J922">
        <v>30</v>
      </c>
      <c r="K922">
        <v>52</v>
      </c>
      <c r="L922">
        <v>-7008</v>
      </c>
      <c r="M922">
        <v>1</v>
      </c>
      <c r="N922">
        <v>0</v>
      </c>
      <c r="O922" s="1" t="s">
        <v>1580</v>
      </c>
      <c r="P922">
        <v>0</v>
      </c>
      <c r="Q922">
        <v>0</v>
      </c>
      <c r="R922">
        <v>0</v>
      </c>
      <c r="S922">
        <v>0</v>
      </c>
      <c r="T922">
        <v>146.3475875</v>
      </c>
      <c r="U922">
        <f t="shared" si="28"/>
        <v>0</v>
      </c>
      <c r="V922">
        <f t="shared" si="29"/>
        <v>0</v>
      </c>
    </row>
    <row r="923" spans="1:22" x14ac:dyDescent="0.2">
      <c r="A923" t="s">
        <v>1484</v>
      </c>
      <c r="B923" t="s">
        <v>24</v>
      </c>
      <c r="C923" t="s">
        <v>76</v>
      </c>
      <c r="D923" t="s">
        <v>77</v>
      </c>
      <c r="E923" s="1" t="s">
        <v>110</v>
      </c>
      <c r="F923" t="s">
        <v>111</v>
      </c>
      <c r="G923">
        <v>15</v>
      </c>
      <c r="H923">
        <v>25128</v>
      </c>
      <c r="I923">
        <v>2223</v>
      </c>
      <c r="J923">
        <v>93</v>
      </c>
      <c r="K923">
        <v>80</v>
      </c>
      <c r="L923">
        <v>-22905</v>
      </c>
      <c r="M923" s="1" t="s">
        <v>1581</v>
      </c>
      <c r="N923">
        <v>8.1276735768344793E-2</v>
      </c>
      <c r="O923" s="1" t="s">
        <v>1582</v>
      </c>
      <c r="P923">
        <v>0</v>
      </c>
      <c r="Q923">
        <v>0</v>
      </c>
      <c r="R923">
        <v>0</v>
      </c>
      <c r="S923">
        <v>0</v>
      </c>
      <c r="T923">
        <v>146.3475875</v>
      </c>
      <c r="U923">
        <f t="shared" si="28"/>
        <v>0</v>
      </c>
      <c r="V923">
        <f t="shared" si="29"/>
        <v>0</v>
      </c>
    </row>
    <row r="924" spans="1:22" x14ac:dyDescent="0.2">
      <c r="A924" t="s">
        <v>1484</v>
      </c>
      <c r="B924" t="s">
        <v>24</v>
      </c>
      <c r="C924" t="s">
        <v>76</v>
      </c>
      <c r="D924" t="s">
        <v>77</v>
      </c>
      <c r="E924">
        <v>12</v>
      </c>
      <c r="F924" t="s">
        <v>194</v>
      </c>
      <c r="G924">
        <v>64</v>
      </c>
      <c r="H924">
        <v>117152</v>
      </c>
      <c r="I924">
        <v>57812</v>
      </c>
      <c r="J924">
        <v>53</v>
      </c>
      <c r="K924">
        <v>69</v>
      </c>
      <c r="L924">
        <v>-59340</v>
      </c>
      <c r="M924" s="1" t="s">
        <v>1583</v>
      </c>
      <c r="N924" s="1" t="s">
        <v>1584</v>
      </c>
      <c r="O924" s="1" t="s">
        <v>1585</v>
      </c>
      <c r="P924">
        <v>0</v>
      </c>
      <c r="Q924">
        <v>0</v>
      </c>
      <c r="R924">
        <v>0</v>
      </c>
      <c r="S924">
        <v>0</v>
      </c>
      <c r="T924">
        <v>146.3475875</v>
      </c>
      <c r="U924">
        <f t="shared" si="28"/>
        <v>0</v>
      </c>
      <c r="V924">
        <f t="shared" si="29"/>
        <v>0</v>
      </c>
    </row>
    <row r="925" spans="1:22" x14ac:dyDescent="0.2">
      <c r="A925" t="s">
        <v>1484</v>
      </c>
      <c r="B925" t="s">
        <v>24</v>
      </c>
      <c r="C925" t="s">
        <v>76</v>
      </c>
      <c r="D925" t="s">
        <v>77</v>
      </c>
      <c r="E925">
        <v>11</v>
      </c>
      <c r="F925" t="s">
        <v>127</v>
      </c>
      <c r="G925">
        <v>63</v>
      </c>
      <c r="H925">
        <v>1102095</v>
      </c>
      <c r="I925">
        <v>7559520</v>
      </c>
      <c r="J925">
        <v>35</v>
      </c>
      <c r="K925">
        <v>29</v>
      </c>
      <c r="L925">
        <v>6457425</v>
      </c>
      <c r="M925" s="1" t="s">
        <v>1586</v>
      </c>
      <c r="N925" s="1" t="s">
        <v>1587</v>
      </c>
      <c r="O925" s="1" t="s">
        <v>1588</v>
      </c>
      <c r="P925">
        <v>0</v>
      </c>
      <c r="Q925">
        <v>0</v>
      </c>
      <c r="R925">
        <v>0</v>
      </c>
      <c r="S925">
        <v>0</v>
      </c>
      <c r="T925">
        <v>146.3475875</v>
      </c>
      <c r="U925">
        <f t="shared" si="28"/>
        <v>0</v>
      </c>
      <c r="V925">
        <f t="shared" si="29"/>
        <v>0</v>
      </c>
    </row>
    <row r="926" spans="1:22" x14ac:dyDescent="0.2">
      <c r="A926" t="s">
        <v>1484</v>
      </c>
      <c r="B926" t="s">
        <v>24</v>
      </c>
      <c r="C926" t="s">
        <v>76</v>
      </c>
      <c r="D926" t="s">
        <v>77</v>
      </c>
      <c r="E926">
        <v>21</v>
      </c>
      <c r="F926" t="s">
        <v>212</v>
      </c>
      <c r="G926">
        <v>97</v>
      </c>
      <c r="H926">
        <v>11260</v>
      </c>
      <c r="I926">
        <v>15481</v>
      </c>
      <c r="J926">
        <v>64</v>
      </c>
      <c r="K926">
        <v>54</v>
      </c>
      <c r="L926">
        <v>4221</v>
      </c>
      <c r="M926" s="1" t="s">
        <v>1589</v>
      </c>
      <c r="N926" s="1" t="s">
        <v>1590</v>
      </c>
      <c r="O926" s="1" t="s">
        <v>1591</v>
      </c>
      <c r="P926">
        <v>0</v>
      </c>
      <c r="Q926">
        <v>0</v>
      </c>
      <c r="R926">
        <v>0</v>
      </c>
      <c r="S926">
        <v>0</v>
      </c>
      <c r="T926">
        <v>146.3475875</v>
      </c>
      <c r="U926">
        <f t="shared" si="28"/>
        <v>0</v>
      </c>
      <c r="V926">
        <f t="shared" si="29"/>
        <v>0</v>
      </c>
    </row>
    <row r="927" spans="1:22" x14ac:dyDescent="0.2">
      <c r="A927" t="s">
        <v>1484</v>
      </c>
      <c r="B927" t="s">
        <v>24</v>
      </c>
      <c r="C927" t="s">
        <v>76</v>
      </c>
      <c r="D927" t="s">
        <v>77</v>
      </c>
      <c r="E927">
        <v>14</v>
      </c>
      <c r="F927" t="s">
        <v>261</v>
      </c>
      <c r="G927">
        <v>71</v>
      </c>
      <c r="H927">
        <v>28743</v>
      </c>
      <c r="I927">
        <v>44881</v>
      </c>
      <c r="J927">
        <v>68</v>
      </c>
      <c r="K927">
        <v>55</v>
      </c>
      <c r="L927">
        <v>16138</v>
      </c>
      <c r="M927" s="1" t="s">
        <v>1592</v>
      </c>
      <c r="N927">
        <v>0.60959741388677602</v>
      </c>
      <c r="O927" s="1" t="s">
        <v>1593</v>
      </c>
      <c r="P927">
        <v>0</v>
      </c>
      <c r="Q927">
        <v>0</v>
      </c>
      <c r="R927">
        <v>0</v>
      </c>
      <c r="S927">
        <v>0</v>
      </c>
      <c r="T927">
        <v>146.3475875</v>
      </c>
      <c r="U927">
        <f t="shared" si="28"/>
        <v>0</v>
      </c>
      <c r="V927">
        <f t="shared" si="29"/>
        <v>0</v>
      </c>
    </row>
    <row r="928" spans="1:22" x14ac:dyDescent="0.2">
      <c r="A928" t="s">
        <v>1484</v>
      </c>
      <c r="B928" t="s">
        <v>24</v>
      </c>
      <c r="C928" t="s">
        <v>76</v>
      </c>
      <c r="D928" t="s">
        <v>77</v>
      </c>
      <c r="E928">
        <v>15</v>
      </c>
      <c r="F928" t="s">
        <v>88</v>
      </c>
      <c r="G928">
        <v>74</v>
      </c>
      <c r="H928">
        <v>14523</v>
      </c>
      <c r="I928">
        <v>5394075</v>
      </c>
      <c r="J928">
        <v>81</v>
      </c>
      <c r="K928">
        <v>37</v>
      </c>
      <c r="L928">
        <v>5379552</v>
      </c>
      <c r="M928">
        <v>2.6851690585989198E-3</v>
      </c>
      <c r="N928">
        <v>0.99731483094140105</v>
      </c>
      <c r="O928" s="1" t="s">
        <v>1594</v>
      </c>
      <c r="P928">
        <v>0</v>
      </c>
      <c r="Q928">
        <v>0</v>
      </c>
      <c r="R928">
        <v>0</v>
      </c>
      <c r="S928">
        <v>0</v>
      </c>
      <c r="T928">
        <v>146.3475875</v>
      </c>
      <c r="U928">
        <f t="shared" si="28"/>
        <v>0</v>
      </c>
      <c r="V928">
        <f t="shared" si="29"/>
        <v>0</v>
      </c>
    </row>
    <row r="929" spans="1:22" x14ac:dyDescent="0.2">
      <c r="A929" t="s">
        <v>1484</v>
      </c>
      <c r="B929" t="s">
        <v>24</v>
      </c>
      <c r="C929" t="s">
        <v>76</v>
      </c>
      <c r="D929" t="s">
        <v>77</v>
      </c>
      <c r="E929">
        <v>18</v>
      </c>
      <c r="F929" t="s">
        <v>147</v>
      </c>
      <c r="G929">
        <v>92</v>
      </c>
      <c r="H929">
        <v>36731</v>
      </c>
      <c r="I929">
        <v>324410</v>
      </c>
      <c r="J929">
        <v>33</v>
      </c>
      <c r="K929">
        <v>31</v>
      </c>
      <c r="L929">
        <v>287679</v>
      </c>
      <c r="M929" s="1" t="s">
        <v>1595</v>
      </c>
      <c r="N929" s="1" t="s">
        <v>1596</v>
      </c>
      <c r="O929" s="1" t="s">
        <v>1597</v>
      </c>
      <c r="P929">
        <v>0</v>
      </c>
      <c r="Q929">
        <v>0</v>
      </c>
      <c r="R929">
        <v>0</v>
      </c>
      <c r="S929">
        <v>0</v>
      </c>
      <c r="T929">
        <v>146.3475875</v>
      </c>
      <c r="U929">
        <f t="shared" si="28"/>
        <v>0</v>
      </c>
      <c r="V929">
        <f t="shared" si="29"/>
        <v>0</v>
      </c>
    </row>
    <row r="930" spans="1:22" x14ac:dyDescent="0.2">
      <c r="A930" t="s">
        <v>1484</v>
      </c>
      <c r="B930" t="s">
        <v>24</v>
      </c>
      <c r="C930" t="s">
        <v>76</v>
      </c>
      <c r="D930" t="s">
        <v>77</v>
      </c>
      <c r="E930">
        <v>11</v>
      </c>
      <c r="F930" t="s">
        <v>127</v>
      </c>
      <c r="G930">
        <v>56</v>
      </c>
      <c r="H930">
        <v>130070</v>
      </c>
      <c r="I930">
        <v>83554839</v>
      </c>
      <c r="J930">
        <v>54</v>
      </c>
      <c r="K930">
        <v>8</v>
      </c>
      <c r="L930">
        <v>83424769</v>
      </c>
      <c r="M930">
        <v>1.55428262460081E-3</v>
      </c>
      <c r="N930" s="1" t="s">
        <v>1598</v>
      </c>
      <c r="O930">
        <v>3.0834625012722502E-3</v>
      </c>
      <c r="P930">
        <v>0</v>
      </c>
      <c r="Q930">
        <v>0</v>
      </c>
      <c r="R930">
        <v>0</v>
      </c>
      <c r="S930">
        <v>1</v>
      </c>
      <c r="T930">
        <v>146.3475875</v>
      </c>
      <c r="U930">
        <f t="shared" si="28"/>
        <v>0</v>
      </c>
      <c r="V930">
        <f t="shared" si="29"/>
        <v>1</v>
      </c>
    </row>
    <row r="931" spans="1:22" x14ac:dyDescent="0.2">
      <c r="A931" t="s">
        <v>1484</v>
      </c>
      <c r="B931" t="s">
        <v>24</v>
      </c>
      <c r="C931" t="s">
        <v>76</v>
      </c>
      <c r="D931" t="s">
        <v>77</v>
      </c>
      <c r="E931">
        <v>11</v>
      </c>
      <c r="F931" t="s">
        <v>127</v>
      </c>
      <c r="G931">
        <v>61</v>
      </c>
      <c r="H931">
        <v>239183</v>
      </c>
      <c r="I931">
        <v>9384387</v>
      </c>
      <c r="J931">
        <v>46</v>
      </c>
      <c r="K931">
        <v>44</v>
      </c>
      <c r="L931">
        <v>9145204</v>
      </c>
      <c r="M931">
        <v>2.4853874393806E-2</v>
      </c>
      <c r="N931">
        <v>0.97514612560619396</v>
      </c>
      <c r="O931" s="1" t="s">
        <v>1599</v>
      </c>
      <c r="P931">
        <v>0</v>
      </c>
      <c r="Q931">
        <v>0</v>
      </c>
      <c r="R931">
        <v>0</v>
      </c>
      <c r="S931">
        <v>0</v>
      </c>
      <c r="T931">
        <v>146.3475875</v>
      </c>
      <c r="U931">
        <f t="shared" si="28"/>
        <v>0</v>
      </c>
      <c r="V931">
        <f t="shared" si="29"/>
        <v>0</v>
      </c>
    </row>
    <row r="932" spans="1:22" x14ac:dyDescent="0.2">
      <c r="A932" t="s">
        <v>1484</v>
      </c>
      <c r="B932" t="s">
        <v>24</v>
      </c>
      <c r="C932" t="s">
        <v>76</v>
      </c>
      <c r="D932" t="s">
        <v>77</v>
      </c>
      <c r="E932">
        <v>15</v>
      </c>
      <c r="F932" t="s">
        <v>88</v>
      </c>
      <c r="G932">
        <v>82</v>
      </c>
      <c r="H932">
        <v>357384</v>
      </c>
      <c r="I932">
        <v>3643272</v>
      </c>
      <c r="J932">
        <v>79</v>
      </c>
      <c r="K932">
        <v>43</v>
      </c>
      <c r="L932">
        <v>3285888</v>
      </c>
      <c r="M932">
        <v>8.9331349658655898E-2</v>
      </c>
      <c r="N932">
        <v>0.91066865034134403</v>
      </c>
      <c r="O932" s="1" t="s">
        <v>1600</v>
      </c>
      <c r="P932">
        <v>0</v>
      </c>
      <c r="Q932">
        <v>0</v>
      </c>
      <c r="R932">
        <v>0</v>
      </c>
      <c r="S932">
        <v>0</v>
      </c>
      <c r="T932">
        <v>146.3475875</v>
      </c>
      <c r="U932">
        <f t="shared" si="28"/>
        <v>0</v>
      </c>
      <c r="V932">
        <f t="shared" si="29"/>
        <v>0</v>
      </c>
    </row>
    <row r="933" spans="1:22" x14ac:dyDescent="0.2">
      <c r="A933" t="s">
        <v>1484</v>
      </c>
      <c r="B933" t="s">
        <v>24</v>
      </c>
      <c r="C933" t="s">
        <v>76</v>
      </c>
      <c r="D933" t="s">
        <v>77</v>
      </c>
      <c r="E933">
        <v>11</v>
      </c>
      <c r="F933" t="s">
        <v>127</v>
      </c>
      <c r="G933">
        <v>58</v>
      </c>
      <c r="H933">
        <v>7435</v>
      </c>
      <c r="I933">
        <v>9599</v>
      </c>
      <c r="J933">
        <v>35</v>
      </c>
      <c r="K933">
        <v>51</v>
      </c>
      <c r="L933">
        <v>2164</v>
      </c>
      <c r="M933" s="1" t="s">
        <v>1601</v>
      </c>
      <c r="N933" s="1" t="s">
        <v>1602</v>
      </c>
      <c r="O933" s="1" t="s">
        <v>1603</v>
      </c>
      <c r="P933">
        <v>0</v>
      </c>
      <c r="Q933">
        <v>0</v>
      </c>
      <c r="R933">
        <v>0</v>
      </c>
      <c r="S933">
        <v>0</v>
      </c>
      <c r="T933">
        <v>146.3475875</v>
      </c>
      <c r="U933">
        <f t="shared" si="28"/>
        <v>0</v>
      </c>
      <c r="V933">
        <f t="shared" si="29"/>
        <v>0</v>
      </c>
    </row>
    <row r="934" spans="1:22" x14ac:dyDescent="0.2">
      <c r="A934" t="s">
        <v>1484</v>
      </c>
      <c r="B934" t="s">
        <v>24</v>
      </c>
      <c r="C934" t="s">
        <v>76</v>
      </c>
      <c r="D934" t="s">
        <v>77</v>
      </c>
      <c r="E934">
        <v>18</v>
      </c>
      <c r="F934" t="s">
        <v>147</v>
      </c>
      <c r="G934">
        <v>91</v>
      </c>
      <c r="H934">
        <v>23998</v>
      </c>
      <c r="I934">
        <v>180008</v>
      </c>
      <c r="J934">
        <v>50</v>
      </c>
      <c r="K934">
        <v>39</v>
      </c>
      <c r="L934">
        <v>156010</v>
      </c>
      <c r="M934" s="1" t="s">
        <v>1604</v>
      </c>
      <c r="N934" s="1" t="s">
        <v>1605</v>
      </c>
      <c r="O934" s="1" t="s">
        <v>1606</v>
      </c>
      <c r="P934">
        <v>0</v>
      </c>
      <c r="Q934">
        <v>0</v>
      </c>
      <c r="R934">
        <v>0</v>
      </c>
      <c r="S934">
        <v>0</v>
      </c>
      <c r="T934">
        <v>146.3475875</v>
      </c>
      <c r="U934">
        <f t="shared" si="28"/>
        <v>0</v>
      </c>
      <c r="V934">
        <f t="shared" si="29"/>
        <v>0</v>
      </c>
    </row>
    <row r="935" spans="1:22" x14ac:dyDescent="0.2">
      <c r="A935" t="s">
        <v>1484</v>
      </c>
      <c r="B935" t="s">
        <v>24</v>
      </c>
      <c r="C935" t="s">
        <v>76</v>
      </c>
      <c r="D935" t="s">
        <v>77</v>
      </c>
      <c r="E935">
        <v>17</v>
      </c>
      <c r="F935" t="s">
        <v>97</v>
      </c>
      <c r="G935">
        <v>89</v>
      </c>
      <c r="H935">
        <v>67095</v>
      </c>
      <c r="I935">
        <v>1065474</v>
      </c>
      <c r="J935">
        <v>62</v>
      </c>
      <c r="K935">
        <v>37</v>
      </c>
      <c r="L935">
        <v>998379</v>
      </c>
      <c r="M935">
        <v>5.9241423701337399E-2</v>
      </c>
      <c r="N935" s="1" t="s">
        <v>1607</v>
      </c>
      <c r="O935" s="1" t="s">
        <v>1608</v>
      </c>
      <c r="P935">
        <v>0</v>
      </c>
      <c r="Q935">
        <v>0</v>
      </c>
      <c r="R935">
        <v>0</v>
      </c>
      <c r="S935">
        <v>0</v>
      </c>
      <c r="T935">
        <v>146.3475875</v>
      </c>
      <c r="U935">
        <f t="shared" si="28"/>
        <v>0</v>
      </c>
      <c r="V935">
        <f t="shared" si="29"/>
        <v>0</v>
      </c>
    </row>
    <row r="936" spans="1:22" x14ac:dyDescent="0.2">
      <c r="A936" t="s">
        <v>1484</v>
      </c>
      <c r="B936" t="s">
        <v>24</v>
      </c>
      <c r="C936" t="s">
        <v>76</v>
      </c>
      <c r="D936" t="s">
        <v>77</v>
      </c>
      <c r="E936" s="1" t="s">
        <v>89</v>
      </c>
      <c r="F936" t="s">
        <v>90</v>
      </c>
      <c r="G936">
        <v>30</v>
      </c>
      <c r="H936">
        <v>11005268</v>
      </c>
      <c r="I936">
        <v>1972694177</v>
      </c>
      <c r="J936">
        <v>29</v>
      </c>
      <c r="K936">
        <v>8</v>
      </c>
      <c r="L936">
        <v>1961688909</v>
      </c>
      <c r="M936">
        <v>5.5478505212769201E-3</v>
      </c>
      <c r="N936" s="1" t="s">
        <v>1609</v>
      </c>
      <c r="O936">
        <v>7.3091587545994596E-2</v>
      </c>
      <c r="P936">
        <v>0</v>
      </c>
      <c r="Q936">
        <v>0</v>
      </c>
      <c r="R936">
        <v>0</v>
      </c>
      <c r="S936">
        <v>1</v>
      </c>
      <c r="T936">
        <v>146.3475875</v>
      </c>
      <c r="U936">
        <f t="shared" si="28"/>
        <v>0</v>
      </c>
      <c r="V936">
        <f t="shared" si="29"/>
        <v>1</v>
      </c>
    </row>
    <row r="937" spans="1:22" x14ac:dyDescent="0.2">
      <c r="A937" t="s">
        <v>1484</v>
      </c>
      <c r="B937" t="s">
        <v>24</v>
      </c>
      <c r="C937" t="s">
        <v>76</v>
      </c>
      <c r="D937" t="s">
        <v>77</v>
      </c>
      <c r="E937">
        <v>13</v>
      </c>
      <c r="F937" t="s">
        <v>91</v>
      </c>
      <c r="G937">
        <v>69</v>
      </c>
      <c r="H937">
        <v>125526</v>
      </c>
      <c r="I937">
        <v>24112892</v>
      </c>
      <c r="J937">
        <v>62</v>
      </c>
      <c r="K937">
        <v>18</v>
      </c>
      <c r="L937">
        <v>23987366</v>
      </c>
      <c r="M937">
        <v>5.1788033360923103E-3</v>
      </c>
      <c r="N937" s="1" t="s">
        <v>1610</v>
      </c>
      <c r="O937" s="1" t="s">
        <v>1611</v>
      </c>
      <c r="P937">
        <v>0</v>
      </c>
      <c r="Q937">
        <v>0</v>
      </c>
      <c r="R937">
        <v>0</v>
      </c>
      <c r="S937">
        <v>0</v>
      </c>
      <c r="T937">
        <v>146.3475875</v>
      </c>
      <c r="U937">
        <f t="shared" si="28"/>
        <v>0</v>
      </c>
      <c r="V937">
        <f t="shared" si="29"/>
        <v>0</v>
      </c>
    </row>
    <row r="938" spans="1:22" x14ac:dyDescent="0.2">
      <c r="A938" t="s">
        <v>1484</v>
      </c>
      <c r="B938" t="s">
        <v>24</v>
      </c>
      <c r="C938" t="s">
        <v>76</v>
      </c>
      <c r="D938" t="s">
        <v>77</v>
      </c>
      <c r="E938" s="1" t="s">
        <v>89</v>
      </c>
      <c r="F938" t="s">
        <v>90</v>
      </c>
      <c r="G938">
        <v>37</v>
      </c>
      <c r="H938">
        <v>552</v>
      </c>
      <c r="I938">
        <v>63526</v>
      </c>
      <c r="J938">
        <v>59</v>
      </c>
      <c r="K938">
        <v>29</v>
      </c>
      <c r="L938">
        <v>62974</v>
      </c>
      <c r="M938">
        <v>8.6145010768126293E-3</v>
      </c>
      <c r="N938" s="1" t="s">
        <v>1612</v>
      </c>
      <c r="O938" s="1" t="s">
        <v>1613</v>
      </c>
      <c r="P938">
        <v>0</v>
      </c>
      <c r="Q938">
        <v>0</v>
      </c>
      <c r="R938">
        <v>0</v>
      </c>
      <c r="S938">
        <v>0</v>
      </c>
      <c r="T938">
        <v>146.3475875</v>
      </c>
      <c r="U938">
        <f t="shared" si="28"/>
        <v>0</v>
      </c>
      <c r="V938">
        <f t="shared" si="29"/>
        <v>0</v>
      </c>
    </row>
    <row r="939" spans="1:22" x14ac:dyDescent="0.2">
      <c r="A939" t="s">
        <v>1484</v>
      </c>
      <c r="B939" t="s">
        <v>24</v>
      </c>
      <c r="C939" t="s">
        <v>76</v>
      </c>
      <c r="D939" t="s">
        <v>77</v>
      </c>
      <c r="E939" s="1" t="s">
        <v>163</v>
      </c>
      <c r="F939" t="s">
        <v>224</v>
      </c>
      <c r="G939">
        <v>42</v>
      </c>
      <c r="H939">
        <v>52390</v>
      </c>
      <c r="I939">
        <v>624912</v>
      </c>
      <c r="J939">
        <v>44</v>
      </c>
      <c r="K939">
        <v>48</v>
      </c>
      <c r="L939">
        <v>572522</v>
      </c>
      <c r="M939">
        <v>7.73510191908484E-2</v>
      </c>
      <c r="N939" s="1" t="s">
        <v>1614</v>
      </c>
      <c r="O939" s="1" t="s">
        <v>1615</v>
      </c>
      <c r="P939">
        <v>0</v>
      </c>
      <c r="Q939">
        <v>0</v>
      </c>
      <c r="R939">
        <v>0</v>
      </c>
      <c r="S939">
        <v>0</v>
      </c>
      <c r="T939">
        <v>146.3475875</v>
      </c>
      <c r="U939">
        <f t="shared" si="28"/>
        <v>0</v>
      </c>
      <c r="V939">
        <f t="shared" si="29"/>
        <v>0</v>
      </c>
    </row>
    <row r="940" spans="1:22" x14ac:dyDescent="0.2">
      <c r="A940" t="s">
        <v>1484</v>
      </c>
      <c r="B940" t="s">
        <v>24</v>
      </c>
      <c r="C940" t="s">
        <v>76</v>
      </c>
      <c r="D940" t="s">
        <v>77</v>
      </c>
      <c r="E940">
        <v>15</v>
      </c>
      <c r="F940" t="s">
        <v>88</v>
      </c>
      <c r="G940">
        <v>83</v>
      </c>
      <c r="H940">
        <v>770744</v>
      </c>
      <c r="I940">
        <v>26674855</v>
      </c>
      <c r="J940">
        <v>34</v>
      </c>
      <c r="K940">
        <v>27</v>
      </c>
      <c r="L940">
        <v>25904111</v>
      </c>
      <c r="M940">
        <v>2.80826080713341E-2</v>
      </c>
      <c r="N940" s="1" t="s">
        <v>1616</v>
      </c>
      <c r="O940">
        <v>1.0112632773664699E-3</v>
      </c>
      <c r="P940">
        <v>0</v>
      </c>
      <c r="Q940">
        <v>0</v>
      </c>
      <c r="R940">
        <v>0</v>
      </c>
      <c r="S940">
        <v>0</v>
      </c>
      <c r="T940">
        <v>146.3475875</v>
      </c>
      <c r="U940">
        <f t="shared" si="28"/>
        <v>0</v>
      </c>
      <c r="V940">
        <f t="shared" si="29"/>
        <v>0</v>
      </c>
    </row>
    <row r="941" spans="1:22" x14ac:dyDescent="0.2">
      <c r="A941" t="s">
        <v>1484</v>
      </c>
      <c r="B941" t="s">
        <v>24</v>
      </c>
      <c r="C941" t="s">
        <v>76</v>
      </c>
      <c r="D941" t="s">
        <v>77</v>
      </c>
      <c r="E941">
        <v>12</v>
      </c>
      <c r="F941" t="s">
        <v>194</v>
      </c>
      <c r="G941">
        <v>67</v>
      </c>
      <c r="H941">
        <v>24718</v>
      </c>
      <c r="I941">
        <v>935</v>
      </c>
      <c r="J941">
        <v>28</v>
      </c>
      <c r="K941">
        <v>47</v>
      </c>
      <c r="L941">
        <v>-23783</v>
      </c>
      <c r="M941" s="1" t="s">
        <v>1617</v>
      </c>
      <c r="N941">
        <v>3.6447978793903199E-2</v>
      </c>
      <c r="O941" s="1" t="s">
        <v>1618</v>
      </c>
      <c r="P941">
        <v>0</v>
      </c>
      <c r="Q941">
        <v>0</v>
      </c>
      <c r="R941">
        <v>0</v>
      </c>
      <c r="S941">
        <v>0</v>
      </c>
      <c r="T941">
        <v>146.3475875</v>
      </c>
      <c r="U941">
        <f t="shared" si="28"/>
        <v>0</v>
      </c>
      <c r="V941">
        <f t="shared" si="29"/>
        <v>0</v>
      </c>
    </row>
    <row r="942" spans="1:22" x14ac:dyDescent="0.2">
      <c r="A942" t="s">
        <v>1484</v>
      </c>
      <c r="B942" t="s">
        <v>24</v>
      </c>
      <c r="C942" t="s">
        <v>76</v>
      </c>
      <c r="D942" t="s">
        <v>77</v>
      </c>
      <c r="E942" s="1" t="s">
        <v>138</v>
      </c>
      <c r="F942" t="s">
        <v>139</v>
      </c>
      <c r="G942">
        <v>19</v>
      </c>
      <c r="H942">
        <v>16557</v>
      </c>
      <c r="I942">
        <v>21308864</v>
      </c>
      <c r="J942">
        <v>75</v>
      </c>
      <c r="K942">
        <v>27</v>
      </c>
      <c r="L942">
        <v>21292307</v>
      </c>
      <c r="M942" s="1" t="s">
        <v>1619</v>
      </c>
      <c r="N942" s="1" t="s">
        <v>1620</v>
      </c>
      <c r="O942" s="1" t="s">
        <v>1621</v>
      </c>
      <c r="P942">
        <v>0</v>
      </c>
      <c r="Q942">
        <v>0</v>
      </c>
      <c r="R942">
        <v>0</v>
      </c>
      <c r="S942">
        <v>0</v>
      </c>
      <c r="T942">
        <v>146.3475875</v>
      </c>
      <c r="U942">
        <f t="shared" si="28"/>
        <v>0</v>
      </c>
      <c r="V942">
        <f t="shared" si="29"/>
        <v>0</v>
      </c>
    </row>
    <row r="943" spans="1:22" x14ac:dyDescent="0.2">
      <c r="A943" t="s">
        <v>1484</v>
      </c>
      <c r="B943" t="s">
        <v>24</v>
      </c>
      <c r="C943" t="s">
        <v>76</v>
      </c>
      <c r="D943" t="s">
        <v>77</v>
      </c>
      <c r="E943" s="1" t="s">
        <v>82</v>
      </c>
      <c r="F943" t="s">
        <v>83</v>
      </c>
      <c r="G943" s="1" t="s">
        <v>163</v>
      </c>
      <c r="H943">
        <v>5</v>
      </c>
      <c r="I943">
        <v>207</v>
      </c>
      <c r="J943">
        <v>73</v>
      </c>
      <c r="K943">
        <v>103</v>
      </c>
      <c r="L943">
        <v>202</v>
      </c>
      <c r="M943">
        <v>2.3584905660377301E-2</v>
      </c>
      <c r="N943" s="1" t="s">
        <v>1622</v>
      </c>
      <c r="O943" s="1" t="s">
        <v>1623</v>
      </c>
      <c r="P943">
        <v>0</v>
      </c>
      <c r="Q943">
        <v>0</v>
      </c>
      <c r="R943">
        <v>0</v>
      </c>
      <c r="S943">
        <v>0</v>
      </c>
      <c r="T943">
        <v>146.3475875</v>
      </c>
      <c r="U943">
        <f t="shared" si="28"/>
        <v>0</v>
      </c>
      <c r="V943">
        <f t="shared" si="29"/>
        <v>0</v>
      </c>
    </row>
    <row r="944" spans="1:22" x14ac:dyDescent="0.2">
      <c r="A944" t="s">
        <v>1484</v>
      </c>
      <c r="B944" t="s">
        <v>24</v>
      </c>
      <c r="C944" t="s">
        <v>76</v>
      </c>
      <c r="D944" t="s">
        <v>77</v>
      </c>
      <c r="E944" s="1" t="s">
        <v>138</v>
      </c>
      <c r="F944" t="s">
        <v>139</v>
      </c>
      <c r="G944">
        <v>21</v>
      </c>
      <c r="H944">
        <v>3195602</v>
      </c>
      <c r="I944">
        <v>61974727</v>
      </c>
      <c r="J944">
        <v>39</v>
      </c>
      <c r="K944">
        <v>25</v>
      </c>
      <c r="L944">
        <v>58779125</v>
      </c>
      <c r="M944">
        <v>4.90346151237014E-2</v>
      </c>
      <c r="N944" s="1" t="s">
        <v>1624</v>
      </c>
      <c r="O944">
        <v>2.4012724404955201E-3</v>
      </c>
      <c r="P944">
        <v>0</v>
      </c>
      <c r="Q944">
        <v>0</v>
      </c>
      <c r="R944">
        <v>0</v>
      </c>
      <c r="S944">
        <v>0</v>
      </c>
      <c r="T944">
        <v>146.3475875</v>
      </c>
      <c r="U944">
        <f t="shared" si="28"/>
        <v>0</v>
      </c>
      <c r="V944">
        <f t="shared" si="29"/>
        <v>0</v>
      </c>
    </row>
    <row r="945" spans="1:22" x14ac:dyDescent="0.2">
      <c r="A945" t="s">
        <v>1484</v>
      </c>
      <c r="B945" t="s">
        <v>24</v>
      </c>
      <c r="C945" t="s">
        <v>76</v>
      </c>
      <c r="D945" t="s">
        <v>77</v>
      </c>
      <c r="E945" s="1" t="s">
        <v>89</v>
      </c>
      <c r="F945" t="s">
        <v>90</v>
      </c>
      <c r="G945">
        <v>35</v>
      </c>
      <c r="H945">
        <v>293226</v>
      </c>
      <c r="I945">
        <v>22291953</v>
      </c>
      <c r="J945">
        <v>31</v>
      </c>
      <c r="K945">
        <v>24</v>
      </c>
      <c r="L945">
        <v>21998727</v>
      </c>
      <c r="M945" s="1" t="s">
        <v>1625</v>
      </c>
      <c r="N945" s="1" t="s">
        <v>1626</v>
      </c>
      <c r="O945" s="1" t="s">
        <v>1627</v>
      </c>
      <c r="P945">
        <v>0</v>
      </c>
      <c r="Q945">
        <v>0</v>
      </c>
      <c r="R945">
        <v>0</v>
      </c>
      <c r="S945">
        <v>0</v>
      </c>
      <c r="T945">
        <v>146.3475875</v>
      </c>
      <c r="U945">
        <f t="shared" si="28"/>
        <v>0</v>
      </c>
      <c r="V945">
        <f t="shared" si="29"/>
        <v>0</v>
      </c>
    </row>
    <row r="946" spans="1:22" x14ac:dyDescent="0.2">
      <c r="A946" t="s">
        <v>1484</v>
      </c>
      <c r="B946" t="s">
        <v>24</v>
      </c>
      <c r="C946" t="s">
        <v>76</v>
      </c>
      <c r="D946" t="s">
        <v>77</v>
      </c>
      <c r="E946">
        <v>11</v>
      </c>
      <c r="F946" t="s">
        <v>127</v>
      </c>
      <c r="G946">
        <v>54</v>
      </c>
      <c r="H946">
        <v>593</v>
      </c>
      <c r="I946">
        <v>1278280</v>
      </c>
      <c r="J946">
        <v>74</v>
      </c>
      <c r="K946">
        <v>39</v>
      </c>
      <c r="L946">
        <v>1277687</v>
      </c>
      <c r="M946" s="1" t="s">
        <v>1628</v>
      </c>
      <c r="N946" s="1" t="s">
        <v>1629</v>
      </c>
      <c r="O946" s="1" t="s">
        <v>1630</v>
      </c>
      <c r="P946">
        <v>0</v>
      </c>
      <c r="Q946">
        <v>0</v>
      </c>
      <c r="R946">
        <v>0</v>
      </c>
      <c r="S946">
        <v>0</v>
      </c>
      <c r="T946">
        <v>146.3475875</v>
      </c>
      <c r="U946">
        <f t="shared" si="28"/>
        <v>0</v>
      </c>
      <c r="V946">
        <f t="shared" si="29"/>
        <v>0</v>
      </c>
    </row>
    <row r="947" spans="1:22" x14ac:dyDescent="0.2">
      <c r="A947" t="s">
        <v>1484</v>
      </c>
      <c r="B947" t="s">
        <v>24</v>
      </c>
      <c r="C947" t="s">
        <v>76</v>
      </c>
      <c r="D947" t="s">
        <v>77</v>
      </c>
      <c r="E947" s="1" t="s">
        <v>138</v>
      </c>
      <c r="F947" t="s">
        <v>139</v>
      </c>
      <c r="G947">
        <v>20</v>
      </c>
      <c r="H947">
        <v>256412</v>
      </c>
      <c r="I947">
        <v>92416375</v>
      </c>
      <c r="J947">
        <v>35</v>
      </c>
      <c r="K947">
        <v>15</v>
      </c>
      <c r="L947">
        <v>92159963</v>
      </c>
      <c r="M947">
        <v>2.7668532295246498E-3</v>
      </c>
      <c r="N947" s="1" t="s">
        <v>1631</v>
      </c>
      <c r="O947">
        <v>3.4146307502454401E-3</v>
      </c>
      <c r="P947">
        <v>0</v>
      </c>
      <c r="Q947">
        <v>0</v>
      </c>
      <c r="R947">
        <v>0</v>
      </c>
      <c r="S947">
        <v>0</v>
      </c>
      <c r="T947">
        <v>146.3475875</v>
      </c>
      <c r="U947">
        <f t="shared" si="28"/>
        <v>0</v>
      </c>
      <c r="V947">
        <f t="shared" si="29"/>
        <v>0</v>
      </c>
    </row>
    <row r="948" spans="1:22" x14ac:dyDescent="0.2">
      <c r="A948" t="s">
        <v>1484</v>
      </c>
      <c r="B948" t="s">
        <v>24</v>
      </c>
      <c r="C948" t="s">
        <v>76</v>
      </c>
      <c r="D948" t="s">
        <v>77</v>
      </c>
      <c r="E948" s="1" t="s">
        <v>138</v>
      </c>
      <c r="F948" t="s">
        <v>139</v>
      </c>
      <c r="G948">
        <v>23</v>
      </c>
      <c r="H948">
        <v>2682998</v>
      </c>
      <c r="I948">
        <v>157514098</v>
      </c>
      <c r="J948">
        <v>46</v>
      </c>
      <c r="K948">
        <v>12</v>
      </c>
      <c r="L948">
        <v>154831100</v>
      </c>
      <c r="M948" s="1" t="s">
        <v>1632</v>
      </c>
      <c r="N948" s="1" t="s">
        <v>1633</v>
      </c>
      <c r="O948">
        <v>5.9026381725373204E-3</v>
      </c>
      <c r="P948">
        <v>0</v>
      </c>
      <c r="Q948">
        <v>0</v>
      </c>
      <c r="R948">
        <v>0</v>
      </c>
      <c r="S948">
        <v>0</v>
      </c>
      <c r="T948">
        <v>146.3475875</v>
      </c>
      <c r="U948">
        <f t="shared" si="28"/>
        <v>0</v>
      </c>
      <c r="V948">
        <f t="shared" si="29"/>
        <v>0</v>
      </c>
    </row>
    <row r="949" spans="1:22" x14ac:dyDescent="0.2">
      <c r="A949" t="s">
        <v>1484</v>
      </c>
      <c r="B949" t="s">
        <v>24</v>
      </c>
      <c r="C949" t="s">
        <v>76</v>
      </c>
      <c r="D949" t="s">
        <v>77</v>
      </c>
      <c r="E949">
        <v>12</v>
      </c>
      <c r="F949" t="s">
        <v>194</v>
      </c>
      <c r="G949">
        <v>66</v>
      </c>
      <c r="H949">
        <v>564</v>
      </c>
      <c r="I949">
        <v>12845</v>
      </c>
      <c r="J949">
        <v>41</v>
      </c>
      <c r="K949">
        <v>39</v>
      </c>
      <c r="L949">
        <v>12281</v>
      </c>
      <c r="M949">
        <v>4.2061302110522697E-2</v>
      </c>
      <c r="N949" s="1" t="s">
        <v>1634</v>
      </c>
      <c r="O949" s="1" t="s">
        <v>1635</v>
      </c>
      <c r="P949">
        <v>0</v>
      </c>
      <c r="Q949">
        <v>0</v>
      </c>
      <c r="R949">
        <v>0</v>
      </c>
      <c r="S949">
        <v>0</v>
      </c>
      <c r="T949">
        <v>146.3475875</v>
      </c>
      <c r="U949">
        <f t="shared" si="28"/>
        <v>0</v>
      </c>
      <c r="V949">
        <f t="shared" si="29"/>
        <v>0</v>
      </c>
    </row>
    <row r="950" spans="1:22" x14ac:dyDescent="0.2">
      <c r="A950" t="s">
        <v>1484</v>
      </c>
      <c r="B950" t="s">
        <v>24</v>
      </c>
      <c r="C950" t="s">
        <v>76</v>
      </c>
      <c r="D950" t="s">
        <v>77</v>
      </c>
      <c r="E950">
        <v>11</v>
      </c>
      <c r="F950" t="s">
        <v>127</v>
      </c>
      <c r="G950">
        <v>59</v>
      </c>
      <c r="H950">
        <v>181537</v>
      </c>
      <c r="I950">
        <v>740308</v>
      </c>
      <c r="J950">
        <v>35</v>
      </c>
      <c r="K950">
        <v>35</v>
      </c>
      <c r="L950">
        <v>558771</v>
      </c>
      <c r="M950" s="1" t="s">
        <v>1636</v>
      </c>
      <c r="N950" s="1" t="s">
        <v>1637</v>
      </c>
      <c r="O950" s="1" t="s">
        <v>1638</v>
      </c>
      <c r="P950">
        <v>0</v>
      </c>
      <c r="Q950">
        <v>0</v>
      </c>
      <c r="R950">
        <v>0</v>
      </c>
      <c r="S950">
        <v>0</v>
      </c>
      <c r="T950">
        <v>146.3475875</v>
      </c>
      <c r="U950">
        <f t="shared" si="28"/>
        <v>0</v>
      </c>
      <c r="V950">
        <f t="shared" si="29"/>
        <v>0</v>
      </c>
    </row>
    <row r="951" spans="1:22" x14ac:dyDescent="0.2">
      <c r="A951" t="s">
        <v>1484</v>
      </c>
      <c r="B951" t="s">
        <v>24</v>
      </c>
      <c r="C951" t="s">
        <v>76</v>
      </c>
      <c r="D951" t="s">
        <v>77</v>
      </c>
      <c r="E951" s="1" t="s">
        <v>93</v>
      </c>
      <c r="F951" t="s">
        <v>94</v>
      </c>
      <c r="G951">
        <v>45</v>
      </c>
      <c r="H951">
        <v>0</v>
      </c>
      <c r="I951">
        <v>5580</v>
      </c>
      <c r="J951">
        <v>48</v>
      </c>
      <c r="K951">
        <v>33</v>
      </c>
      <c r="L951">
        <v>5580</v>
      </c>
      <c r="M951">
        <v>0</v>
      </c>
      <c r="N951">
        <v>1</v>
      </c>
      <c r="O951" s="1" t="s">
        <v>1639</v>
      </c>
      <c r="P951">
        <v>0</v>
      </c>
      <c r="Q951">
        <v>0</v>
      </c>
      <c r="R951">
        <v>0</v>
      </c>
      <c r="S951">
        <v>0</v>
      </c>
      <c r="T951">
        <v>146.3475875</v>
      </c>
      <c r="U951">
        <f t="shared" si="28"/>
        <v>0</v>
      </c>
      <c r="V951">
        <f t="shared" si="29"/>
        <v>0</v>
      </c>
    </row>
    <row r="952" spans="1:22" x14ac:dyDescent="0.2">
      <c r="A952" t="s">
        <v>1484</v>
      </c>
      <c r="B952" t="s">
        <v>24</v>
      </c>
      <c r="C952" t="s">
        <v>76</v>
      </c>
      <c r="D952" t="s">
        <v>77</v>
      </c>
      <c r="E952">
        <v>11</v>
      </c>
      <c r="F952" t="s">
        <v>127</v>
      </c>
      <c r="G952">
        <v>60</v>
      </c>
      <c r="H952">
        <v>292</v>
      </c>
      <c r="I952">
        <v>8556668</v>
      </c>
      <c r="J952">
        <v>48</v>
      </c>
      <c r="K952">
        <v>13</v>
      </c>
      <c r="L952">
        <v>8556376</v>
      </c>
      <c r="M952" s="1" t="s">
        <v>1640</v>
      </c>
      <c r="N952" s="1" t="s">
        <v>1641</v>
      </c>
      <c r="O952" s="1" t="s">
        <v>1642</v>
      </c>
      <c r="P952">
        <v>0</v>
      </c>
      <c r="Q952">
        <v>0</v>
      </c>
      <c r="R952">
        <v>0</v>
      </c>
      <c r="S952">
        <v>0</v>
      </c>
      <c r="T952">
        <v>146.3475875</v>
      </c>
      <c r="U952">
        <f t="shared" si="28"/>
        <v>0</v>
      </c>
      <c r="V952">
        <f t="shared" si="29"/>
        <v>0</v>
      </c>
    </row>
    <row r="953" spans="1:22" x14ac:dyDescent="0.2">
      <c r="A953" t="s">
        <v>1484</v>
      </c>
      <c r="B953" t="s">
        <v>24</v>
      </c>
      <c r="C953" t="s">
        <v>76</v>
      </c>
      <c r="D953" t="s">
        <v>77</v>
      </c>
      <c r="E953" s="1" t="s">
        <v>82</v>
      </c>
      <c r="F953" t="s">
        <v>83</v>
      </c>
      <c r="G953">
        <v>13</v>
      </c>
      <c r="H953">
        <v>19193</v>
      </c>
      <c r="I953">
        <v>130034</v>
      </c>
      <c r="J953">
        <v>36</v>
      </c>
      <c r="K953">
        <v>43</v>
      </c>
      <c r="L953">
        <v>110841</v>
      </c>
      <c r="M953" s="1" t="s">
        <v>1643</v>
      </c>
      <c r="N953" s="1" t="s">
        <v>1644</v>
      </c>
      <c r="O953" s="1" t="s">
        <v>1645</v>
      </c>
      <c r="P953">
        <v>0</v>
      </c>
      <c r="Q953">
        <v>0</v>
      </c>
      <c r="R953">
        <v>0</v>
      </c>
      <c r="S953">
        <v>0</v>
      </c>
      <c r="T953">
        <v>146.3475875</v>
      </c>
      <c r="U953">
        <f t="shared" si="28"/>
        <v>0</v>
      </c>
      <c r="V953">
        <f t="shared" si="29"/>
        <v>0</v>
      </c>
    </row>
    <row r="954" spans="1:22" x14ac:dyDescent="0.2">
      <c r="A954" t="s">
        <v>1484</v>
      </c>
      <c r="B954" t="s">
        <v>24</v>
      </c>
      <c r="C954" t="s">
        <v>76</v>
      </c>
      <c r="D954" t="s">
        <v>77</v>
      </c>
      <c r="E954">
        <v>15</v>
      </c>
      <c r="F954" t="s">
        <v>88</v>
      </c>
      <c r="G954">
        <v>80</v>
      </c>
      <c r="H954">
        <v>5180</v>
      </c>
      <c r="I954">
        <v>469783</v>
      </c>
      <c r="J954">
        <v>39</v>
      </c>
      <c r="K954">
        <v>12</v>
      </c>
      <c r="L954">
        <v>464603</v>
      </c>
      <c r="M954" s="1" t="s">
        <v>1646</v>
      </c>
      <c r="N954" s="1" t="s">
        <v>1647</v>
      </c>
      <c r="O954" s="1" t="s">
        <v>1648</v>
      </c>
      <c r="P954">
        <v>0</v>
      </c>
      <c r="Q954">
        <v>0</v>
      </c>
      <c r="R954">
        <v>0</v>
      </c>
      <c r="S954">
        <v>0</v>
      </c>
      <c r="T954">
        <v>146.3475875</v>
      </c>
      <c r="U954">
        <f t="shared" si="28"/>
        <v>0</v>
      </c>
      <c r="V954">
        <f t="shared" si="29"/>
        <v>0</v>
      </c>
    </row>
    <row r="955" spans="1:22" x14ac:dyDescent="0.2">
      <c r="A955" t="s">
        <v>1484</v>
      </c>
      <c r="B955" t="s">
        <v>24</v>
      </c>
      <c r="C955" t="s">
        <v>76</v>
      </c>
      <c r="D955" t="s">
        <v>77</v>
      </c>
      <c r="E955" s="1" t="s">
        <v>138</v>
      </c>
      <c r="F955" t="s">
        <v>139</v>
      </c>
      <c r="G955">
        <v>16</v>
      </c>
      <c r="H955">
        <v>247</v>
      </c>
      <c r="I955">
        <v>7594412</v>
      </c>
      <c r="J955">
        <v>78</v>
      </c>
      <c r="K955">
        <v>19</v>
      </c>
      <c r="L955">
        <v>7594165</v>
      </c>
      <c r="M955" s="1" t="s">
        <v>1649</v>
      </c>
      <c r="N955" s="1" t="s">
        <v>1650</v>
      </c>
      <c r="O955" s="1" t="s">
        <v>1651</v>
      </c>
      <c r="P955">
        <v>0</v>
      </c>
      <c r="Q955">
        <v>0</v>
      </c>
      <c r="R955">
        <v>0</v>
      </c>
      <c r="S955">
        <v>0</v>
      </c>
      <c r="T955">
        <v>146.3475875</v>
      </c>
      <c r="U955">
        <f t="shared" si="28"/>
        <v>0</v>
      </c>
      <c r="V955">
        <f t="shared" si="29"/>
        <v>0</v>
      </c>
    </row>
    <row r="956" spans="1:22" x14ac:dyDescent="0.2">
      <c r="A956" t="s">
        <v>1484</v>
      </c>
      <c r="B956" t="s">
        <v>24</v>
      </c>
      <c r="C956" t="s">
        <v>76</v>
      </c>
      <c r="D956" t="s">
        <v>77</v>
      </c>
      <c r="E956">
        <v>19</v>
      </c>
      <c r="F956" t="s">
        <v>838</v>
      </c>
      <c r="G956">
        <v>93</v>
      </c>
      <c r="H956">
        <v>2731</v>
      </c>
      <c r="I956">
        <v>129538</v>
      </c>
      <c r="J956">
        <v>80</v>
      </c>
      <c r="K956">
        <v>26</v>
      </c>
      <c r="L956">
        <v>126807</v>
      </c>
      <c r="M956">
        <v>2.0647317209625801E-2</v>
      </c>
      <c r="N956" s="1" t="s">
        <v>1652</v>
      </c>
      <c r="O956" s="1" t="s">
        <v>1653</v>
      </c>
      <c r="P956">
        <v>0</v>
      </c>
      <c r="Q956">
        <v>0</v>
      </c>
      <c r="R956">
        <v>0</v>
      </c>
      <c r="S956">
        <v>0</v>
      </c>
      <c r="T956">
        <v>146.3475875</v>
      </c>
      <c r="U956">
        <f t="shared" si="28"/>
        <v>0</v>
      </c>
      <c r="V956">
        <f t="shared" si="29"/>
        <v>0</v>
      </c>
    </row>
    <row r="957" spans="1:22" x14ac:dyDescent="0.2">
      <c r="A957" t="s">
        <v>1484</v>
      </c>
      <c r="B957" t="s">
        <v>24</v>
      </c>
      <c r="C957" t="s">
        <v>76</v>
      </c>
      <c r="D957" t="s">
        <v>77</v>
      </c>
      <c r="E957" s="1" t="s">
        <v>155</v>
      </c>
      <c r="F957" t="s">
        <v>156</v>
      </c>
      <c r="G957" s="1" t="s">
        <v>82</v>
      </c>
      <c r="H957">
        <v>45996</v>
      </c>
      <c r="I957">
        <v>6612397</v>
      </c>
      <c r="J957">
        <v>51</v>
      </c>
      <c r="K957">
        <v>19</v>
      </c>
      <c r="L957">
        <v>6566401</v>
      </c>
      <c r="M957">
        <v>6.9079731400654701E-3</v>
      </c>
      <c r="N957" s="1" t="s">
        <v>1654</v>
      </c>
      <c r="O957" s="1" t="s">
        <v>1655</v>
      </c>
      <c r="P957">
        <v>0</v>
      </c>
      <c r="Q957">
        <v>0</v>
      </c>
      <c r="R957">
        <v>0</v>
      </c>
      <c r="S957">
        <v>0</v>
      </c>
      <c r="T957">
        <v>146.3475875</v>
      </c>
      <c r="U957">
        <f t="shared" si="28"/>
        <v>0</v>
      </c>
      <c r="V957">
        <f t="shared" si="29"/>
        <v>0</v>
      </c>
    </row>
    <row r="958" spans="1:22" x14ac:dyDescent="0.2">
      <c r="A958" t="s">
        <v>1484</v>
      </c>
      <c r="B958" t="s">
        <v>24</v>
      </c>
      <c r="C958" t="s">
        <v>76</v>
      </c>
      <c r="D958" t="s">
        <v>77</v>
      </c>
      <c r="E958">
        <v>15</v>
      </c>
      <c r="F958" t="s">
        <v>88</v>
      </c>
      <c r="G958">
        <v>78</v>
      </c>
      <c r="H958">
        <v>80852</v>
      </c>
      <c r="I958">
        <v>84287</v>
      </c>
      <c r="J958">
        <v>52</v>
      </c>
      <c r="K958">
        <v>19</v>
      </c>
      <c r="L958">
        <v>3435</v>
      </c>
      <c r="M958" s="1" t="s">
        <v>1656</v>
      </c>
      <c r="N958" s="1" t="s">
        <v>1657</v>
      </c>
      <c r="O958" s="1" t="s">
        <v>1658</v>
      </c>
      <c r="P958">
        <v>0</v>
      </c>
      <c r="Q958">
        <v>0</v>
      </c>
      <c r="R958">
        <v>0</v>
      </c>
      <c r="S958">
        <v>0</v>
      </c>
      <c r="T958">
        <v>146.3475875</v>
      </c>
      <c r="U958">
        <f t="shared" si="28"/>
        <v>0</v>
      </c>
      <c r="V958">
        <f t="shared" si="29"/>
        <v>0</v>
      </c>
    </row>
    <row r="959" spans="1:22" x14ac:dyDescent="0.2">
      <c r="A959" t="s">
        <v>1484</v>
      </c>
      <c r="B959" t="s">
        <v>24</v>
      </c>
      <c r="C959" t="s">
        <v>76</v>
      </c>
      <c r="D959" t="s">
        <v>77</v>
      </c>
      <c r="E959" s="1" t="s">
        <v>138</v>
      </c>
      <c r="F959" t="s">
        <v>139</v>
      </c>
      <c r="G959">
        <v>18</v>
      </c>
      <c r="H959">
        <v>462772</v>
      </c>
      <c r="I959">
        <v>55258517</v>
      </c>
      <c r="J959">
        <v>56</v>
      </c>
      <c r="K959">
        <v>17</v>
      </c>
      <c r="L959">
        <v>54795745</v>
      </c>
      <c r="M959">
        <v>8.3051201489613702E-3</v>
      </c>
      <c r="N959" s="1" t="s">
        <v>1659</v>
      </c>
      <c r="O959">
        <v>2.0531121704876801E-3</v>
      </c>
      <c r="P959">
        <v>0</v>
      </c>
      <c r="Q959">
        <v>0</v>
      </c>
      <c r="R959">
        <v>0</v>
      </c>
      <c r="S959">
        <v>0</v>
      </c>
      <c r="T959">
        <v>146.3475875</v>
      </c>
      <c r="U959">
        <f t="shared" si="28"/>
        <v>0</v>
      </c>
      <c r="V959">
        <f t="shared" si="29"/>
        <v>0</v>
      </c>
    </row>
    <row r="960" spans="1:22" x14ac:dyDescent="0.2">
      <c r="A960" t="s">
        <v>1484</v>
      </c>
      <c r="B960" t="s">
        <v>24</v>
      </c>
      <c r="C960" t="s">
        <v>76</v>
      </c>
      <c r="D960" t="s">
        <v>77</v>
      </c>
      <c r="E960">
        <v>11</v>
      </c>
      <c r="F960" t="s">
        <v>127</v>
      </c>
      <c r="G960">
        <v>55</v>
      </c>
      <c r="H960">
        <v>5973</v>
      </c>
      <c r="I960">
        <v>24917</v>
      </c>
      <c r="J960">
        <v>50</v>
      </c>
      <c r="K960">
        <v>50</v>
      </c>
      <c r="L960">
        <v>18944</v>
      </c>
      <c r="M960" s="1" t="s">
        <v>1660</v>
      </c>
      <c r="N960" s="1" t="s">
        <v>1661</v>
      </c>
      <c r="O960" s="1" t="s">
        <v>1662</v>
      </c>
      <c r="P960">
        <v>0</v>
      </c>
      <c r="Q960">
        <v>0</v>
      </c>
      <c r="R960">
        <v>0</v>
      </c>
      <c r="S960">
        <v>0</v>
      </c>
      <c r="T960">
        <v>146.3475875</v>
      </c>
      <c r="U960">
        <f t="shared" si="28"/>
        <v>0</v>
      </c>
      <c r="V960">
        <f t="shared" si="29"/>
        <v>0</v>
      </c>
    </row>
    <row r="961" spans="1:22" x14ac:dyDescent="0.2">
      <c r="A961" t="s">
        <v>1484</v>
      </c>
      <c r="B961" t="s">
        <v>24</v>
      </c>
      <c r="C961" t="s">
        <v>76</v>
      </c>
      <c r="D961" t="s">
        <v>77</v>
      </c>
      <c r="E961" s="1" t="s">
        <v>138</v>
      </c>
      <c r="F961" t="s">
        <v>139</v>
      </c>
      <c r="G961">
        <v>17</v>
      </c>
      <c r="H961">
        <v>22846</v>
      </c>
      <c r="I961">
        <v>48206113</v>
      </c>
      <c r="J961">
        <v>88</v>
      </c>
      <c r="K961">
        <v>9</v>
      </c>
      <c r="L961">
        <v>48183267</v>
      </c>
      <c r="M961" s="1" t="s">
        <v>1663</v>
      </c>
      <c r="N961" s="1" t="s">
        <v>1664</v>
      </c>
      <c r="O961">
        <v>1.77704903224423E-3</v>
      </c>
      <c r="P961">
        <v>0</v>
      </c>
      <c r="Q961">
        <v>0</v>
      </c>
      <c r="R961">
        <v>0</v>
      </c>
      <c r="S961">
        <v>1</v>
      </c>
      <c r="T961">
        <v>146.3475875</v>
      </c>
      <c r="U961">
        <f t="shared" si="28"/>
        <v>0</v>
      </c>
      <c r="V961">
        <f t="shared" si="29"/>
        <v>1</v>
      </c>
    </row>
    <row r="962" spans="1:22" x14ac:dyDescent="0.2">
      <c r="A962" t="s">
        <v>1484</v>
      </c>
      <c r="B962" t="s">
        <v>24</v>
      </c>
      <c r="C962" t="s">
        <v>76</v>
      </c>
      <c r="D962" t="s">
        <v>77</v>
      </c>
      <c r="E962" s="1" t="s">
        <v>155</v>
      </c>
      <c r="F962" t="s">
        <v>156</v>
      </c>
      <c r="G962" s="1" t="s">
        <v>138</v>
      </c>
      <c r="H962">
        <v>99211</v>
      </c>
      <c r="I962">
        <v>57880373</v>
      </c>
      <c r="J962">
        <v>39</v>
      </c>
      <c r="K962">
        <v>14</v>
      </c>
      <c r="L962">
        <v>57781162</v>
      </c>
      <c r="M962">
        <v>1.7111368029132401E-3</v>
      </c>
      <c r="N962" s="1" t="s">
        <v>1665</v>
      </c>
      <c r="O962">
        <v>2.1363215332332501E-3</v>
      </c>
      <c r="P962">
        <v>0</v>
      </c>
      <c r="Q962">
        <v>0</v>
      </c>
      <c r="R962">
        <v>0</v>
      </c>
      <c r="S962">
        <v>0</v>
      </c>
      <c r="T962">
        <v>146.3475875</v>
      </c>
      <c r="U962">
        <f t="shared" si="28"/>
        <v>0</v>
      </c>
      <c r="V962">
        <f t="shared" si="29"/>
        <v>0</v>
      </c>
    </row>
    <row r="963" spans="1:22" x14ac:dyDescent="0.2">
      <c r="A963" t="s">
        <v>1484</v>
      </c>
      <c r="B963" t="s">
        <v>24</v>
      </c>
      <c r="C963" t="s">
        <v>76</v>
      </c>
      <c r="D963" t="s">
        <v>77</v>
      </c>
      <c r="E963">
        <v>15</v>
      </c>
      <c r="F963" t="s">
        <v>88</v>
      </c>
      <c r="G963">
        <v>79</v>
      </c>
      <c r="H963">
        <v>608</v>
      </c>
      <c r="I963">
        <v>520797</v>
      </c>
      <c r="J963">
        <v>62</v>
      </c>
      <c r="K963">
        <v>25</v>
      </c>
      <c r="L963">
        <v>520189</v>
      </c>
      <c r="M963">
        <v>1.1660801104707401E-3</v>
      </c>
      <c r="N963" s="1" t="s">
        <v>1666</v>
      </c>
      <c r="O963" s="1" t="s">
        <v>1667</v>
      </c>
      <c r="P963">
        <v>0</v>
      </c>
      <c r="Q963">
        <v>0</v>
      </c>
      <c r="R963">
        <v>0</v>
      </c>
      <c r="S963">
        <v>0</v>
      </c>
      <c r="T963">
        <v>146.3475875</v>
      </c>
      <c r="U963">
        <f t="shared" ref="U963:U1026" si="30">IF(OR(P963=1,Q963=1),1,0)</f>
        <v>0</v>
      </c>
      <c r="V963">
        <f t="shared" ref="V963:V1026" si="31">IF(OR(R963=1,S963=1),1,0)</f>
        <v>0</v>
      </c>
    </row>
    <row r="964" spans="1:22" x14ac:dyDescent="0.2">
      <c r="A964" t="s">
        <v>1484</v>
      </c>
      <c r="B964" t="s">
        <v>24</v>
      </c>
      <c r="C964" t="s">
        <v>76</v>
      </c>
      <c r="D964" t="s">
        <v>77</v>
      </c>
      <c r="E964" s="1" t="s">
        <v>82</v>
      </c>
      <c r="F964" t="s">
        <v>83</v>
      </c>
      <c r="G964" s="1" t="s">
        <v>89</v>
      </c>
      <c r="H964">
        <v>0</v>
      </c>
      <c r="I964">
        <v>9646821</v>
      </c>
      <c r="J964">
        <v>49</v>
      </c>
      <c r="K964">
        <v>13</v>
      </c>
      <c r="L964">
        <v>9646821</v>
      </c>
      <c r="M964">
        <v>0</v>
      </c>
      <c r="N964">
        <v>1</v>
      </c>
      <c r="O964" s="1" t="s">
        <v>1668</v>
      </c>
      <c r="P964">
        <v>0</v>
      </c>
      <c r="Q964">
        <v>0</v>
      </c>
      <c r="R964">
        <v>0</v>
      </c>
      <c r="S964">
        <v>0</v>
      </c>
      <c r="T964">
        <v>146.3475875</v>
      </c>
      <c r="U964">
        <f t="shared" si="30"/>
        <v>0</v>
      </c>
      <c r="V964">
        <f t="shared" si="31"/>
        <v>0</v>
      </c>
    </row>
    <row r="965" spans="1:22" x14ac:dyDescent="0.2">
      <c r="A965" t="s">
        <v>1484</v>
      </c>
      <c r="B965" t="s">
        <v>24</v>
      </c>
      <c r="C965" t="s">
        <v>76</v>
      </c>
      <c r="D965" t="s">
        <v>77</v>
      </c>
      <c r="E965">
        <v>99</v>
      </c>
      <c r="F965" t="s">
        <v>78</v>
      </c>
      <c r="G965">
        <v>99</v>
      </c>
      <c r="H965">
        <v>1527076</v>
      </c>
      <c r="I965">
        <v>120233543</v>
      </c>
      <c r="J965">
        <v>53</v>
      </c>
      <c r="K965">
        <v>19</v>
      </c>
      <c r="L965">
        <v>118706467</v>
      </c>
      <c r="M965" s="1" t="s">
        <v>1669</v>
      </c>
      <c r="N965" s="1" t="s">
        <v>1670</v>
      </c>
      <c r="O965">
        <v>4.4864039084776697E-3</v>
      </c>
      <c r="P965">
        <v>0</v>
      </c>
      <c r="Q965">
        <v>0</v>
      </c>
      <c r="R965">
        <v>0</v>
      </c>
      <c r="S965">
        <v>0</v>
      </c>
      <c r="T965">
        <v>146.3475875</v>
      </c>
      <c r="U965">
        <f t="shared" si="30"/>
        <v>0</v>
      </c>
      <c r="V965">
        <f t="shared" si="31"/>
        <v>0</v>
      </c>
    </row>
    <row r="966" spans="1:22" x14ac:dyDescent="0.2">
      <c r="A966" t="s">
        <v>1671</v>
      </c>
      <c r="B966" t="s">
        <v>25</v>
      </c>
      <c r="C966" t="s">
        <v>76</v>
      </c>
      <c r="D966" t="s">
        <v>77</v>
      </c>
      <c r="E966">
        <v>14</v>
      </c>
      <c r="F966" t="s">
        <v>261</v>
      </c>
      <c r="G966">
        <v>71</v>
      </c>
      <c r="H966">
        <v>9000700913</v>
      </c>
      <c r="I966">
        <v>18634942</v>
      </c>
      <c r="J966">
        <v>3</v>
      </c>
      <c r="K966">
        <v>20</v>
      </c>
      <c r="L966">
        <v>-8982065971</v>
      </c>
      <c r="M966" s="1" t="s">
        <v>1672</v>
      </c>
      <c r="N966">
        <v>2.0661102213717199E-3</v>
      </c>
      <c r="O966" s="1" t="s">
        <v>1673</v>
      </c>
      <c r="P966">
        <v>1</v>
      </c>
      <c r="Q966">
        <v>0</v>
      </c>
      <c r="R966">
        <v>1</v>
      </c>
      <c r="S966">
        <v>0</v>
      </c>
      <c r="T966">
        <v>24.185020420000001</v>
      </c>
      <c r="U966">
        <f t="shared" si="30"/>
        <v>1</v>
      </c>
      <c r="V966">
        <f t="shared" si="31"/>
        <v>1</v>
      </c>
    </row>
    <row r="967" spans="1:22" x14ac:dyDescent="0.2">
      <c r="A967" t="s">
        <v>1671</v>
      </c>
      <c r="B967" t="s">
        <v>25</v>
      </c>
      <c r="C967" t="s">
        <v>76</v>
      </c>
      <c r="D967" t="s">
        <v>77</v>
      </c>
      <c r="E967" s="1" t="s">
        <v>85</v>
      </c>
      <c r="F967" t="s">
        <v>86</v>
      </c>
      <c r="G967">
        <v>27</v>
      </c>
      <c r="H967">
        <v>9694191007</v>
      </c>
      <c r="I967">
        <v>29310665</v>
      </c>
      <c r="J967">
        <v>27</v>
      </c>
      <c r="K967">
        <v>31</v>
      </c>
      <c r="L967">
        <v>-9664880342</v>
      </c>
      <c r="M967" s="1" t="s">
        <v>1674</v>
      </c>
      <c r="N967">
        <v>3.0144145585333298E-3</v>
      </c>
      <c r="O967" s="1" t="s">
        <v>1675</v>
      </c>
      <c r="P967">
        <v>0</v>
      </c>
      <c r="Q967">
        <v>0</v>
      </c>
      <c r="R967">
        <v>0</v>
      </c>
      <c r="S967">
        <v>0</v>
      </c>
      <c r="T967">
        <v>24.185020420000001</v>
      </c>
      <c r="U967">
        <f t="shared" si="30"/>
        <v>0</v>
      </c>
      <c r="V967">
        <f t="shared" si="31"/>
        <v>0</v>
      </c>
    </row>
    <row r="968" spans="1:22" x14ac:dyDescent="0.2">
      <c r="A968" t="s">
        <v>1671</v>
      </c>
      <c r="B968" t="s">
        <v>25</v>
      </c>
      <c r="C968" t="s">
        <v>76</v>
      </c>
      <c r="D968" t="s">
        <v>77</v>
      </c>
      <c r="E968">
        <v>10</v>
      </c>
      <c r="F968" t="s">
        <v>119</v>
      </c>
      <c r="G968">
        <v>48</v>
      </c>
      <c r="H968">
        <v>1202767607</v>
      </c>
      <c r="I968">
        <v>20346254</v>
      </c>
      <c r="J968">
        <v>3</v>
      </c>
      <c r="K968">
        <v>34</v>
      </c>
      <c r="L968">
        <v>-1182421353</v>
      </c>
      <c r="M968">
        <v>0.98336520037197095</v>
      </c>
      <c r="N968" s="1" t="s">
        <v>1676</v>
      </c>
      <c r="O968">
        <v>2.8153282661299101E-2</v>
      </c>
      <c r="P968">
        <v>1</v>
      </c>
      <c r="Q968">
        <v>0</v>
      </c>
      <c r="R968">
        <v>1</v>
      </c>
      <c r="S968">
        <v>0</v>
      </c>
      <c r="T968">
        <v>24.185020420000001</v>
      </c>
      <c r="U968">
        <f t="shared" si="30"/>
        <v>1</v>
      </c>
      <c r="V968">
        <f t="shared" si="31"/>
        <v>1</v>
      </c>
    </row>
    <row r="969" spans="1:22" x14ac:dyDescent="0.2">
      <c r="A969" t="s">
        <v>1671</v>
      </c>
      <c r="B969" t="s">
        <v>25</v>
      </c>
      <c r="C969" t="s">
        <v>76</v>
      </c>
      <c r="D969" t="s">
        <v>77</v>
      </c>
      <c r="E969" s="1" t="s">
        <v>89</v>
      </c>
      <c r="F969" t="s">
        <v>90</v>
      </c>
      <c r="G969">
        <v>31</v>
      </c>
      <c r="H969">
        <v>2178063658</v>
      </c>
      <c r="I969">
        <v>709</v>
      </c>
      <c r="J969">
        <v>4</v>
      </c>
      <c r="K969">
        <v>47</v>
      </c>
      <c r="L969">
        <v>-2178062949</v>
      </c>
      <c r="M969" s="1" t="s">
        <v>1677</v>
      </c>
      <c r="N969" s="1" t="s">
        <v>1678</v>
      </c>
      <c r="O969">
        <v>5.0134058433873398E-2</v>
      </c>
      <c r="P969">
        <v>1</v>
      </c>
      <c r="Q969">
        <v>0</v>
      </c>
      <c r="R969">
        <v>1</v>
      </c>
      <c r="S969">
        <v>0</v>
      </c>
      <c r="T969">
        <v>24.185020420000001</v>
      </c>
      <c r="U969">
        <f t="shared" si="30"/>
        <v>1</v>
      </c>
      <c r="V969">
        <f t="shared" si="31"/>
        <v>1</v>
      </c>
    </row>
    <row r="970" spans="1:22" x14ac:dyDescent="0.2">
      <c r="A970" t="s">
        <v>1671</v>
      </c>
      <c r="B970" t="s">
        <v>25</v>
      </c>
      <c r="C970" t="s">
        <v>76</v>
      </c>
      <c r="D970" t="s">
        <v>77</v>
      </c>
      <c r="E970" s="1" t="s">
        <v>82</v>
      </c>
      <c r="F970" t="s">
        <v>83</v>
      </c>
      <c r="G970" s="1" t="s">
        <v>99</v>
      </c>
      <c r="H970">
        <v>558224669</v>
      </c>
      <c r="I970">
        <v>111493401</v>
      </c>
      <c r="J970">
        <v>1</v>
      </c>
      <c r="K970">
        <v>13</v>
      </c>
      <c r="L970">
        <v>-446731268</v>
      </c>
      <c r="M970" s="1" t="s">
        <v>1679</v>
      </c>
      <c r="N970" s="1" t="s">
        <v>1680</v>
      </c>
      <c r="O970">
        <v>1.5415377692371401E-2</v>
      </c>
      <c r="P970">
        <v>1</v>
      </c>
      <c r="Q970">
        <v>0</v>
      </c>
      <c r="R970">
        <v>1</v>
      </c>
      <c r="S970">
        <v>0</v>
      </c>
      <c r="T970">
        <v>24.185020420000001</v>
      </c>
      <c r="U970">
        <f t="shared" si="30"/>
        <v>1</v>
      </c>
      <c r="V970">
        <f t="shared" si="31"/>
        <v>1</v>
      </c>
    </row>
    <row r="971" spans="1:22" x14ac:dyDescent="0.2">
      <c r="A971" t="s">
        <v>1671</v>
      </c>
      <c r="B971" t="s">
        <v>25</v>
      </c>
      <c r="C971" t="s">
        <v>76</v>
      </c>
      <c r="D971" t="s">
        <v>77</v>
      </c>
      <c r="E971" s="1" t="s">
        <v>85</v>
      </c>
      <c r="F971" t="s">
        <v>86</v>
      </c>
      <c r="G971">
        <v>25</v>
      </c>
      <c r="H971">
        <v>604761577</v>
      </c>
      <c r="I971">
        <v>16256881</v>
      </c>
      <c r="J971">
        <v>3</v>
      </c>
      <c r="K971">
        <v>20</v>
      </c>
      <c r="L971">
        <v>-588504696</v>
      </c>
      <c r="M971" s="1" t="s">
        <v>1681</v>
      </c>
      <c r="N971">
        <v>2.6177774252242901E-2</v>
      </c>
      <c r="O971" s="1" t="s">
        <v>1682</v>
      </c>
      <c r="P971">
        <v>1</v>
      </c>
      <c r="Q971">
        <v>0</v>
      </c>
      <c r="R971">
        <v>1</v>
      </c>
      <c r="S971">
        <v>0</v>
      </c>
      <c r="T971">
        <v>24.185020420000001</v>
      </c>
      <c r="U971">
        <f t="shared" si="30"/>
        <v>1</v>
      </c>
      <c r="V971">
        <f t="shared" si="31"/>
        <v>1</v>
      </c>
    </row>
    <row r="972" spans="1:22" x14ac:dyDescent="0.2">
      <c r="A972" t="s">
        <v>1671</v>
      </c>
      <c r="B972" t="s">
        <v>25</v>
      </c>
      <c r="C972" t="s">
        <v>76</v>
      </c>
      <c r="D972" t="s">
        <v>77</v>
      </c>
      <c r="E972">
        <v>15</v>
      </c>
      <c r="F972" t="s">
        <v>88</v>
      </c>
      <c r="G972">
        <v>72</v>
      </c>
      <c r="H972">
        <v>873324453</v>
      </c>
      <c r="I972">
        <v>450203445</v>
      </c>
      <c r="J972">
        <v>26</v>
      </c>
      <c r="K972">
        <v>9</v>
      </c>
      <c r="L972">
        <v>-423121008</v>
      </c>
      <c r="M972" s="1" t="s">
        <v>1683</v>
      </c>
      <c r="N972" s="1" t="s">
        <v>1684</v>
      </c>
      <c r="O972">
        <v>3.0464584051107399E-2</v>
      </c>
      <c r="P972">
        <v>0</v>
      </c>
      <c r="Q972">
        <v>0</v>
      </c>
      <c r="R972">
        <v>0</v>
      </c>
      <c r="S972">
        <v>1</v>
      </c>
      <c r="T972">
        <v>24.185020420000001</v>
      </c>
      <c r="U972">
        <f t="shared" si="30"/>
        <v>0</v>
      </c>
      <c r="V972">
        <f t="shared" si="31"/>
        <v>1</v>
      </c>
    </row>
    <row r="973" spans="1:22" x14ac:dyDescent="0.2">
      <c r="A973" t="s">
        <v>1671</v>
      </c>
      <c r="B973" t="s">
        <v>25</v>
      </c>
      <c r="C973" t="s">
        <v>76</v>
      </c>
      <c r="D973" t="s">
        <v>77</v>
      </c>
      <c r="E973">
        <v>15</v>
      </c>
      <c r="F973" t="s">
        <v>88</v>
      </c>
      <c r="G973">
        <v>75</v>
      </c>
      <c r="H973">
        <v>210088439</v>
      </c>
      <c r="I973">
        <v>1652069</v>
      </c>
      <c r="J973">
        <v>8</v>
      </c>
      <c r="K973">
        <v>19</v>
      </c>
      <c r="L973">
        <v>-208436370</v>
      </c>
      <c r="M973" s="1" t="s">
        <v>1685</v>
      </c>
      <c r="N973">
        <v>7.8023284991835303E-3</v>
      </c>
      <c r="O973">
        <v>4.8737820432329E-3</v>
      </c>
      <c r="P973">
        <v>0</v>
      </c>
      <c r="Q973">
        <v>0</v>
      </c>
      <c r="R973">
        <v>1</v>
      </c>
      <c r="S973">
        <v>0</v>
      </c>
      <c r="T973">
        <v>24.185020420000001</v>
      </c>
      <c r="U973">
        <f t="shared" si="30"/>
        <v>0</v>
      </c>
      <c r="V973">
        <f t="shared" si="31"/>
        <v>1</v>
      </c>
    </row>
    <row r="974" spans="1:22" x14ac:dyDescent="0.2">
      <c r="A974" t="s">
        <v>1671</v>
      </c>
      <c r="B974" t="s">
        <v>25</v>
      </c>
      <c r="C974" t="s">
        <v>76</v>
      </c>
      <c r="D974" t="s">
        <v>77</v>
      </c>
      <c r="E974">
        <v>99</v>
      </c>
      <c r="F974" t="s">
        <v>78</v>
      </c>
      <c r="G974">
        <v>99</v>
      </c>
      <c r="H974">
        <v>1812897042</v>
      </c>
      <c r="I974">
        <v>7095607</v>
      </c>
      <c r="J974">
        <v>6</v>
      </c>
      <c r="K974">
        <v>33</v>
      </c>
      <c r="L974">
        <v>-1805801435</v>
      </c>
      <c r="M974">
        <v>0.99610129908826905</v>
      </c>
      <c r="N974">
        <v>3.8987009117309899E-3</v>
      </c>
      <c r="O974" s="1" t="s">
        <v>1686</v>
      </c>
      <c r="P974">
        <v>0</v>
      </c>
      <c r="Q974">
        <v>0</v>
      </c>
      <c r="R974">
        <v>1</v>
      </c>
      <c r="S974">
        <v>0</v>
      </c>
      <c r="T974">
        <v>24.185020420000001</v>
      </c>
      <c r="U974">
        <f t="shared" si="30"/>
        <v>0</v>
      </c>
      <c r="V974">
        <f t="shared" si="31"/>
        <v>1</v>
      </c>
    </row>
    <row r="975" spans="1:22" x14ac:dyDescent="0.2">
      <c r="A975" t="s">
        <v>1671</v>
      </c>
      <c r="B975" t="s">
        <v>25</v>
      </c>
      <c r="C975" t="s">
        <v>76</v>
      </c>
      <c r="D975" t="s">
        <v>77</v>
      </c>
      <c r="E975">
        <v>15</v>
      </c>
      <c r="F975" t="s">
        <v>88</v>
      </c>
      <c r="G975">
        <v>74</v>
      </c>
      <c r="H975">
        <v>96840817</v>
      </c>
      <c r="I975">
        <v>14277668</v>
      </c>
      <c r="J975">
        <v>23</v>
      </c>
      <c r="K975">
        <v>29</v>
      </c>
      <c r="L975">
        <v>-82563149</v>
      </c>
      <c r="M975">
        <v>0.87150951527101905</v>
      </c>
      <c r="N975" s="1" t="s">
        <v>1687</v>
      </c>
      <c r="O975">
        <v>2.5576932915653701E-3</v>
      </c>
      <c r="P975">
        <v>0</v>
      </c>
      <c r="Q975">
        <v>0</v>
      </c>
      <c r="R975">
        <v>0</v>
      </c>
      <c r="S975">
        <v>0</v>
      </c>
      <c r="T975">
        <v>24.185020420000001</v>
      </c>
      <c r="U975">
        <f t="shared" si="30"/>
        <v>0</v>
      </c>
      <c r="V975">
        <f t="shared" si="31"/>
        <v>0</v>
      </c>
    </row>
    <row r="976" spans="1:22" x14ac:dyDescent="0.2">
      <c r="A976" t="s">
        <v>1671</v>
      </c>
      <c r="B976" t="s">
        <v>25</v>
      </c>
      <c r="C976" t="s">
        <v>76</v>
      </c>
      <c r="D976" t="s">
        <v>77</v>
      </c>
      <c r="E976" s="1" t="s">
        <v>99</v>
      </c>
      <c r="F976" t="s">
        <v>100</v>
      </c>
      <c r="G976">
        <v>40</v>
      </c>
      <c r="H976">
        <v>555519500</v>
      </c>
      <c r="I976">
        <v>179334635</v>
      </c>
      <c r="J976">
        <v>10</v>
      </c>
      <c r="K976">
        <v>22</v>
      </c>
      <c r="L976">
        <v>-376184865</v>
      </c>
      <c r="M976" s="1" t="s">
        <v>1688</v>
      </c>
      <c r="N976" s="1" t="s">
        <v>1689</v>
      </c>
      <c r="O976" s="1" t="s">
        <v>1690</v>
      </c>
      <c r="P976">
        <v>0</v>
      </c>
      <c r="Q976">
        <v>0</v>
      </c>
      <c r="R976">
        <v>1</v>
      </c>
      <c r="S976">
        <v>0</v>
      </c>
      <c r="T976">
        <v>24.185020420000001</v>
      </c>
      <c r="U976">
        <f t="shared" si="30"/>
        <v>0</v>
      </c>
      <c r="V976">
        <f t="shared" si="31"/>
        <v>1</v>
      </c>
    </row>
    <row r="977" spans="1:22" x14ac:dyDescent="0.2">
      <c r="A977" t="s">
        <v>1671</v>
      </c>
      <c r="B977" t="s">
        <v>25</v>
      </c>
      <c r="C977" t="s">
        <v>76</v>
      </c>
      <c r="D977" t="s">
        <v>77</v>
      </c>
      <c r="E977">
        <v>16</v>
      </c>
      <c r="F977" t="s">
        <v>95</v>
      </c>
      <c r="G977">
        <v>84</v>
      </c>
      <c r="H977">
        <v>466293473</v>
      </c>
      <c r="I977">
        <v>1056949283</v>
      </c>
      <c r="J977">
        <v>12</v>
      </c>
      <c r="K977">
        <v>29</v>
      </c>
      <c r="L977">
        <v>590655810</v>
      </c>
      <c r="M977" s="1" t="s">
        <v>1691</v>
      </c>
      <c r="N977" s="1" t="s">
        <v>1692</v>
      </c>
      <c r="O977">
        <v>3.5061563145382599E-2</v>
      </c>
      <c r="P977">
        <v>0</v>
      </c>
      <c r="Q977">
        <v>0</v>
      </c>
      <c r="R977">
        <v>0</v>
      </c>
      <c r="S977">
        <v>0</v>
      </c>
      <c r="T977">
        <v>24.185020420000001</v>
      </c>
      <c r="U977">
        <f t="shared" si="30"/>
        <v>0</v>
      </c>
      <c r="V977">
        <f t="shared" si="31"/>
        <v>0</v>
      </c>
    </row>
    <row r="978" spans="1:22" x14ac:dyDescent="0.2">
      <c r="A978" t="s">
        <v>1671</v>
      </c>
      <c r="B978" t="s">
        <v>25</v>
      </c>
      <c r="C978" t="s">
        <v>76</v>
      </c>
      <c r="D978" t="s">
        <v>77</v>
      </c>
      <c r="E978" s="1" t="s">
        <v>89</v>
      </c>
      <c r="F978" t="s">
        <v>90</v>
      </c>
      <c r="G978">
        <v>28</v>
      </c>
      <c r="H978">
        <v>535906369</v>
      </c>
      <c r="I978">
        <v>87324840</v>
      </c>
      <c r="J978">
        <v>14</v>
      </c>
      <c r="K978">
        <v>17</v>
      </c>
      <c r="L978">
        <v>-448581529</v>
      </c>
      <c r="M978" s="1" t="s">
        <v>1693</v>
      </c>
      <c r="N978" s="1" t="s">
        <v>1694</v>
      </c>
      <c r="O978" s="1" t="s">
        <v>1695</v>
      </c>
      <c r="P978">
        <v>0</v>
      </c>
      <c r="Q978">
        <v>0</v>
      </c>
      <c r="R978">
        <v>0</v>
      </c>
      <c r="S978">
        <v>0</v>
      </c>
      <c r="T978">
        <v>24.185020420000001</v>
      </c>
      <c r="U978">
        <f t="shared" si="30"/>
        <v>0</v>
      </c>
      <c r="V978">
        <f t="shared" si="31"/>
        <v>0</v>
      </c>
    </row>
    <row r="979" spans="1:22" x14ac:dyDescent="0.2">
      <c r="A979" t="s">
        <v>1671</v>
      </c>
      <c r="B979" t="s">
        <v>25</v>
      </c>
      <c r="C979" t="s">
        <v>76</v>
      </c>
      <c r="D979" t="s">
        <v>77</v>
      </c>
      <c r="E979" s="1" t="s">
        <v>99</v>
      </c>
      <c r="F979" t="s">
        <v>100</v>
      </c>
      <c r="G979">
        <v>39</v>
      </c>
      <c r="H979">
        <v>557500559</v>
      </c>
      <c r="I979">
        <v>165536158</v>
      </c>
      <c r="J979">
        <v>6</v>
      </c>
      <c r="K979">
        <v>31</v>
      </c>
      <c r="L979">
        <v>-391964401</v>
      </c>
      <c r="M979" s="1" t="s">
        <v>1696</v>
      </c>
      <c r="N979" s="1" t="s">
        <v>1697</v>
      </c>
      <c r="O979" s="1" t="s">
        <v>1698</v>
      </c>
      <c r="P979">
        <v>0</v>
      </c>
      <c r="Q979">
        <v>0</v>
      </c>
      <c r="R979">
        <v>1</v>
      </c>
      <c r="S979">
        <v>0</v>
      </c>
      <c r="T979">
        <v>24.185020420000001</v>
      </c>
      <c r="U979">
        <f t="shared" si="30"/>
        <v>0</v>
      </c>
      <c r="V979">
        <f t="shared" si="31"/>
        <v>1</v>
      </c>
    </row>
    <row r="980" spans="1:22" x14ac:dyDescent="0.2">
      <c r="A980" t="s">
        <v>1671</v>
      </c>
      <c r="B980" t="s">
        <v>25</v>
      </c>
      <c r="C980" t="s">
        <v>76</v>
      </c>
      <c r="D980" t="s">
        <v>77</v>
      </c>
      <c r="E980" s="1" t="s">
        <v>82</v>
      </c>
      <c r="F980" t="s">
        <v>83</v>
      </c>
      <c r="G980" s="1" t="s">
        <v>93</v>
      </c>
      <c r="H980">
        <v>48547224</v>
      </c>
      <c r="I980">
        <v>603554431</v>
      </c>
      <c r="J980">
        <v>3</v>
      </c>
      <c r="K980">
        <v>2</v>
      </c>
      <c r="L980">
        <v>555007207</v>
      </c>
      <c r="M980">
        <v>7.4447325241031606E-2</v>
      </c>
      <c r="N980" s="1" t="s">
        <v>1699</v>
      </c>
      <c r="O980">
        <v>1.50098881244842E-2</v>
      </c>
      <c r="P980">
        <v>1</v>
      </c>
      <c r="Q980">
        <v>1</v>
      </c>
      <c r="R980">
        <v>1</v>
      </c>
      <c r="S980">
        <v>1</v>
      </c>
      <c r="T980">
        <v>24.185020420000001</v>
      </c>
      <c r="U980">
        <f t="shared" si="30"/>
        <v>1</v>
      </c>
      <c r="V980">
        <f t="shared" si="31"/>
        <v>1</v>
      </c>
    </row>
    <row r="981" spans="1:22" x14ac:dyDescent="0.2">
      <c r="A981" t="s">
        <v>1671</v>
      </c>
      <c r="B981" t="s">
        <v>25</v>
      </c>
      <c r="C981" t="s">
        <v>76</v>
      </c>
      <c r="D981" t="s">
        <v>77</v>
      </c>
      <c r="E981" s="1" t="s">
        <v>89</v>
      </c>
      <c r="F981" t="s">
        <v>90</v>
      </c>
      <c r="G981">
        <v>29</v>
      </c>
      <c r="H981">
        <v>388700361</v>
      </c>
      <c r="I981">
        <v>794987177</v>
      </c>
      <c r="J981">
        <v>14</v>
      </c>
      <c r="K981">
        <v>3</v>
      </c>
      <c r="L981">
        <v>406286816</v>
      </c>
      <c r="M981" s="1" t="s">
        <v>1700</v>
      </c>
      <c r="N981" s="1" t="s">
        <v>1701</v>
      </c>
      <c r="O981">
        <v>2.7245778911151701E-2</v>
      </c>
      <c r="P981">
        <v>0</v>
      </c>
      <c r="Q981">
        <v>1</v>
      </c>
      <c r="R981">
        <v>0</v>
      </c>
      <c r="S981">
        <v>1</v>
      </c>
      <c r="T981">
        <v>24.185020420000001</v>
      </c>
      <c r="U981">
        <f t="shared" si="30"/>
        <v>1</v>
      </c>
      <c r="V981">
        <f t="shared" si="31"/>
        <v>1</v>
      </c>
    </row>
    <row r="982" spans="1:22" x14ac:dyDescent="0.2">
      <c r="A982" t="s">
        <v>1671</v>
      </c>
      <c r="B982" t="s">
        <v>25</v>
      </c>
      <c r="C982" t="s">
        <v>76</v>
      </c>
      <c r="D982" t="s">
        <v>77</v>
      </c>
      <c r="E982">
        <v>10</v>
      </c>
      <c r="F982" t="s">
        <v>119</v>
      </c>
      <c r="G982">
        <v>49</v>
      </c>
      <c r="H982">
        <v>340740298</v>
      </c>
      <c r="I982">
        <v>17451068</v>
      </c>
      <c r="J982">
        <v>1</v>
      </c>
      <c r="K982">
        <v>17</v>
      </c>
      <c r="L982">
        <v>-323289230</v>
      </c>
      <c r="M982" s="1" t="s">
        <v>1702</v>
      </c>
      <c r="N982">
        <v>4.87199571415688E-2</v>
      </c>
      <c r="O982">
        <v>8.2447457226836503E-3</v>
      </c>
      <c r="P982">
        <v>1</v>
      </c>
      <c r="Q982">
        <v>0</v>
      </c>
      <c r="R982">
        <v>1</v>
      </c>
      <c r="S982">
        <v>0</v>
      </c>
      <c r="T982">
        <v>24.185020420000001</v>
      </c>
      <c r="U982">
        <f t="shared" si="30"/>
        <v>1</v>
      </c>
      <c r="V982">
        <f t="shared" si="31"/>
        <v>1</v>
      </c>
    </row>
    <row r="983" spans="1:22" x14ac:dyDescent="0.2">
      <c r="A983" t="s">
        <v>1671</v>
      </c>
      <c r="B983" t="s">
        <v>25</v>
      </c>
      <c r="C983" t="s">
        <v>76</v>
      </c>
      <c r="D983" t="s">
        <v>77</v>
      </c>
      <c r="E983">
        <v>15</v>
      </c>
      <c r="F983" t="s">
        <v>88</v>
      </c>
      <c r="G983">
        <v>76</v>
      </c>
      <c r="H983">
        <v>107168333</v>
      </c>
      <c r="I983">
        <v>9109722</v>
      </c>
      <c r="J983">
        <v>41</v>
      </c>
      <c r="K983">
        <v>35</v>
      </c>
      <c r="L983">
        <v>-98058611</v>
      </c>
      <c r="M983" s="1" t="s">
        <v>1703</v>
      </c>
      <c r="N983">
        <v>7.8344292910644195E-2</v>
      </c>
      <c r="O983">
        <v>2.6764547881459101E-3</v>
      </c>
      <c r="P983">
        <v>0</v>
      </c>
      <c r="Q983">
        <v>0</v>
      </c>
      <c r="R983">
        <v>0</v>
      </c>
      <c r="S983">
        <v>0</v>
      </c>
      <c r="T983">
        <v>24.185020420000001</v>
      </c>
      <c r="U983">
        <f t="shared" si="30"/>
        <v>0</v>
      </c>
      <c r="V983">
        <f t="shared" si="31"/>
        <v>0</v>
      </c>
    </row>
    <row r="984" spans="1:22" x14ac:dyDescent="0.2">
      <c r="A984" t="s">
        <v>1671</v>
      </c>
      <c r="B984" t="s">
        <v>25</v>
      </c>
      <c r="C984" t="s">
        <v>76</v>
      </c>
      <c r="D984" t="s">
        <v>77</v>
      </c>
      <c r="E984">
        <v>17</v>
      </c>
      <c r="F984" t="s">
        <v>97</v>
      </c>
      <c r="G984">
        <v>89</v>
      </c>
      <c r="H984">
        <v>402989865</v>
      </c>
      <c r="I984">
        <v>460544</v>
      </c>
      <c r="J984">
        <v>1</v>
      </c>
      <c r="K984">
        <v>40</v>
      </c>
      <c r="L984">
        <v>-402529321</v>
      </c>
      <c r="M984" s="1" t="s">
        <v>1704</v>
      </c>
      <c r="N984">
        <v>1.1415132807561399E-3</v>
      </c>
      <c r="O984">
        <v>9.2865053422804197E-3</v>
      </c>
      <c r="P984">
        <v>1</v>
      </c>
      <c r="Q984">
        <v>0</v>
      </c>
      <c r="R984">
        <v>1</v>
      </c>
      <c r="S984">
        <v>0</v>
      </c>
      <c r="T984">
        <v>24.185020420000001</v>
      </c>
      <c r="U984">
        <f t="shared" si="30"/>
        <v>1</v>
      </c>
      <c r="V984">
        <f t="shared" si="31"/>
        <v>1</v>
      </c>
    </row>
    <row r="985" spans="1:22" x14ac:dyDescent="0.2">
      <c r="A985" t="s">
        <v>1671</v>
      </c>
      <c r="B985" t="s">
        <v>25</v>
      </c>
      <c r="C985" t="s">
        <v>76</v>
      </c>
      <c r="D985" t="s">
        <v>77</v>
      </c>
      <c r="E985" s="1" t="s">
        <v>82</v>
      </c>
      <c r="F985" t="s">
        <v>83</v>
      </c>
      <c r="G985">
        <v>10</v>
      </c>
      <c r="H985">
        <v>128387933</v>
      </c>
      <c r="I985">
        <v>189418143</v>
      </c>
      <c r="J985">
        <v>47</v>
      </c>
      <c r="K985">
        <v>3</v>
      </c>
      <c r="L985">
        <v>61030210</v>
      </c>
      <c r="M985" s="1" t="s">
        <v>1705</v>
      </c>
      <c r="N985" s="1" t="s">
        <v>1706</v>
      </c>
      <c r="O985">
        <v>7.3151687462613899E-3</v>
      </c>
      <c r="P985">
        <v>0</v>
      </c>
      <c r="Q985">
        <v>1</v>
      </c>
      <c r="R985">
        <v>0</v>
      </c>
      <c r="S985">
        <v>1</v>
      </c>
      <c r="T985">
        <v>24.185020420000001</v>
      </c>
      <c r="U985">
        <f t="shared" si="30"/>
        <v>1</v>
      </c>
      <c r="V985">
        <f t="shared" si="31"/>
        <v>1</v>
      </c>
    </row>
    <row r="986" spans="1:22" x14ac:dyDescent="0.2">
      <c r="A986" t="s">
        <v>1671</v>
      </c>
      <c r="B986" t="s">
        <v>25</v>
      </c>
      <c r="C986" t="s">
        <v>76</v>
      </c>
      <c r="D986" t="s">
        <v>77</v>
      </c>
      <c r="E986">
        <v>16</v>
      </c>
      <c r="F986" t="s">
        <v>95</v>
      </c>
      <c r="G986">
        <v>85</v>
      </c>
      <c r="H986">
        <v>221987721</v>
      </c>
      <c r="I986">
        <v>1252577000</v>
      </c>
      <c r="J986">
        <v>15</v>
      </c>
      <c r="K986">
        <v>19</v>
      </c>
      <c r="L986">
        <v>1030589279</v>
      </c>
      <c r="M986" s="1" t="s">
        <v>1707</v>
      </c>
      <c r="N986" s="1" t="s">
        <v>1708</v>
      </c>
      <c r="O986" s="1" t="s">
        <v>1709</v>
      </c>
      <c r="P986">
        <v>0</v>
      </c>
      <c r="Q986">
        <v>0</v>
      </c>
      <c r="R986">
        <v>0</v>
      </c>
      <c r="S986">
        <v>0</v>
      </c>
      <c r="T986">
        <v>24.185020420000001</v>
      </c>
      <c r="U986">
        <f t="shared" si="30"/>
        <v>0</v>
      </c>
      <c r="V986">
        <f t="shared" si="31"/>
        <v>0</v>
      </c>
    </row>
    <row r="987" spans="1:22" x14ac:dyDescent="0.2">
      <c r="A987" t="s">
        <v>1671</v>
      </c>
      <c r="B987" t="s">
        <v>25</v>
      </c>
      <c r="C987" t="s">
        <v>76</v>
      </c>
      <c r="D987" t="s">
        <v>77</v>
      </c>
      <c r="E987">
        <v>11</v>
      </c>
      <c r="F987" t="s">
        <v>127</v>
      </c>
      <c r="G987">
        <v>59</v>
      </c>
      <c r="H987">
        <v>45076806</v>
      </c>
      <c r="I987">
        <v>5241767</v>
      </c>
      <c r="J987">
        <v>3</v>
      </c>
      <c r="K987">
        <v>26</v>
      </c>
      <c r="L987">
        <v>-39835039</v>
      </c>
      <c r="M987" s="1" t="s">
        <v>1710</v>
      </c>
      <c r="N987" s="1" t="s">
        <v>1711</v>
      </c>
      <c r="O987">
        <v>1.15821842426345E-3</v>
      </c>
      <c r="P987">
        <v>1</v>
      </c>
      <c r="Q987">
        <v>0</v>
      </c>
      <c r="R987">
        <v>1</v>
      </c>
      <c r="S987">
        <v>0</v>
      </c>
      <c r="T987">
        <v>24.185020420000001</v>
      </c>
      <c r="U987">
        <f t="shared" si="30"/>
        <v>1</v>
      </c>
      <c r="V987">
        <f t="shared" si="31"/>
        <v>1</v>
      </c>
    </row>
    <row r="988" spans="1:22" x14ac:dyDescent="0.2">
      <c r="A988" t="s">
        <v>1671</v>
      </c>
      <c r="B988" t="s">
        <v>25</v>
      </c>
      <c r="C988" t="s">
        <v>76</v>
      </c>
      <c r="D988" t="s">
        <v>77</v>
      </c>
      <c r="E988">
        <v>15</v>
      </c>
      <c r="F988" t="s">
        <v>88</v>
      </c>
      <c r="G988">
        <v>73</v>
      </c>
      <c r="H988">
        <v>93510162</v>
      </c>
      <c r="I988">
        <v>137270487</v>
      </c>
      <c r="J988">
        <v>20</v>
      </c>
      <c r="K988">
        <v>26</v>
      </c>
      <c r="L988">
        <v>43760325</v>
      </c>
      <c r="M988" s="1" t="s">
        <v>1712</v>
      </c>
      <c r="N988">
        <v>0.59480934642834804</v>
      </c>
      <c r="O988">
        <v>5.3120425262313696E-3</v>
      </c>
      <c r="P988">
        <v>0</v>
      </c>
      <c r="Q988">
        <v>0</v>
      </c>
      <c r="R988">
        <v>0</v>
      </c>
      <c r="S988">
        <v>0</v>
      </c>
      <c r="T988">
        <v>24.185020420000001</v>
      </c>
      <c r="U988">
        <f t="shared" si="30"/>
        <v>0</v>
      </c>
      <c r="V988">
        <f t="shared" si="31"/>
        <v>0</v>
      </c>
    </row>
    <row r="989" spans="1:22" x14ac:dyDescent="0.2">
      <c r="A989" t="s">
        <v>1671</v>
      </c>
      <c r="B989" t="s">
        <v>25</v>
      </c>
      <c r="C989" t="s">
        <v>76</v>
      </c>
      <c r="D989" t="s">
        <v>77</v>
      </c>
      <c r="E989">
        <v>10</v>
      </c>
      <c r="F989" t="s">
        <v>119</v>
      </c>
      <c r="G989">
        <v>47</v>
      </c>
      <c r="H989">
        <v>95564255</v>
      </c>
      <c r="I989">
        <v>0</v>
      </c>
      <c r="J989">
        <v>7</v>
      </c>
      <c r="K989">
        <v>37</v>
      </c>
      <c r="L989">
        <v>-95564255</v>
      </c>
      <c r="M989">
        <v>1</v>
      </c>
      <c r="N989">
        <v>0</v>
      </c>
      <c r="O989">
        <v>2.1996705042094701E-3</v>
      </c>
      <c r="P989">
        <v>0</v>
      </c>
      <c r="Q989">
        <v>0</v>
      </c>
      <c r="R989">
        <v>1</v>
      </c>
      <c r="S989">
        <v>0</v>
      </c>
      <c r="T989">
        <v>24.185020420000001</v>
      </c>
      <c r="U989">
        <f t="shared" si="30"/>
        <v>0</v>
      </c>
      <c r="V989">
        <f t="shared" si="31"/>
        <v>1</v>
      </c>
    </row>
    <row r="990" spans="1:22" x14ac:dyDescent="0.2">
      <c r="A990" t="s">
        <v>1671</v>
      </c>
      <c r="B990" t="s">
        <v>25</v>
      </c>
      <c r="C990" t="s">
        <v>76</v>
      </c>
      <c r="D990" t="s">
        <v>77</v>
      </c>
      <c r="E990" s="1" t="s">
        <v>89</v>
      </c>
      <c r="F990" t="s">
        <v>90</v>
      </c>
      <c r="G990">
        <v>38</v>
      </c>
      <c r="H990">
        <v>76605517</v>
      </c>
      <c r="I990">
        <v>251608874</v>
      </c>
      <c r="J990">
        <v>10</v>
      </c>
      <c r="K990">
        <v>15</v>
      </c>
      <c r="L990">
        <v>175003357</v>
      </c>
      <c r="M990" s="1" t="s">
        <v>1713</v>
      </c>
      <c r="N990" s="1" t="s">
        <v>1714</v>
      </c>
      <c r="O990">
        <v>7.5547443438948496E-3</v>
      </c>
      <c r="P990">
        <v>0</v>
      </c>
      <c r="Q990">
        <v>0</v>
      </c>
      <c r="R990">
        <v>1</v>
      </c>
      <c r="S990">
        <v>0</v>
      </c>
      <c r="T990">
        <v>24.185020420000001</v>
      </c>
      <c r="U990">
        <f t="shared" si="30"/>
        <v>0</v>
      </c>
      <c r="V990">
        <f t="shared" si="31"/>
        <v>1</v>
      </c>
    </row>
    <row r="991" spans="1:22" x14ac:dyDescent="0.2">
      <c r="A991" t="s">
        <v>1671</v>
      </c>
      <c r="B991" t="s">
        <v>25</v>
      </c>
      <c r="C991" t="s">
        <v>76</v>
      </c>
      <c r="D991" t="s">
        <v>77</v>
      </c>
      <c r="E991">
        <v>17</v>
      </c>
      <c r="F991" t="s">
        <v>97</v>
      </c>
      <c r="G991">
        <v>86</v>
      </c>
      <c r="H991">
        <v>10079061</v>
      </c>
      <c r="I991">
        <v>1861365</v>
      </c>
      <c r="J991">
        <v>22</v>
      </c>
      <c r="K991">
        <v>30</v>
      </c>
      <c r="L991">
        <v>-8217696</v>
      </c>
      <c r="M991" s="1" t="s">
        <v>1715</v>
      </c>
      <c r="N991" s="1" t="s">
        <v>1716</v>
      </c>
      <c r="O991" s="1" t="s">
        <v>1717</v>
      </c>
      <c r="P991">
        <v>0</v>
      </c>
      <c r="Q991">
        <v>0</v>
      </c>
      <c r="R991">
        <v>0</v>
      </c>
      <c r="S991">
        <v>0</v>
      </c>
      <c r="T991">
        <v>24.185020420000001</v>
      </c>
      <c r="U991">
        <f t="shared" si="30"/>
        <v>0</v>
      </c>
      <c r="V991">
        <f t="shared" si="31"/>
        <v>0</v>
      </c>
    </row>
    <row r="992" spans="1:22" x14ac:dyDescent="0.2">
      <c r="A992" t="s">
        <v>1671</v>
      </c>
      <c r="B992" t="s">
        <v>25</v>
      </c>
      <c r="C992" t="s">
        <v>76</v>
      </c>
      <c r="D992" t="s">
        <v>77</v>
      </c>
      <c r="E992">
        <v>15</v>
      </c>
      <c r="F992" t="s">
        <v>88</v>
      </c>
      <c r="G992">
        <v>81</v>
      </c>
      <c r="H992">
        <v>49174894</v>
      </c>
      <c r="I992">
        <v>4059363</v>
      </c>
      <c r="J992">
        <v>16</v>
      </c>
      <c r="K992">
        <v>15</v>
      </c>
      <c r="L992">
        <v>-45115531</v>
      </c>
      <c r="M992" s="1" t="s">
        <v>1718</v>
      </c>
      <c r="N992">
        <v>7.6254713200937504E-2</v>
      </c>
      <c r="O992">
        <v>1.22533079901482E-3</v>
      </c>
      <c r="P992">
        <v>0</v>
      </c>
      <c r="Q992">
        <v>0</v>
      </c>
      <c r="R992">
        <v>0</v>
      </c>
      <c r="S992">
        <v>0</v>
      </c>
      <c r="T992">
        <v>24.185020420000001</v>
      </c>
      <c r="U992">
        <f t="shared" si="30"/>
        <v>0</v>
      </c>
      <c r="V992">
        <f t="shared" si="31"/>
        <v>0</v>
      </c>
    </row>
    <row r="993" spans="1:22" x14ac:dyDescent="0.2">
      <c r="A993" t="s">
        <v>1671</v>
      </c>
      <c r="B993" t="s">
        <v>25</v>
      </c>
      <c r="C993" t="s">
        <v>76</v>
      </c>
      <c r="D993" t="s">
        <v>77</v>
      </c>
      <c r="E993" s="1" t="s">
        <v>163</v>
      </c>
      <c r="F993" t="s">
        <v>224</v>
      </c>
      <c r="G993">
        <v>41</v>
      </c>
      <c r="H993">
        <v>45226025</v>
      </c>
      <c r="I993">
        <v>49397026</v>
      </c>
      <c r="J993">
        <v>5</v>
      </c>
      <c r="K993">
        <v>2</v>
      </c>
      <c r="L993">
        <v>4171001</v>
      </c>
      <c r="M993" s="1" t="s">
        <v>1719</v>
      </c>
      <c r="N993">
        <v>0.52204008936469404</v>
      </c>
      <c r="O993">
        <v>2.1780061415537502E-3</v>
      </c>
      <c r="P993">
        <v>1</v>
      </c>
      <c r="Q993">
        <v>1</v>
      </c>
      <c r="R993">
        <v>1</v>
      </c>
      <c r="S993">
        <v>1</v>
      </c>
      <c r="T993">
        <v>24.185020420000001</v>
      </c>
      <c r="U993">
        <f t="shared" si="30"/>
        <v>1</v>
      </c>
      <c r="V993">
        <f t="shared" si="31"/>
        <v>1</v>
      </c>
    </row>
    <row r="994" spans="1:22" x14ac:dyDescent="0.2">
      <c r="A994" t="s">
        <v>1671</v>
      </c>
      <c r="B994" t="s">
        <v>25</v>
      </c>
      <c r="C994" t="s">
        <v>76</v>
      </c>
      <c r="D994" t="s">
        <v>77</v>
      </c>
      <c r="E994">
        <v>11</v>
      </c>
      <c r="F994" t="s">
        <v>127</v>
      </c>
      <c r="G994">
        <v>51</v>
      </c>
      <c r="H994">
        <v>23386028</v>
      </c>
      <c r="I994">
        <v>287462</v>
      </c>
      <c r="J994">
        <v>2</v>
      </c>
      <c r="K994">
        <v>26</v>
      </c>
      <c r="L994">
        <v>-23098566</v>
      </c>
      <c r="M994" s="1" t="s">
        <v>1720</v>
      </c>
      <c r="N994" s="1" t="s">
        <v>1721</v>
      </c>
      <c r="O994" s="1" t="s">
        <v>1722</v>
      </c>
      <c r="P994">
        <v>1</v>
      </c>
      <c r="Q994">
        <v>0</v>
      </c>
      <c r="R994">
        <v>1</v>
      </c>
      <c r="S994">
        <v>0</v>
      </c>
      <c r="T994">
        <v>24.185020420000001</v>
      </c>
      <c r="U994">
        <f t="shared" si="30"/>
        <v>1</v>
      </c>
      <c r="V994">
        <f t="shared" si="31"/>
        <v>1</v>
      </c>
    </row>
    <row r="995" spans="1:22" x14ac:dyDescent="0.2">
      <c r="A995" t="s">
        <v>1671</v>
      </c>
      <c r="B995" t="s">
        <v>25</v>
      </c>
      <c r="C995" t="s">
        <v>76</v>
      </c>
      <c r="D995" t="s">
        <v>77</v>
      </c>
      <c r="E995" s="1" t="s">
        <v>93</v>
      </c>
      <c r="F995" t="s">
        <v>94</v>
      </c>
      <c r="G995">
        <v>44</v>
      </c>
      <c r="H995">
        <v>82411202</v>
      </c>
      <c r="I995">
        <v>4676370</v>
      </c>
      <c r="J995">
        <v>41</v>
      </c>
      <c r="K995">
        <v>27</v>
      </c>
      <c r="L995">
        <v>-77734832</v>
      </c>
      <c r="M995" s="1" t="s">
        <v>1723</v>
      </c>
      <c r="N995" s="1" t="s">
        <v>1724</v>
      </c>
      <c r="O995">
        <v>2.00455665574559E-3</v>
      </c>
      <c r="P995">
        <v>0</v>
      </c>
      <c r="Q995">
        <v>0</v>
      </c>
      <c r="R995">
        <v>0</v>
      </c>
      <c r="S995">
        <v>0</v>
      </c>
      <c r="T995">
        <v>24.185020420000001</v>
      </c>
      <c r="U995">
        <f t="shared" si="30"/>
        <v>0</v>
      </c>
      <c r="V995">
        <f t="shared" si="31"/>
        <v>0</v>
      </c>
    </row>
    <row r="996" spans="1:22" x14ac:dyDescent="0.2">
      <c r="A996" t="s">
        <v>1671</v>
      </c>
      <c r="B996" t="s">
        <v>25</v>
      </c>
      <c r="C996" t="s">
        <v>76</v>
      </c>
      <c r="D996" t="s">
        <v>77</v>
      </c>
      <c r="E996">
        <v>18</v>
      </c>
      <c r="F996" t="s">
        <v>147</v>
      </c>
      <c r="G996">
        <v>90</v>
      </c>
      <c r="H996">
        <v>104687148</v>
      </c>
      <c r="I996">
        <v>177581710</v>
      </c>
      <c r="J996">
        <v>8</v>
      </c>
      <c r="K996">
        <v>26</v>
      </c>
      <c r="L996">
        <v>72894562</v>
      </c>
      <c r="M996" s="1" t="s">
        <v>1725</v>
      </c>
      <c r="N996" s="1" t="s">
        <v>1726</v>
      </c>
      <c r="O996">
        <v>6.4971832951503904E-3</v>
      </c>
      <c r="P996">
        <v>0</v>
      </c>
      <c r="Q996">
        <v>0</v>
      </c>
      <c r="R996">
        <v>1</v>
      </c>
      <c r="S996">
        <v>0</v>
      </c>
      <c r="T996">
        <v>24.185020420000001</v>
      </c>
      <c r="U996">
        <f t="shared" si="30"/>
        <v>0</v>
      </c>
      <c r="V996">
        <f t="shared" si="31"/>
        <v>1</v>
      </c>
    </row>
    <row r="997" spans="1:22" x14ac:dyDescent="0.2">
      <c r="A997" t="s">
        <v>1671</v>
      </c>
      <c r="B997" t="s">
        <v>25</v>
      </c>
      <c r="C997" t="s">
        <v>76</v>
      </c>
      <c r="D997" t="s">
        <v>77</v>
      </c>
      <c r="E997">
        <v>15</v>
      </c>
      <c r="F997" t="s">
        <v>88</v>
      </c>
      <c r="G997">
        <v>78</v>
      </c>
      <c r="H997">
        <v>12642458</v>
      </c>
      <c r="I997">
        <v>680</v>
      </c>
      <c r="J997">
        <v>16</v>
      </c>
      <c r="K997">
        <v>37</v>
      </c>
      <c r="L997">
        <v>-12641778</v>
      </c>
      <c r="M997">
        <v>0.99994621588406296</v>
      </c>
      <c r="N997" s="1" t="s">
        <v>1727</v>
      </c>
      <c r="O997" s="1" t="s">
        <v>1728</v>
      </c>
      <c r="P997">
        <v>0</v>
      </c>
      <c r="Q997">
        <v>0</v>
      </c>
      <c r="R997">
        <v>0</v>
      </c>
      <c r="S997">
        <v>0</v>
      </c>
      <c r="T997">
        <v>24.185020420000001</v>
      </c>
      <c r="U997">
        <f t="shared" si="30"/>
        <v>0</v>
      </c>
      <c r="V997">
        <f t="shared" si="31"/>
        <v>0</v>
      </c>
    </row>
    <row r="998" spans="1:22" x14ac:dyDescent="0.2">
      <c r="A998" t="s">
        <v>1671</v>
      </c>
      <c r="B998" t="s">
        <v>25</v>
      </c>
      <c r="C998" t="s">
        <v>76</v>
      </c>
      <c r="D998" t="s">
        <v>77</v>
      </c>
      <c r="E998">
        <v>15</v>
      </c>
      <c r="F998" t="s">
        <v>88</v>
      </c>
      <c r="G998">
        <v>79</v>
      </c>
      <c r="H998">
        <v>13713134</v>
      </c>
      <c r="I998">
        <v>440162</v>
      </c>
      <c r="J998">
        <v>6</v>
      </c>
      <c r="K998">
        <v>27</v>
      </c>
      <c r="L998">
        <v>-13272972</v>
      </c>
      <c r="M998" s="1" t="s">
        <v>1729</v>
      </c>
      <c r="N998">
        <v>3.1099611002271099E-2</v>
      </c>
      <c r="O998" s="1" t="s">
        <v>1730</v>
      </c>
      <c r="P998">
        <v>0</v>
      </c>
      <c r="Q998">
        <v>0</v>
      </c>
      <c r="R998">
        <v>1</v>
      </c>
      <c r="S998">
        <v>0</v>
      </c>
      <c r="T998">
        <v>24.185020420000001</v>
      </c>
      <c r="U998">
        <f t="shared" si="30"/>
        <v>0</v>
      </c>
      <c r="V998">
        <f t="shared" si="31"/>
        <v>1</v>
      </c>
    </row>
    <row r="999" spans="1:22" x14ac:dyDescent="0.2">
      <c r="A999" t="s">
        <v>1671</v>
      </c>
      <c r="B999" t="s">
        <v>25</v>
      </c>
      <c r="C999" t="s">
        <v>76</v>
      </c>
      <c r="D999" t="s">
        <v>77</v>
      </c>
      <c r="E999" s="1" t="s">
        <v>89</v>
      </c>
      <c r="F999" t="s">
        <v>90</v>
      </c>
      <c r="G999">
        <v>32</v>
      </c>
      <c r="H999">
        <v>29427377</v>
      </c>
      <c r="I999">
        <v>133813924</v>
      </c>
      <c r="J999">
        <v>9</v>
      </c>
      <c r="K999">
        <v>17</v>
      </c>
      <c r="L999">
        <v>104386547</v>
      </c>
      <c r="M999" s="1" t="s">
        <v>1731</v>
      </c>
      <c r="N999" s="1" t="s">
        <v>1732</v>
      </c>
      <c r="O999">
        <v>3.7574412616776E-3</v>
      </c>
      <c r="P999">
        <v>0</v>
      </c>
      <c r="Q999">
        <v>0</v>
      </c>
      <c r="R999">
        <v>1</v>
      </c>
      <c r="S999">
        <v>0</v>
      </c>
      <c r="T999">
        <v>24.185020420000001</v>
      </c>
      <c r="U999">
        <f t="shared" si="30"/>
        <v>0</v>
      </c>
      <c r="V999">
        <f t="shared" si="31"/>
        <v>1</v>
      </c>
    </row>
    <row r="1000" spans="1:22" x14ac:dyDescent="0.2">
      <c r="A1000" t="s">
        <v>1671</v>
      </c>
      <c r="B1000" t="s">
        <v>25</v>
      </c>
      <c r="C1000" t="s">
        <v>76</v>
      </c>
      <c r="D1000" t="s">
        <v>77</v>
      </c>
      <c r="E1000">
        <v>13</v>
      </c>
      <c r="F1000" t="s">
        <v>91</v>
      </c>
      <c r="G1000">
        <v>68</v>
      </c>
      <c r="H1000">
        <v>8432620</v>
      </c>
      <c r="I1000">
        <v>58484737</v>
      </c>
      <c r="J1000">
        <v>36</v>
      </c>
      <c r="K1000">
        <v>12</v>
      </c>
      <c r="L1000">
        <v>50052117</v>
      </c>
      <c r="M1000" s="1" t="s">
        <v>1733</v>
      </c>
      <c r="N1000" s="1" t="s">
        <v>1734</v>
      </c>
      <c r="O1000">
        <v>1.54028445481582E-3</v>
      </c>
      <c r="P1000">
        <v>0</v>
      </c>
      <c r="Q1000">
        <v>0</v>
      </c>
      <c r="R1000">
        <v>0</v>
      </c>
      <c r="S1000">
        <v>0</v>
      </c>
      <c r="T1000">
        <v>24.185020420000001</v>
      </c>
      <c r="U1000">
        <f t="shared" si="30"/>
        <v>0</v>
      </c>
      <c r="V1000">
        <f t="shared" si="31"/>
        <v>0</v>
      </c>
    </row>
    <row r="1001" spans="1:22" x14ac:dyDescent="0.2">
      <c r="A1001" t="s">
        <v>1671</v>
      </c>
      <c r="B1001" t="s">
        <v>25</v>
      </c>
      <c r="C1001" t="s">
        <v>76</v>
      </c>
      <c r="D1001" t="s">
        <v>77</v>
      </c>
      <c r="E1001" s="1" t="s">
        <v>82</v>
      </c>
      <c r="F1001" t="s">
        <v>83</v>
      </c>
      <c r="G1001">
        <v>12</v>
      </c>
      <c r="H1001">
        <v>2837967</v>
      </c>
      <c r="I1001">
        <v>196572317</v>
      </c>
      <c r="J1001">
        <v>42</v>
      </c>
      <c r="K1001">
        <v>7</v>
      </c>
      <c r="L1001">
        <v>193734350</v>
      </c>
      <c r="M1001" s="1" t="s">
        <v>1735</v>
      </c>
      <c r="N1001" s="1" t="s">
        <v>1736</v>
      </c>
      <c r="O1001">
        <v>4.5899684976441696E-3</v>
      </c>
      <c r="P1001">
        <v>0</v>
      </c>
      <c r="Q1001">
        <v>0</v>
      </c>
      <c r="R1001">
        <v>0</v>
      </c>
      <c r="S1001">
        <v>1</v>
      </c>
      <c r="T1001">
        <v>24.185020420000001</v>
      </c>
      <c r="U1001">
        <f t="shared" si="30"/>
        <v>0</v>
      </c>
      <c r="V1001">
        <f t="shared" si="31"/>
        <v>1</v>
      </c>
    </row>
    <row r="1002" spans="1:22" x14ac:dyDescent="0.2">
      <c r="A1002" t="s">
        <v>1671</v>
      </c>
      <c r="B1002" t="s">
        <v>25</v>
      </c>
      <c r="C1002" t="s">
        <v>76</v>
      </c>
      <c r="D1002" t="s">
        <v>77</v>
      </c>
      <c r="E1002" s="1" t="s">
        <v>89</v>
      </c>
      <c r="F1002" t="s">
        <v>90</v>
      </c>
      <c r="G1002">
        <v>34</v>
      </c>
      <c r="H1002">
        <v>7102285</v>
      </c>
      <c r="I1002">
        <v>22898333</v>
      </c>
      <c r="J1002">
        <v>26</v>
      </c>
      <c r="K1002">
        <v>28</v>
      </c>
      <c r="L1002">
        <v>15796048</v>
      </c>
      <c r="M1002" s="1" t="s">
        <v>1737</v>
      </c>
      <c r="N1002" s="1" t="s">
        <v>1738</v>
      </c>
      <c r="O1002" s="1" t="s">
        <v>1739</v>
      </c>
      <c r="P1002">
        <v>0</v>
      </c>
      <c r="Q1002">
        <v>0</v>
      </c>
      <c r="R1002">
        <v>0</v>
      </c>
      <c r="S1002">
        <v>0</v>
      </c>
      <c r="T1002">
        <v>24.185020420000001</v>
      </c>
      <c r="U1002">
        <f t="shared" si="30"/>
        <v>0</v>
      </c>
      <c r="V1002">
        <f t="shared" si="31"/>
        <v>0</v>
      </c>
    </row>
    <row r="1003" spans="1:22" x14ac:dyDescent="0.2">
      <c r="A1003" t="s">
        <v>1671</v>
      </c>
      <c r="B1003" t="s">
        <v>25</v>
      </c>
      <c r="C1003" t="s">
        <v>76</v>
      </c>
      <c r="D1003" t="s">
        <v>77</v>
      </c>
      <c r="E1003" s="1" t="s">
        <v>138</v>
      </c>
      <c r="F1003" t="s">
        <v>139</v>
      </c>
      <c r="G1003">
        <v>22</v>
      </c>
      <c r="H1003">
        <v>2982384</v>
      </c>
      <c r="I1003">
        <v>792678</v>
      </c>
      <c r="J1003">
        <v>51</v>
      </c>
      <c r="K1003">
        <v>59</v>
      </c>
      <c r="L1003">
        <v>-2189706</v>
      </c>
      <c r="M1003" s="1" t="s">
        <v>1740</v>
      </c>
      <c r="N1003" s="1" t="s">
        <v>1741</v>
      </c>
      <c r="O1003" s="1" t="s">
        <v>1742</v>
      </c>
      <c r="P1003">
        <v>0</v>
      </c>
      <c r="Q1003">
        <v>0</v>
      </c>
      <c r="R1003">
        <v>0</v>
      </c>
      <c r="S1003">
        <v>0</v>
      </c>
      <c r="T1003">
        <v>24.185020420000001</v>
      </c>
      <c r="U1003">
        <f t="shared" si="30"/>
        <v>0</v>
      </c>
      <c r="V1003">
        <f t="shared" si="31"/>
        <v>0</v>
      </c>
    </row>
    <row r="1004" spans="1:22" x14ac:dyDescent="0.2">
      <c r="A1004" t="s">
        <v>1671</v>
      </c>
      <c r="B1004" t="s">
        <v>25</v>
      </c>
      <c r="C1004" t="s">
        <v>76</v>
      </c>
      <c r="D1004" t="s">
        <v>77</v>
      </c>
      <c r="E1004">
        <v>15</v>
      </c>
      <c r="F1004" t="s">
        <v>88</v>
      </c>
      <c r="G1004">
        <v>82</v>
      </c>
      <c r="H1004">
        <v>2494393</v>
      </c>
      <c r="I1004">
        <v>75008474</v>
      </c>
      <c r="J1004">
        <v>39</v>
      </c>
      <c r="K1004">
        <v>17</v>
      </c>
      <c r="L1004">
        <v>72514081</v>
      </c>
      <c r="M1004">
        <v>3.2184525509230497E-2</v>
      </c>
      <c r="N1004" s="1" t="s">
        <v>1743</v>
      </c>
      <c r="O1004">
        <v>1.7839386759366199E-3</v>
      </c>
      <c r="P1004">
        <v>0</v>
      </c>
      <c r="Q1004">
        <v>0</v>
      </c>
      <c r="R1004">
        <v>0</v>
      </c>
      <c r="S1004">
        <v>0</v>
      </c>
      <c r="T1004">
        <v>24.185020420000001</v>
      </c>
      <c r="U1004">
        <f t="shared" si="30"/>
        <v>0</v>
      </c>
      <c r="V1004">
        <f t="shared" si="31"/>
        <v>0</v>
      </c>
    </row>
    <row r="1005" spans="1:22" x14ac:dyDescent="0.2">
      <c r="A1005" t="s">
        <v>1671</v>
      </c>
      <c r="B1005" t="s">
        <v>25</v>
      </c>
      <c r="C1005" t="s">
        <v>76</v>
      </c>
      <c r="D1005" t="s">
        <v>77</v>
      </c>
      <c r="E1005">
        <v>17</v>
      </c>
      <c r="F1005" t="s">
        <v>97</v>
      </c>
      <c r="G1005">
        <v>88</v>
      </c>
      <c r="H1005">
        <v>135471702</v>
      </c>
      <c r="I1005">
        <v>283585603</v>
      </c>
      <c r="J1005">
        <v>10</v>
      </c>
      <c r="K1005">
        <v>6</v>
      </c>
      <c r="L1005">
        <v>148113901</v>
      </c>
      <c r="M1005" s="1" t="s">
        <v>1744</v>
      </c>
      <c r="N1005" s="1" t="s">
        <v>1745</v>
      </c>
      <c r="O1005">
        <v>9.6457403804593392E-3</v>
      </c>
      <c r="P1005">
        <v>0</v>
      </c>
      <c r="Q1005">
        <v>0</v>
      </c>
      <c r="R1005">
        <v>1</v>
      </c>
      <c r="S1005">
        <v>1</v>
      </c>
      <c r="T1005">
        <v>24.185020420000001</v>
      </c>
      <c r="U1005">
        <f t="shared" si="30"/>
        <v>0</v>
      </c>
      <c r="V1005">
        <f t="shared" si="31"/>
        <v>1</v>
      </c>
    </row>
    <row r="1006" spans="1:22" x14ac:dyDescent="0.2">
      <c r="A1006" t="s">
        <v>1671</v>
      </c>
      <c r="B1006" t="s">
        <v>25</v>
      </c>
      <c r="C1006" t="s">
        <v>76</v>
      </c>
      <c r="D1006" t="s">
        <v>77</v>
      </c>
      <c r="E1006" s="1" t="s">
        <v>110</v>
      </c>
      <c r="F1006" t="s">
        <v>111</v>
      </c>
      <c r="G1006">
        <v>15</v>
      </c>
      <c r="H1006">
        <v>607376570</v>
      </c>
      <c r="I1006">
        <v>48808794</v>
      </c>
      <c r="J1006">
        <v>7</v>
      </c>
      <c r="K1006">
        <v>13</v>
      </c>
      <c r="L1006">
        <v>-558567776</v>
      </c>
      <c r="M1006" s="1" t="s">
        <v>1746</v>
      </c>
      <c r="N1006">
        <v>7.4382631307820496E-2</v>
      </c>
      <c r="O1006" s="1" t="s">
        <v>1747</v>
      </c>
      <c r="P1006">
        <v>0</v>
      </c>
      <c r="Q1006">
        <v>0</v>
      </c>
      <c r="R1006">
        <v>1</v>
      </c>
      <c r="S1006">
        <v>0</v>
      </c>
      <c r="T1006">
        <v>24.185020420000001</v>
      </c>
      <c r="U1006">
        <f t="shared" si="30"/>
        <v>0</v>
      </c>
      <c r="V1006">
        <f t="shared" si="31"/>
        <v>1</v>
      </c>
    </row>
    <row r="1007" spans="1:22" x14ac:dyDescent="0.2">
      <c r="A1007" t="s">
        <v>1671</v>
      </c>
      <c r="B1007" t="s">
        <v>25</v>
      </c>
      <c r="C1007" t="s">
        <v>76</v>
      </c>
      <c r="D1007" t="s">
        <v>77</v>
      </c>
      <c r="E1007">
        <v>20</v>
      </c>
      <c r="F1007" t="s">
        <v>104</v>
      </c>
      <c r="G1007">
        <v>94</v>
      </c>
      <c r="H1007">
        <v>2542300</v>
      </c>
      <c r="I1007">
        <v>19276826</v>
      </c>
      <c r="J1007">
        <v>51</v>
      </c>
      <c r="K1007">
        <v>38</v>
      </c>
      <c r="L1007">
        <v>16734526</v>
      </c>
      <c r="M1007" s="1" t="s">
        <v>1748</v>
      </c>
      <c r="N1007" s="1" t="s">
        <v>1749</v>
      </c>
      <c r="O1007" s="1" t="s">
        <v>1750</v>
      </c>
      <c r="P1007">
        <v>0</v>
      </c>
      <c r="Q1007">
        <v>0</v>
      </c>
      <c r="R1007">
        <v>0</v>
      </c>
      <c r="S1007">
        <v>0</v>
      </c>
      <c r="T1007">
        <v>24.185020420000001</v>
      </c>
      <c r="U1007">
        <f t="shared" si="30"/>
        <v>0</v>
      </c>
      <c r="V1007">
        <f t="shared" si="31"/>
        <v>0</v>
      </c>
    </row>
    <row r="1008" spans="1:22" x14ac:dyDescent="0.2">
      <c r="A1008" t="s">
        <v>1671</v>
      </c>
      <c r="B1008" t="s">
        <v>25</v>
      </c>
      <c r="C1008" t="s">
        <v>76</v>
      </c>
      <c r="D1008" t="s">
        <v>77</v>
      </c>
      <c r="E1008">
        <v>11</v>
      </c>
      <c r="F1008" t="s">
        <v>127</v>
      </c>
      <c r="G1008">
        <v>54</v>
      </c>
      <c r="H1008">
        <v>626893</v>
      </c>
      <c r="I1008">
        <v>63577626</v>
      </c>
      <c r="J1008">
        <v>28</v>
      </c>
      <c r="K1008">
        <v>7</v>
      </c>
      <c r="L1008">
        <v>62950733</v>
      </c>
      <c r="M1008">
        <v>9.7640011912557105E-3</v>
      </c>
      <c r="N1008" s="1" t="s">
        <v>1751</v>
      </c>
      <c r="O1008">
        <v>1.4778411308836799E-3</v>
      </c>
      <c r="P1008">
        <v>0</v>
      </c>
      <c r="Q1008">
        <v>0</v>
      </c>
      <c r="R1008">
        <v>0</v>
      </c>
      <c r="S1008">
        <v>1</v>
      </c>
      <c r="T1008">
        <v>24.185020420000001</v>
      </c>
      <c r="U1008">
        <f t="shared" si="30"/>
        <v>0</v>
      </c>
      <c r="V1008">
        <f t="shared" si="31"/>
        <v>1</v>
      </c>
    </row>
    <row r="1009" spans="1:22" x14ac:dyDescent="0.2">
      <c r="A1009" t="s">
        <v>1671</v>
      </c>
      <c r="B1009" t="s">
        <v>25</v>
      </c>
      <c r="C1009" t="s">
        <v>76</v>
      </c>
      <c r="D1009" t="s">
        <v>77</v>
      </c>
      <c r="E1009" s="1" t="s">
        <v>138</v>
      </c>
      <c r="F1009" t="s">
        <v>139</v>
      </c>
      <c r="G1009">
        <v>21</v>
      </c>
      <c r="H1009">
        <v>686161</v>
      </c>
      <c r="I1009">
        <v>283244871</v>
      </c>
      <c r="J1009">
        <v>61</v>
      </c>
      <c r="K1009">
        <v>7</v>
      </c>
      <c r="L1009">
        <v>282558710</v>
      </c>
      <c r="M1009">
        <v>2.4166467299002298E-3</v>
      </c>
      <c r="N1009" s="1" t="s">
        <v>1752</v>
      </c>
      <c r="O1009">
        <v>6.5354427376654199E-3</v>
      </c>
      <c r="P1009">
        <v>0</v>
      </c>
      <c r="Q1009">
        <v>0</v>
      </c>
      <c r="R1009">
        <v>0</v>
      </c>
      <c r="S1009">
        <v>1</v>
      </c>
      <c r="T1009">
        <v>24.185020420000001</v>
      </c>
      <c r="U1009">
        <f t="shared" si="30"/>
        <v>0</v>
      </c>
      <c r="V1009">
        <f t="shared" si="31"/>
        <v>1</v>
      </c>
    </row>
    <row r="1010" spans="1:22" x14ac:dyDescent="0.2">
      <c r="A1010" t="s">
        <v>1671</v>
      </c>
      <c r="B1010" t="s">
        <v>25</v>
      </c>
      <c r="C1010" t="s">
        <v>76</v>
      </c>
      <c r="D1010" t="s">
        <v>77</v>
      </c>
      <c r="E1010" s="1" t="s">
        <v>89</v>
      </c>
      <c r="F1010" t="s">
        <v>90</v>
      </c>
      <c r="G1010">
        <v>35</v>
      </c>
      <c r="H1010">
        <v>174279</v>
      </c>
      <c r="I1010">
        <v>5265062</v>
      </c>
      <c r="J1010">
        <v>34</v>
      </c>
      <c r="K1010">
        <v>34</v>
      </c>
      <c r="L1010">
        <v>5090783</v>
      </c>
      <c r="M1010">
        <v>3.2040462254526697E-2</v>
      </c>
      <c r="N1010" s="1" t="s">
        <v>1753</v>
      </c>
      <c r="O1010" s="1" t="s">
        <v>1754</v>
      </c>
      <c r="P1010">
        <v>0</v>
      </c>
      <c r="Q1010">
        <v>0</v>
      </c>
      <c r="R1010">
        <v>0</v>
      </c>
      <c r="S1010">
        <v>0</v>
      </c>
      <c r="T1010">
        <v>24.185020420000001</v>
      </c>
      <c r="U1010">
        <f t="shared" si="30"/>
        <v>0</v>
      </c>
      <c r="V1010">
        <f t="shared" si="31"/>
        <v>0</v>
      </c>
    </row>
    <row r="1011" spans="1:22" x14ac:dyDescent="0.2">
      <c r="A1011" t="s">
        <v>1671</v>
      </c>
      <c r="B1011" t="s">
        <v>25</v>
      </c>
      <c r="C1011" t="s">
        <v>76</v>
      </c>
      <c r="D1011" t="s">
        <v>77</v>
      </c>
      <c r="E1011" s="1" t="s">
        <v>85</v>
      </c>
      <c r="F1011" t="s">
        <v>86</v>
      </c>
      <c r="G1011">
        <v>26</v>
      </c>
      <c r="H1011">
        <v>253558131</v>
      </c>
      <c r="I1011">
        <v>305552</v>
      </c>
      <c r="J1011">
        <v>15</v>
      </c>
      <c r="K1011">
        <v>39</v>
      </c>
      <c r="L1011">
        <v>-253252579</v>
      </c>
      <c r="M1011" s="1" t="s">
        <v>1755</v>
      </c>
      <c r="N1011">
        <v>1.2036065828289399E-3</v>
      </c>
      <c r="O1011">
        <v>5.84336115616748E-3</v>
      </c>
      <c r="P1011">
        <v>0</v>
      </c>
      <c r="Q1011">
        <v>0</v>
      </c>
      <c r="R1011">
        <v>0</v>
      </c>
      <c r="S1011">
        <v>0</v>
      </c>
      <c r="T1011">
        <v>24.185020420000001</v>
      </c>
      <c r="U1011">
        <f t="shared" si="30"/>
        <v>0</v>
      </c>
      <c r="V1011">
        <f t="shared" si="31"/>
        <v>0</v>
      </c>
    </row>
    <row r="1012" spans="1:22" x14ac:dyDescent="0.2">
      <c r="A1012" t="s">
        <v>1671</v>
      </c>
      <c r="B1012" t="s">
        <v>25</v>
      </c>
      <c r="C1012" t="s">
        <v>76</v>
      </c>
      <c r="D1012" t="s">
        <v>77</v>
      </c>
      <c r="E1012">
        <v>21</v>
      </c>
      <c r="F1012" t="s">
        <v>212</v>
      </c>
      <c r="G1012">
        <v>97</v>
      </c>
      <c r="H1012">
        <v>5269320</v>
      </c>
      <c r="I1012">
        <v>5437444</v>
      </c>
      <c r="J1012">
        <v>11</v>
      </c>
      <c r="K1012">
        <v>13</v>
      </c>
      <c r="L1012">
        <v>168124</v>
      </c>
      <c r="M1012" s="1" t="s">
        <v>1756</v>
      </c>
      <c r="N1012" s="1" t="s">
        <v>1757</v>
      </c>
      <c r="O1012" s="1" t="s">
        <v>1758</v>
      </c>
      <c r="P1012">
        <v>0</v>
      </c>
      <c r="Q1012">
        <v>0</v>
      </c>
      <c r="R1012">
        <v>0</v>
      </c>
      <c r="S1012">
        <v>0</v>
      </c>
      <c r="T1012">
        <v>24.185020420000001</v>
      </c>
      <c r="U1012">
        <f t="shared" si="30"/>
        <v>0</v>
      </c>
      <c r="V1012">
        <f t="shared" si="31"/>
        <v>0</v>
      </c>
    </row>
    <row r="1013" spans="1:22" x14ac:dyDescent="0.2">
      <c r="A1013" t="s">
        <v>1671</v>
      </c>
      <c r="B1013" t="s">
        <v>25</v>
      </c>
      <c r="C1013" t="s">
        <v>76</v>
      </c>
      <c r="D1013" t="s">
        <v>77</v>
      </c>
      <c r="E1013">
        <v>17</v>
      </c>
      <c r="F1013" t="s">
        <v>97</v>
      </c>
      <c r="G1013">
        <v>87</v>
      </c>
      <c r="H1013">
        <v>5791139</v>
      </c>
      <c r="I1013">
        <v>485271641</v>
      </c>
      <c r="J1013">
        <v>59</v>
      </c>
      <c r="K1013">
        <v>25</v>
      </c>
      <c r="L1013">
        <v>479480502</v>
      </c>
      <c r="M1013">
        <v>1.17930725680329E-2</v>
      </c>
      <c r="N1013">
        <v>0.98820692743196703</v>
      </c>
      <c r="O1013" s="1" t="s">
        <v>1759</v>
      </c>
      <c r="P1013">
        <v>0</v>
      </c>
      <c r="Q1013">
        <v>0</v>
      </c>
      <c r="R1013">
        <v>0</v>
      </c>
      <c r="S1013">
        <v>0</v>
      </c>
      <c r="T1013">
        <v>24.185020420000001</v>
      </c>
      <c r="U1013">
        <f t="shared" si="30"/>
        <v>0</v>
      </c>
      <c r="V1013">
        <f t="shared" si="31"/>
        <v>0</v>
      </c>
    </row>
    <row r="1014" spans="1:22" x14ac:dyDescent="0.2">
      <c r="A1014" t="s">
        <v>1671</v>
      </c>
      <c r="B1014" t="s">
        <v>25</v>
      </c>
      <c r="C1014" t="s">
        <v>76</v>
      </c>
      <c r="D1014" t="s">
        <v>77</v>
      </c>
      <c r="E1014" s="1" t="s">
        <v>155</v>
      </c>
      <c r="F1014" t="s">
        <v>156</v>
      </c>
      <c r="G1014" s="1" t="s">
        <v>85</v>
      </c>
      <c r="H1014">
        <v>746908</v>
      </c>
      <c r="I1014">
        <v>539824</v>
      </c>
      <c r="J1014">
        <v>26</v>
      </c>
      <c r="K1014">
        <v>24</v>
      </c>
      <c r="L1014">
        <v>-207084</v>
      </c>
      <c r="M1014" s="1" t="s">
        <v>1760</v>
      </c>
      <c r="N1014" s="1" t="s">
        <v>1761</v>
      </c>
      <c r="O1014" s="1" t="s">
        <v>1762</v>
      </c>
      <c r="P1014">
        <v>0</v>
      </c>
      <c r="Q1014">
        <v>0</v>
      </c>
      <c r="R1014">
        <v>0</v>
      </c>
      <c r="S1014">
        <v>0</v>
      </c>
      <c r="T1014">
        <v>24.185020420000001</v>
      </c>
      <c r="U1014">
        <f t="shared" si="30"/>
        <v>0</v>
      </c>
      <c r="V1014">
        <f t="shared" si="31"/>
        <v>0</v>
      </c>
    </row>
    <row r="1015" spans="1:22" x14ac:dyDescent="0.2">
      <c r="A1015" t="s">
        <v>1671</v>
      </c>
      <c r="B1015" t="s">
        <v>25</v>
      </c>
      <c r="C1015" t="s">
        <v>76</v>
      </c>
      <c r="D1015" t="s">
        <v>77</v>
      </c>
      <c r="E1015" s="1" t="s">
        <v>82</v>
      </c>
      <c r="F1015" t="s">
        <v>83</v>
      </c>
      <c r="G1015">
        <v>11</v>
      </c>
      <c r="H1015">
        <v>999523</v>
      </c>
      <c r="I1015">
        <v>136206</v>
      </c>
      <c r="J1015">
        <v>44</v>
      </c>
      <c r="K1015">
        <v>37</v>
      </c>
      <c r="L1015">
        <v>-863317</v>
      </c>
      <c r="M1015" s="1" t="s">
        <v>1763</v>
      </c>
      <c r="N1015" s="1" t="s">
        <v>1764</v>
      </c>
      <c r="O1015" s="1" t="s">
        <v>1765</v>
      </c>
      <c r="P1015">
        <v>0</v>
      </c>
      <c r="Q1015">
        <v>0</v>
      </c>
      <c r="R1015">
        <v>0</v>
      </c>
      <c r="S1015">
        <v>0</v>
      </c>
      <c r="T1015">
        <v>24.185020420000001</v>
      </c>
      <c r="U1015">
        <f t="shared" si="30"/>
        <v>0</v>
      </c>
      <c r="V1015">
        <f t="shared" si="31"/>
        <v>0</v>
      </c>
    </row>
    <row r="1016" spans="1:22" x14ac:dyDescent="0.2">
      <c r="A1016" t="s">
        <v>1671</v>
      </c>
      <c r="B1016" t="s">
        <v>25</v>
      </c>
      <c r="C1016" t="s">
        <v>76</v>
      </c>
      <c r="D1016" t="s">
        <v>77</v>
      </c>
      <c r="E1016">
        <v>13</v>
      </c>
      <c r="F1016" t="s">
        <v>91</v>
      </c>
      <c r="G1016">
        <v>70</v>
      </c>
      <c r="H1016">
        <v>10306402</v>
      </c>
      <c r="I1016">
        <v>18707586</v>
      </c>
      <c r="J1016">
        <v>34</v>
      </c>
      <c r="K1016">
        <v>28</v>
      </c>
      <c r="L1016">
        <v>8401184</v>
      </c>
      <c r="M1016" s="1" t="s">
        <v>1766</v>
      </c>
      <c r="N1016" s="1" t="s">
        <v>1767</v>
      </c>
      <c r="O1016" s="1" t="s">
        <v>1768</v>
      </c>
      <c r="P1016">
        <v>0</v>
      </c>
      <c r="Q1016">
        <v>0</v>
      </c>
      <c r="R1016">
        <v>0</v>
      </c>
      <c r="S1016">
        <v>0</v>
      </c>
      <c r="T1016">
        <v>24.185020420000001</v>
      </c>
      <c r="U1016">
        <f t="shared" si="30"/>
        <v>0</v>
      </c>
      <c r="V1016">
        <f t="shared" si="31"/>
        <v>0</v>
      </c>
    </row>
    <row r="1017" spans="1:22" x14ac:dyDescent="0.2">
      <c r="A1017" t="s">
        <v>1671</v>
      </c>
      <c r="B1017" t="s">
        <v>25</v>
      </c>
      <c r="C1017" t="s">
        <v>76</v>
      </c>
      <c r="D1017" t="s">
        <v>77</v>
      </c>
      <c r="E1017" s="1" t="s">
        <v>89</v>
      </c>
      <c r="F1017" t="s">
        <v>90</v>
      </c>
      <c r="G1017">
        <v>33</v>
      </c>
      <c r="H1017">
        <v>1440030</v>
      </c>
      <c r="I1017">
        <v>52923436</v>
      </c>
      <c r="J1017">
        <v>60</v>
      </c>
      <c r="K1017">
        <v>30</v>
      </c>
      <c r="L1017">
        <v>51483406</v>
      </c>
      <c r="M1017">
        <v>2.64889291643031E-2</v>
      </c>
      <c r="N1017" s="1" t="s">
        <v>1769</v>
      </c>
      <c r="O1017">
        <v>1.25132260662519E-3</v>
      </c>
      <c r="P1017">
        <v>0</v>
      </c>
      <c r="Q1017">
        <v>0</v>
      </c>
      <c r="R1017">
        <v>0</v>
      </c>
      <c r="S1017">
        <v>0</v>
      </c>
      <c r="T1017">
        <v>24.185020420000001</v>
      </c>
      <c r="U1017">
        <f t="shared" si="30"/>
        <v>0</v>
      </c>
      <c r="V1017">
        <f t="shared" si="31"/>
        <v>0</v>
      </c>
    </row>
    <row r="1018" spans="1:22" x14ac:dyDescent="0.2">
      <c r="A1018" t="s">
        <v>1671</v>
      </c>
      <c r="B1018" t="s">
        <v>25</v>
      </c>
      <c r="C1018" t="s">
        <v>76</v>
      </c>
      <c r="D1018" t="s">
        <v>77</v>
      </c>
      <c r="E1018">
        <v>15</v>
      </c>
      <c r="F1018" t="s">
        <v>88</v>
      </c>
      <c r="G1018">
        <v>83</v>
      </c>
      <c r="H1018">
        <v>1487861</v>
      </c>
      <c r="I1018">
        <v>17930581</v>
      </c>
      <c r="J1018">
        <v>31</v>
      </c>
      <c r="K1018">
        <v>30</v>
      </c>
      <c r="L1018">
        <v>16442720</v>
      </c>
      <c r="M1018">
        <v>7.6621028607753397E-2</v>
      </c>
      <c r="N1018" s="1" t="s">
        <v>1770</v>
      </c>
      <c r="O1018" s="1" t="s">
        <v>1771</v>
      </c>
      <c r="P1018">
        <v>0</v>
      </c>
      <c r="Q1018">
        <v>0</v>
      </c>
      <c r="R1018">
        <v>0</v>
      </c>
      <c r="S1018">
        <v>0</v>
      </c>
      <c r="T1018">
        <v>24.185020420000001</v>
      </c>
      <c r="U1018">
        <f t="shared" si="30"/>
        <v>0</v>
      </c>
      <c r="V1018">
        <f t="shared" si="31"/>
        <v>0</v>
      </c>
    </row>
    <row r="1019" spans="1:22" x14ac:dyDescent="0.2">
      <c r="A1019" t="s">
        <v>1671</v>
      </c>
      <c r="B1019" t="s">
        <v>25</v>
      </c>
      <c r="C1019" t="s">
        <v>76</v>
      </c>
      <c r="D1019" t="s">
        <v>77</v>
      </c>
      <c r="E1019">
        <v>11</v>
      </c>
      <c r="F1019" t="s">
        <v>127</v>
      </c>
      <c r="G1019">
        <v>56</v>
      </c>
      <c r="H1019">
        <v>74698</v>
      </c>
      <c r="I1019">
        <v>18714314</v>
      </c>
      <c r="J1019">
        <v>61</v>
      </c>
      <c r="K1019">
        <v>23</v>
      </c>
      <c r="L1019">
        <v>18639616</v>
      </c>
      <c r="M1019">
        <v>3.9756214962234299E-3</v>
      </c>
      <c r="N1019" s="1" t="s">
        <v>1772</v>
      </c>
      <c r="O1019" s="1" t="s">
        <v>1773</v>
      </c>
      <c r="P1019">
        <v>0</v>
      </c>
      <c r="Q1019">
        <v>0</v>
      </c>
      <c r="R1019">
        <v>0</v>
      </c>
      <c r="S1019">
        <v>0</v>
      </c>
      <c r="T1019">
        <v>24.185020420000001</v>
      </c>
      <c r="U1019">
        <f t="shared" si="30"/>
        <v>0</v>
      </c>
      <c r="V1019">
        <f t="shared" si="31"/>
        <v>0</v>
      </c>
    </row>
    <row r="1020" spans="1:22" x14ac:dyDescent="0.2">
      <c r="A1020" t="s">
        <v>1671</v>
      </c>
      <c r="B1020" t="s">
        <v>25</v>
      </c>
      <c r="C1020" t="s">
        <v>76</v>
      </c>
      <c r="D1020" t="s">
        <v>77</v>
      </c>
      <c r="E1020">
        <v>20</v>
      </c>
      <c r="F1020" t="s">
        <v>104</v>
      </c>
      <c r="G1020">
        <v>95</v>
      </c>
      <c r="H1020">
        <v>1522935</v>
      </c>
      <c r="I1020">
        <v>13970170</v>
      </c>
      <c r="J1020">
        <v>32</v>
      </c>
      <c r="K1020">
        <v>35</v>
      </c>
      <c r="L1020">
        <v>12447235</v>
      </c>
      <c r="M1020">
        <v>9.8297597544197798E-2</v>
      </c>
      <c r="N1020" s="1" t="s">
        <v>1774</v>
      </c>
      <c r="O1020" s="1" t="s">
        <v>1775</v>
      </c>
      <c r="P1020">
        <v>0</v>
      </c>
      <c r="Q1020">
        <v>0</v>
      </c>
      <c r="R1020">
        <v>0</v>
      </c>
      <c r="S1020">
        <v>0</v>
      </c>
      <c r="T1020">
        <v>24.185020420000001</v>
      </c>
      <c r="U1020">
        <f t="shared" si="30"/>
        <v>0</v>
      </c>
      <c r="V1020">
        <f t="shared" si="31"/>
        <v>0</v>
      </c>
    </row>
    <row r="1021" spans="1:22" x14ac:dyDescent="0.2">
      <c r="A1021" t="s">
        <v>1671</v>
      </c>
      <c r="B1021" t="s">
        <v>25</v>
      </c>
      <c r="C1021" t="s">
        <v>76</v>
      </c>
      <c r="D1021" t="s">
        <v>77</v>
      </c>
      <c r="E1021">
        <v>20</v>
      </c>
      <c r="F1021" t="s">
        <v>104</v>
      </c>
      <c r="G1021">
        <v>96</v>
      </c>
      <c r="H1021">
        <v>521739</v>
      </c>
      <c r="I1021">
        <v>36984745</v>
      </c>
      <c r="J1021">
        <v>38</v>
      </c>
      <c r="K1021">
        <v>17</v>
      </c>
      <c r="L1021">
        <v>36463006</v>
      </c>
      <c r="M1021" s="1" t="s">
        <v>1776</v>
      </c>
      <c r="N1021" s="1" t="s">
        <v>1777</v>
      </c>
      <c r="O1021" s="1" t="s">
        <v>1778</v>
      </c>
      <c r="P1021">
        <v>0</v>
      </c>
      <c r="Q1021">
        <v>0</v>
      </c>
      <c r="R1021">
        <v>0</v>
      </c>
      <c r="S1021">
        <v>0</v>
      </c>
      <c r="T1021">
        <v>24.185020420000001</v>
      </c>
      <c r="U1021">
        <f t="shared" si="30"/>
        <v>0</v>
      </c>
      <c r="V1021">
        <f t="shared" si="31"/>
        <v>0</v>
      </c>
    </row>
    <row r="1022" spans="1:22" x14ac:dyDescent="0.2">
      <c r="A1022" t="s">
        <v>1671</v>
      </c>
      <c r="B1022" t="s">
        <v>25</v>
      </c>
      <c r="C1022" t="s">
        <v>76</v>
      </c>
      <c r="D1022" t="s">
        <v>77</v>
      </c>
      <c r="E1022">
        <v>12</v>
      </c>
      <c r="F1022" t="s">
        <v>194</v>
      </c>
      <c r="G1022">
        <v>65</v>
      </c>
      <c r="H1022">
        <v>3645</v>
      </c>
      <c r="I1022">
        <v>884072</v>
      </c>
      <c r="J1022">
        <v>61</v>
      </c>
      <c r="K1022">
        <v>34</v>
      </c>
      <c r="L1022">
        <v>880427</v>
      </c>
      <c r="M1022">
        <v>4.1060382982414396E-3</v>
      </c>
      <c r="N1022" s="1" t="s">
        <v>1779</v>
      </c>
      <c r="O1022" s="1" t="s">
        <v>1780</v>
      </c>
      <c r="P1022">
        <v>0</v>
      </c>
      <c r="Q1022">
        <v>0</v>
      </c>
      <c r="R1022">
        <v>0</v>
      </c>
      <c r="S1022">
        <v>0</v>
      </c>
      <c r="T1022">
        <v>24.185020420000001</v>
      </c>
      <c r="U1022">
        <f t="shared" si="30"/>
        <v>0</v>
      </c>
      <c r="V1022">
        <f t="shared" si="31"/>
        <v>0</v>
      </c>
    </row>
    <row r="1023" spans="1:22" x14ac:dyDescent="0.2">
      <c r="A1023" t="s">
        <v>1671</v>
      </c>
      <c r="B1023" t="s">
        <v>25</v>
      </c>
      <c r="C1023" t="s">
        <v>76</v>
      </c>
      <c r="D1023" t="s">
        <v>77</v>
      </c>
      <c r="E1023">
        <v>18</v>
      </c>
      <c r="F1023" t="s">
        <v>147</v>
      </c>
      <c r="G1023">
        <v>92</v>
      </c>
      <c r="H1023">
        <v>2972</v>
      </c>
      <c r="I1023">
        <v>445277</v>
      </c>
      <c r="J1023">
        <v>69</v>
      </c>
      <c r="K1023">
        <v>27</v>
      </c>
      <c r="L1023">
        <v>442305</v>
      </c>
      <c r="M1023">
        <v>6.6302434584349298E-3</v>
      </c>
      <c r="N1023" s="1" t="s">
        <v>1781</v>
      </c>
      <c r="O1023" s="1" t="s">
        <v>1782</v>
      </c>
      <c r="P1023">
        <v>0</v>
      </c>
      <c r="Q1023">
        <v>0</v>
      </c>
      <c r="R1023">
        <v>0</v>
      </c>
      <c r="S1023">
        <v>0</v>
      </c>
      <c r="T1023">
        <v>24.185020420000001</v>
      </c>
      <c r="U1023">
        <f t="shared" si="30"/>
        <v>0</v>
      </c>
      <c r="V1023">
        <f t="shared" si="31"/>
        <v>0</v>
      </c>
    </row>
    <row r="1024" spans="1:22" x14ac:dyDescent="0.2">
      <c r="A1024" t="s">
        <v>1671</v>
      </c>
      <c r="B1024" t="s">
        <v>25</v>
      </c>
      <c r="C1024" t="s">
        <v>76</v>
      </c>
      <c r="D1024" t="s">
        <v>77</v>
      </c>
      <c r="E1024">
        <v>19</v>
      </c>
      <c r="F1024" t="s">
        <v>838</v>
      </c>
      <c r="G1024">
        <v>93</v>
      </c>
      <c r="H1024">
        <v>90011</v>
      </c>
      <c r="I1024">
        <v>39843859</v>
      </c>
      <c r="J1024">
        <v>54</v>
      </c>
      <c r="K1024">
        <v>2</v>
      </c>
      <c r="L1024">
        <v>39753848</v>
      </c>
      <c r="M1024">
        <v>2.2540014278606101E-3</v>
      </c>
      <c r="N1024" s="1" t="s">
        <v>1783</v>
      </c>
      <c r="O1024" s="1" t="s">
        <v>1784</v>
      </c>
      <c r="P1024">
        <v>0</v>
      </c>
      <c r="Q1024">
        <v>1</v>
      </c>
      <c r="R1024">
        <v>0</v>
      </c>
      <c r="S1024">
        <v>1</v>
      </c>
      <c r="T1024">
        <v>24.185020420000001</v>
      </c>
      <c r="U1024">
        <f t="shared" si="30"/>
        <v>1</v>
      </c>
      <c r="V1024">
        <f t="shared" si="31"/>
        <v>1</v>
      </c>
    </row>
    <row r="1025" spans="1:22" x14ac:dyDescent="0.2">
      <c r="A1025" t="s">
        <v>1671</v>
      </c>
      <c r="B1025" t="s">
        <v>25</v>
      </c>
      <c r="C1025" t="s">
        <v>76</v>
      </c>
      <c r="D1025" t="s">
        <v>77</v>
      </c>
      <c r="E1025" s="1" t="s">
        <v>89</v>
      </c>
      <c r="F1025" t="s">
        <v>90</v>
      </c>
      <c r="G1025">
        <v>30</v>
      </c>
      <c r="H1025">
        <v>3663834</v>
      </c>
      <c r="I1025">
        <v>2039360888</v>
      </c>
      <c r="J1025">
        <v>41</v>
      </c>
      <c r="K1025">
        <v>7</v>
      </c>
      <c r="L1025">
        <v>2035697054</v>
      </c>
      <c r="M1025">
        <v>1.79333806416856E-3</v>
      </c>
      <c r="N1025" s="1" t="s">
        <v>1785</v>
      </c>
      <c r="O1025">
        <v>4.7025754769439203E-2</v>
      </c>
      <c r="P1025">
        <v>0</v>
      </c>
      <c r="Q1025">
        <v>0</v>
      </c>
      <c r="R1025">
        <v>0</v>
      </c>
      <c r="S1025">
        <v>1</v>
      </c>
      <c r="T1025">
        <v>24.185020420000001</v>
      </c>
      <c r="U1025">
        <f t="shared" si="30"/>
        <v>0</v>
      </c>
      <c r="V1025">
        <f t="shared" si="31"/>
        <v>1</v>
      </c>
    </row>
    <row r="1026" spans="1:22" x14ac:dyDescent="0.2">
      <c r="A1026" t="s">
        <v>1671</v>
      </c>
      <c r="B1026" t="s">
        <v>25</v>
      </c>
      <c r="C1026" t="s">
        <v>76</v>
      </c>
      <c r="D1026" t="s">
        <v>77</v>
      </c>
      <c r="E1026">
        <v>11</v>
      </c>
      <c r="F1026" t="s">
        <v>127</v>
      </c>
      <c r="G1026">
        <v>61</v>
      </c>
      <c r="H1026">
        <v>191847</v>
      </c>
      <c r="I1026">
        <v>177072221</v>
      </c>
      <c r="J1026">
        <v>48</v>
      </c>
      <c r="K1026">
        <v>14</v>
      </c>
      <c r="L1026">
        <v>176880374</v>
      </c>
      <c r="M1026">
        <v>1.08226671183017E-3</v>
      </c>
      <c r="N1026" s="1" t="s">
        <v>1786</v>
      </c>
      <c r="O1026">
        <v>4.0802132746787199E-3</v>
      </c>
      <c r="P1026">
        <v>0</v>
      </c>
      <c r="Q1026">
        <v>0</v>
      </c>
      <c r="R1026">
        <v>0</v>
      </c>
      <c r="S1026">
        <v>0</v>
      </c>
      <c r="T1026">
        <v>24.185020420000001</v>
      </c>
      <c r="U1026">
        <f t="shared" si="30"/>
        <v>0</v>
      </c>
      <c r="V1026">
        <f t="shared" si="31"/>
        <v>0</v>
      </c>
    </row>
    <row r="1027" spans="1:22" x14ac:dyDescent="0.2">
      <c r="A1027" t="s">
        <v>1671</v>
      </c>
      <c r="B1027" t="s">
        <v>25</v>
      </c>
      <c r="C1027" t="s">
        <v>76</v>
      </c>
      <c r="D1027" t="s">
        <v>77</v>
      </c>
      <c r="E1027">
        <v>18</v>
      </c>
      <c r="F1027" t="s">
        <v>147</v>
      </c>
      <c r="G1027">
        <v>91</v>
      </c>
      <c r="H1027">
        <v>90880</v>
      </c>
      <c r="I1027">
        <v>82007</v>
      </c>
      <c r="J1027">
        <v>38</v>
      </c>
      <c r="K1027">
        <v>41</v>
      </c>
      <c r="L1027">
        <v>-8873</v>
      </c>
      <c r="M1027" s="1" t="s">
        <v>1787</v>
      </c>
      <c r="N1027" s="1" t="s">
        <v>1788</v>
      </c>
      <c r="O1027" s="1" t="s">
        <v>1789</v>
      </c>
      <c r="P1027">
        <v>0</v>
      </c>
      <c r="Q1027">
        <v>0</v>
      </c>
      <c r="R1027">
        <v>0</v>
      </c>
      <c r="S1027">
        <v>0</v>
      </c>
      <c r="T1027">
        <v>24.185020420000001</v>
      </c>
      <c r="U1027">
        <f t="shared" ref="U1027:U1090" si="32">IF(OR(P1027=1,Q1027=1),1,0)</f>
        <v>0</v>
      </c>
      <c r="V1027">
        <f t="shared" ref="V1027:V1090" si="33">IF(OR(R1027=1,S1027=1),1,0)</f>
        <v>0</v>
      </c>
    </row>
    <row r="1028" spans="1:22" x14ac:dyDescent="0.2">
      <c r="A1028" t="s">
        <v>1671</v>
      </c>
      <c r="B1028" t="s">
        <v>25</v>
      </c>
      <c r="C1028" t="s">
        <v>76</v>
      </c>
      <c r="D1028" t="s">
        <v>77</v>
      </c>
      <c r="E1028" s="1" t="s">
        <v>155</v>
      </c>
      <c r="F1028" t="s">
        <v>156</v>
      </c>
      <c r="G1028" s="1" t="s">
        <v>138</v>
      </c>
      <c r="H1028">
        <v>187981</v>
      </c>
      <c r="I1028">
        <v>22270467</v>
      </c>
      <c r="J1028">
        <v>35</v>
      </c>
      <c r="K1028">
        <v>24</v>
      </c>
      <c r="L1028">
        <v>22082486</v>
      </c>
      <c r="M1028">
        <v>8.3701687667821004E-3</v>
      </c>
      <c r="N1028" s="1" t="s">
        <v>1790</v>
      </c>
      <c r="O1028" s="1" t="s">
        <v>1791</v>
      </c>
      <c r="P1028">
        <v>0</v>
      </c>
      <c r="Q1028">
        <v>0</v>
      </c>
      <c r="R1028">
        <v>0</v>
      </c>
      <c r="S1028">
        <v>0</v>
      </c>
      <c r="T1028">
        <v>24.185020420000001</v>
      </c>
      <c r="U1028">
        <f t="shared" si="32"/>
        <v>0</v>
      </c>
      <c r="V1028">
        <f t="shared" si="33"/>
        <v>0</v>
      </c>
    </row>
    <row r="1029" spans="1:22" x14ac:dyDescent="0.2">
      <c r="A1029" t="s">
        <v>1671</v>
      </c>
      <c r="B1029" t="s">
        <v>25</v>
      </c>
      <c r="C1029" t="s">
        <v>76</v>
      </c>
      <c r="D1029" t="s">
        <v>77</v>
      </c>
      <c r="E1029">
        <v>11</v>
      </c>
      <c r="F1029" t="s">
        <v>127</v>
      </c>
      <c r="G1029">
        <v>62</v>
      </c>
      <c r="H1029">
        <v>170337</v>
      </c>
      <c r="I1029">
        <v>182514215</v>
      </c>
      <c r="J1029">
        <v>58</v>
      </c>
      <c r="K1029">
        <v>13</v>
      </c>
      <c r="L1029">
        <v>182343878</v>
      </c>
      <c r="M1029" s="1" t="s">
        <v>1792</v>
      </c>
      <c r="N1029" s="1" t="s">
        <v>1793</v>
      </c>
      <c r="O1029">
        <v>4.2049804145820203E-3</v>
      </c>
      <c r="P1029">
        <v>0</v>
      </c>
      <c r="Q1029">
        <v>0</v>
      </c>
      <c r="R1029">
        <v>0</v>
      </c>
      <c r="S1029">
        <v>0</v>
      </c>
      <c r="T1029">
        <v>24.185020420000001</v>
      </c>
      <c r="U1029">
        <f t="shared" si="32"/>
        <v>0</v>
      </c>
      <c r="V1029">
        <f t="shared" si="33"/>
        <v>0</v>
      </c>
    </row>
    <row r="1030" spans="1:22" x14ac:dyDescent="0.2">
      <c r="A1030" t="s">
        <v>1671</v>
      </c>
      <c r="B1030" t="s">
        <v>25</v>
      </c>
      <c r="C1030" t="s">
        <v>76</v>
      </c>
      <c r="D1030" t="s">
        <v>77</v>
      </c>
      <c r="E1030" s="1" t="s">
        <v>82</v>
      </c>
      <c r="F1030" t="s">
        <v>83</v>
      </c>
      <c r="G1030" s="1" t="s">
        <v>163</v>
      </c>
      <c r="H1030">
        <v>0</v>
      </c>
      <c r="I1030">
        <v>214614151</v>
      </c>
      <c r="J1030">
        <v>74</v>
      </c>
      <c r="K1030">
        <v>20</v>
      </c>
      <c r="L1030">
        <v>214614151</v>
      </c>
      <c r="M1030">
        <v>0</v>
      </c>
      <c r="N1030">
        <v>1</v>
      </c>
      <c r="O1030">
        <v>4.9399267303518197E-3</v>
      </c>
      <c r="P1030">
        <v>0</v>
      </c>
      <c r="Q1030">
        <v>0</v>
      </c>
      <c r="R1030">
        <v>0</v>
      </c>
      <c r="S1030">
        <v>0</v>
      </c>
      <c r="T1030">
        <v>24.185020420000001</v>
      </c>
      <c r="U1030">
        <f t="shared" si="32"/>
        <v>0</v>
      </c>
      <c r="V1030">
        <f t="shared" si="33"/>
        <v>0</v>
      </c>
    </row>
    <row r="1031" spans="1:22" x14ac:dyDescent="0.2">
      <c r="A1031" t="s">
        <v>1671</v>
      </c>
      <c r="B1031" t="s">
        <v>25</v>
      </c>
      <c r="C1031" t="s">
        <v>76</v>
      </c>
      <c r="D1031" t="s">
        <v>77</v>
      </c>
      <c r="E1031" s="1" t="s">
        <v>82</v>
      </c>
      <c r="F1031" t="s">
        <v>83</v>
      </c>
      <c r="G1031">
        <v>14</v>
      </c>
      <c r="H1031">
        <v>0</v>
      </c>
      <c r="I1031">
        <v>1064822</v>
      </c>
      <c r="J1031">
        <v>41</v>
      </c>
      <c r="K1031">
        <v>3</v>
      </c>
      <c r="L1031">
        <v>1064822</v>
      </c>
      <c r="M1031">
        <v>0</v>
      </c>
      <c r="N1031">
        <v>1</v>
      </c>
      <c r="O1031" s="1" t="s">
        <v>1794</v>
      </c>
      <c r="P1031">
        <v>0</v>
      </c>
      <c r="Q1031">
        <v>1</v>
      </c>
      <c r="R1031">
        <v>0</v>
      </c>
      <c r="S1031">
        <v>1</v>
      </c>
      <c r="T1031">
        <v>24.185020420000001</v>
      </c>
      <c r="U1031">
        <f t="shared" si="32"/>
        <v>1</v>
      </c>
      <c r="V1031">
        <f t="shared" si="33"/>
        <v>1</v>
      </c>
    </row>
    <row r="1032" spans="1:22" x14ac:dyDescent="0.2">
      <c r="A1032" t="s">
        <v>1671</v>
      </c>
      <c r="B1032" t="s">
        <v>25</v>
      </c>
      <c r="C1032" t="s">
        <v>76</v>
      </c>
      <c r="D1032" t="s">
        <v>77</v>
      </c>
      <c r="E1032">
        <v>11</v>
      </c>
      <c r="F1032" t="s">
        <v>127</v>
      </c>
      <c r="G1032">
        <v>60</v>
      </c>
      <c r="H1032">
        <v>0</v>
      </c>
      <c r="I1032">
        <v>193012</v>
      </c>
      <c r="J1032">
        <v>59</v>
      </c>
      <c r="K1032">
        <v>41</v>
      </c>
      <c r="L1032">
        <v>193012</v>
      </c>
      <c r="M1032">
        <v>0</v>
      </c>
      <c r="N1032">
        <v>1</v>
      </c>
      <c r="O1032" s="1" t="s">
        <v>1795</v>
      </c>
      <c r="P1032">
        <v>0</v>
      </c>
      <c r="Q1032">
        <v>0</v>
      </c>
      <c r="R1032">
        <v>0</v>
      </c>
      <c r="S1032">
        <v>0</v>
      </c>
      <c r="T1032">
        <v>24.185020420000001</v>
      </c>
      <c r="U1032">
        <f t="shared" si="32"/>
        <v>0</v>
      </c>
      <c r="V1032">
        <f t="shared" si="33"/>
        <v>0</v>
      </c>
    </row>
    <row r="1033" spans="1:22" x14ac:dyDescent="0.2">
      <c r="A1033" t="s">
        <v>1671</v>
      </c>
      <c r="B1033" t="s">
        <v>25</v>
      </c>
      <c r="C1033" t="s">
        <v>76</v>
      </c>
      <c r="D1033" t="s">
        <v>77</v>
      </c>
      <c r="E1033" s="1" t="s">
        <v>138</v>
      </c>
      <c r="F1033" t="s">
        <v>139</v>
      </c>
      <c r="G1033">
        <v>19</v>
      </c>
      <c r="H1033">
        <v>50403</v>
      </c>
      <c r="I1033">
        <v>3530148</v>
      </c>
      <c r="J1033">
        <v>65</v>
      </c>
      <c r="K1033">
        <v>41</v>
      </c>
      <c r="L1033">
        <v>3479745</v>
      </c>
      <c r="M1033" s="1" t="s">
        <v>1796</v>
      </c>
      <c r="N1033" s="1" t="s">
        <v>1797</v>
      </c>
      <c r="O1033" s="1" t="s">
        <v>1798</v>
      </c>
      <c r="P1033">
        <v>0</v>
      </c>
      <c r="Q1033">
        <v>0</v>
      </c>
      <c r="R1033">
        <v>0</v>
      </c>
      <c r="S1033">
        <v>0</v>
      </c>
      <c r="T1033">
        <v>24.185020420000001</v>
      </c>
      <c r="U1033">
        <f t="shared" si="32"/>
        <v>0</v>
      </c>
      <c r="V1033">
        <f t="shared" si="33"/>
        <v>0</v>
      </c>
    </row>
    <row r="1034" spans="1:22" x14ac:dyDescent="0.2">
      <c r="A1034" t="s">
        <v>1671</v>
      </c>
      <c r="B1034" t="s">
        <v>25</v>
      </c>
      <c r="C1034" t="s">
        <v>76</v>
      </c>
      <c r="D1034" t="s">
        <v>77</v>
      </c>
      <c r="E1034" s="1" t="s">
        <v>138</v>
      </c>
      <c r="F1034" t="s">
        <v>139</v>
      </c>
      <c r="G1034">
        <v>20</v>
      </c>
      <c r="H1034">
        <v>76177</v>
      </c>
      <c r="I1034">
        <v>105511879</v>
      </c>
      <c r="J1034">
        <v>46</v>
      </c>
      <c r="K1034">
        <v>12</v>
      </c>
      <c r="L1034">
        <v>105435702</v>
      </c>
      <c r="M1034" s="1" t="s">
        <v>1799</v>
      </c>
      <c r="N1034" s="1" t="s">
        <v>1800</v>
      </c>
      <c r="O1034">
        <v>2.4303954693103398E-3</v>
      </c>
      <c r="P1034">
        <v>0</v>
      </c>
      <c r="Q1034">
        <v>0</v>
      </c>
      <c r="R1034">
        <v>0</v>
      </c>
      <c r="S1034">
        <v>0</v>
      </c>
      <c r="T1034">
        <v>24.185020420000001</v>
      </c>
      <c r="U1034">
        <f t="shared" si="32"/>
        <v>0</v>
      </c>
      <c r="V1034">
        <f t="shared" si="33"/>
        <v>0</v>
      </c>
    </row>
    <row r="1035" spans="1:22" x14ac:dyDescent="0.2">
      <c r="A1035" t="s">
        <v>1671</v>
      </c>
      <c r="B1035" t="s">
        <v>25</v>
      </c>
      <c r="C1035" t="s">
        <v>76</v>
      </c>
      <c r="D1035" t="s">
        <v>77</v>
      </c>
      <c r="E1035">
        <v>11</v>
      </c>
      <c r="F1035" t="s">
        <v>127</v>
      </c>
      <c r="G1035">
        <v>55</v>
      </c>
      <c r="H1035">
        <v>94206</v>
      </c>
      <c r="I1035">
        <v>66903611</v>
      </c>
      <c r="J1035">
        <v>30</v>
      </c>
      <c r="K1035">
        <v>7</v>
      </c>
      <c r="L1035">
        <v>66809405</v>
      </c>
      <c r="M1035">
        <v>1.4061055153483501E-3</v>
      </c>
      <c r="N1035" s="1" t="s">
        <v>1801</v>
      </c>
      <c r="O1035">
        <v>1.5421364599276499E-3</v>
      </c>
      <c r="P1035">
        <v>0</v>
      </c>
      <c r="Q1035">
        <v>0</v>
      </c>
      <c r="R1035">
        <v>0</v>
      </c>
      <c r="S1035">
        <v>1</v>
      </c>
      <c r="T1035">
        <v>24.185020420000001</v>
      </c>
      <c r="U1035">
        <f t="shared" si="32"/>
        <v>0</v>
      </c>
      <c r="V1035">
        <f t="shared" si="33"/>
        <v>1</v>
      </c>
    </row>
    <row r="1036" spans="1:22" x14ac:dyDescent="0.2">
      <c r="A1036" t="s">
        <v>1671</v>
      </c>
      <c r="B1036" t="s">
        <v>25</v>
      </c>
      <c r="C1036" t="s">
        <v>76</v>
      </c>
      <c r="D1036" t="s">
        <v>77</v>
      </c>
      <c r="E1036">
        <v>12</v>
      </c>
      <c r="F1036" t="s">
        <v>194</v>
      </c>
      <c r="G1036">
        <v>67</v>
      </c>
      <c r="H1036">
        <v>2873</v>
      </c>
      <c r="I1036">
        <v>1679408</v>
      </c>
      <c r="J1036">
        <v>50</v>
      </c>
      <c r="K1036">
        <v>10</v>
      </c>
      <c r="L1036">
        <v>1676535</v>
      </c>
      <c r="M1036">
        <v>1.7078003020898399E-3</v>
      </c>
      <c r="N1036" s="1" t="s">
        <v>1802</v>
      </c>
      <c r="O1036" s="1" t="s">
        <v>1803</v>
      </c>
      <c r="P1036">
        <v>0</v>
      </c>
      <c r="Q1036">
        <v>0</v>
      </c>
      <c r="R1036">
        <v>0</v>
      </c>
      <c r="S1036">
        <v>1</v>
      </c>
      <c r="T1036">
        <v>24.185020420000001</v>
      </c>
      <c r="U1036">
        <f t="shared" si="32"/>
        <v>0</v>
      </c>
      <c r="V1036">
        <f t="shared" si="33"/>
        <v>1</v>
      </c>
    </row>
    <row r="1037" spans="1:22" x14ac:dyDescent="0.2">
      <c r="A1037" t="s">
        <v>1671</v>
      </c>
      <c r="B1037" t="s">
        <v>25</v>
      </c>
      <c r="C1037" t="s">
        <v>76</v>
      </c>
      <c r="D1037" t="s">
        <v>77</v>
      </c>
      <c r="E1037" s="1" t="s">
        <v>82</v>
      </c>
      <c r="F1037" t="s">
        <v>83</v>
      </c>
      <c r="G1037" s="1" t="s">
        <v>89</v>
      </c>
      <c r="H1037">
        <v>565</v>
      </c>
      <c r="I1037">
        <v>334391</v>
      </c>
      <c r="J1037">
        <v>39</v>
      </c>
      <c r="K1037">
        <v>41</v>
      </c>
      <c r="L1037">
        <v>333826</v>
      </c>
      <c r="M1037">
        <v>1.68678871254731E-3</v>
      </c>
      <c r="N1037" s="1" t="s">
        <v>1804</v>
      </c>
      <c r="O1037" s="1" t="s">
        <v>1805</v>
      </c>
      <c r="P1037">
        <v>0</v>
      </c>
      <c r="Q1037">
        <v>0</v>
      </c>
      <c r="R1037">
        <v>0</v>
      </c>
      <c r="S1037">
        <v>0</v>
      </c>
      <c r="T1037">
        <v>24.185020420000001</v>
      </c>
      <c r="U1037">
        <f t="shared" si="32"/>
        <v>0</v>
      </c>
      <c r="V1037">
        <f t="shared" si="33"/>
        <v>0</v>
      </c>
    </row>
    <row r="1038" spans="1:22" x14ac:dyDescent="0.2">
      <c r="A1038" t="s">
        <v>1671</v>
      </c>
      <c r="B1038" t="s">
        <v>25</v>
      </c>
      <c r="C1038" t="s">
        <v>76</v>
      </c>
      <c r="D1038" t="s">
        <v>77</v>
      </c>
      <c r="E1038" s="1" t="s">
        <v>138</v>
      </c>
      <c r="F1038" t="s">
        <v>139</v>
      </c>
      <c r="G1038">
        <v>17</v>
      </c>
      <c r="H1038">
        <v>149</v>
      </c>
      <c r="I1038">
        <v>1485395</v>
      </c>
      <c r="J1038">
        <v>109</v>
      </c>
      <c r="K1038">
        <v>41</v>
      </c>
      <c r="L1038">
        <v>1485246</v>
      </c>
      <c r="M1038" s="1" t="s">
        <v>1806</v>
      </c>
      <c r="N1038" s="1" t="s">
        <v>1807</v>
      </c>
      <c r="O1038" s="1" t="s">
        <v>1808</v>
      </c>
      <c r="P1038">
        <v>0</v>
      </c>
      <c r="Q1038">
        <v>0</v>
      </c>
      <c r="R1038">
        <v>0</v>
      </c>
      <c r="S1038">
        <v>0</v>
      </c>
      <c r="T1038">
        <v>24.185020420000001</v>
      </c>
      <c r="U1038">
        <f t="shared" si="32"/>
        <v>0</v>
      </c>
      <c r="V1038">
        <f t="shared" si="33"/>
        <v>0</v>
      </c>
    </row>
    <row r="1039" spans="1:22" x14ac:dyDescent="0.2">
      <c r="A1039" t="s">
        <v>1671</v>
      </c>
      <c r="B1039" t="s">
        <v>25</v>
      </c>
      <c r="C1039" t="s">
        <v>76</v>
      </c>
      <c r="D1039" t="s">
        <v>77</v>
      </c>
      <c r="E1039" s="1" t="s">
        <v>155</v>
      </c>
      <c r="F1039" t="s">
        <v>156</v>
      </c>
      <c r="G1039" s="1" t="s">
        <v>155</v>
      </c>
      <c r="H1039">
        <v>465</v>
      </c>
      <c r="I1039">
        <v>182</v>
      </c>
      <c r="J1039">
        <v>83</v>
      </c>
      <c r="K1039">
        <v>72</v>
      </c>
      <c r="L1039">
        <v>-283</v>
      </c>
      <c r="M1039" s="1" t="s">
        <v>1809</v>
      </c>
      <c r="N1039" s="1" t="s">
        <v>1810</v>
      </c>
      <c r="O1039" s="1" t="s">
        <v>1811</v>
      </c>
      <c r="P1039">
        <v>0</v>
      </c>
      <c r="Q1039">
        <v>0</v>
      </c>
      <c r="R1039">
        <v>0</v>
      </c>
      <c r="S1039">
        <v>0</v>
      </c>
      <c r="T1039">
        <v>24.185020420000001</v>
      </c>
      <c r="U1039">
        <f t="shared" si="32"/>
        <v>0</v>
      </c>
      <c r="V1039">
        <f t="shared" si="33"/>
        <v>0</v>
      </c>
    </row>
    <row r="1040" spans="1:22" x14ac:dyDescent="0.2">
      <c r="A1040" t="s">
        <v>1671</v>
      </c>
      <c r="B1040" t="s">
        <v>25</v>
      </c>
      <c r="C1040" t="s">
        <v>76</v>
      </c>
      <c r="D1040" t="s">
        <v>77</v>
      </c>
      <c r="E1040">
        <v>11</v>
      </c>
      <c r="F1040" t="s">
        <v>127</v>
      </c>
      <c r="G1040">
        <v>52</v>
      </c>
      <c r="H1040">
        <v>4077</v>
      </c>
      <c r="I1040">
        <v>22474436</v>
      </c>
      <c r="J1040">
        <v>58</v>
      </c>
      <c r="K1040">
        <v>13</v>
      </c>
      <c r="L1040">
        <v>22470359</v>
      </c>
      <c r="M1040" s="1" t="s">
        <v>1812</v>
      </c>
      <c r="N1040" s="1" t="s">
        <v>1813</v>
      </c>
      <c r="O1040" s="1" t="s">
        <v>1814</v>
      </c>
      <c r="P1040">
        <v>0</v>
      </c>
      <c r="Q1040">
        <v>0</v>
      </c>
      <c r="R1040">
        <v>0</v>
      </c>
      <c r="S1040">
        <v>0</v>
      </c>
      <c r="T1040">
        <v>24.185020420000001</v>
      </c>
      <c r="U1040">
        <f t="shared" si="32"/>
        <v>0</v>
      </c>
      <c r="V1040">
        <f t="shared" si="33"/>
        <v>0</v>
      </c>
    </row>
    <row r="1041" spans="1:22" x14ac:dyDescent="0.2">
      <c r="A1041" t="s">
        <v>1671</v>
      </c>
      <c r="B1041" t="s">
        <v>25</v>
      </c>
      <c r="C1041" t="s">
        <v>76</v>
      </c>
      <c r="D1041" t="s">
        <v>77</v>
      </c>
      <c r="E1041">
        <v>11</v>
      </c>
      <c r="F1041" t="s">
        <v>127</v>
      </c>
      <c r="G1041">
        <v>63</v>
      </c>
      <c r="H1041">
        <v>136928</v>
      </c>
      <c r="I1041">
        <v>59308649</v>
      </c>
      <c r="J1041">
        <v>56</v>
      </c>
      <c r="K1041">
        <v>12</v>
      </c>
      <c r="L1041">
        <v>59171721</v>
      </c>
      <c r="M1041">
        <v>2.3034177967521398E-3</v>
      </c>
      <c r="N1041" s="1" t="s">
        <v>1815</v>
      </c>
      <c r="O1041">
        <v>1.36830117424776E-3</v>
      </c>
      <c r="P1041">
        <v>0</v>
      </c>
      <c r="Q1041">
        <v>0</v>
      </c>
      <c r="R1041">
        <v>0</v>
      </c>
      <c r="S1041">
        <v>0</v>
      </c>
      <c r="T1041">
        <v>24.185020420000001</v>
      </c>
      <c r="U1041">
        <f t="shared" si="32"/>
        <v>0</v>
      </c>
      <c r="V1041">
        <f t="shared" si="33"/>
        <v>0</v>
      </c>
    </row>
    <row r="1042" spans="1:22" x14ac:dyDescent="0.2">
      <c r="A1042" t="s">
        <v>1671</v>
      </c>
      <c r="B1042" t="s">
        <v>25</v>
      </c>
      <c r="C1042" t="s">
        <v>76</v>
      </c>
      <c r="D1042" t="s">
        <v>77</v>
      </c>
      <c r="E1042" s="1" t="s">
        <v>155</v>
      </c>
      <c r="F1042" t="s">
        <v>156</v>
      </c>
      <c r="G1042" s="1" t="s">
        <v>110</v>
      </c>
      <c r="H1042">
        <v>597515</v>
      </c>
      <c r="I1042">
        <v>385462387</v>
      </c>
      <c r="J1042">
        <v>68</v>
      </c>
      <c r="K1042">
        <v>6</v>
      </c>
      <c r="L1042">
        <v>384864872</v>
      </c>
      <c r="M1042">
        <v>1.5477261349975599E-3</v>
      </c>
      <c r="N1042" s="1" t="s">
        <v>1816</v>
      </c>
      <c r="O1042">
        <v>8.8862156596878194E-3</v>
      </c>
      <c r="P1042">
        <v>0</v>
      </c>
      <c r="Q1042">
        <v>0</v>
      </c>
      <c r="R1042">
        <v>0</v>
      </c>
      <c r="S1042">
        <v>1</v>
      </c>
      <c r="T1042">
        <v>24.185020420000001</v>
      </c>
      <c r="U1042">
        <f t="shared" si="32"/>
        <v>0</v>
      </c>
      <c r="V1042">
        <f t="shared" si="33"/>
        <v>1</v>
      </c>
    </row>
    <row r="1043" spans="1:22" x14ac:dyDescent="0.2">
      <c r="A1043" t="s">
        <v>1671</v>
      </c>
      <c r="B1043" t="s">
        <v>25</v>
      </c>
      <c r="C1043" t="s">
        <v>76</v>
      </c>
      <c r="D1043" t="s">
        <v>77</v>
      </c>
      <c r="E1043" s="1" t="s">
        <v>89</v>
      </c>
      <c r="F1043" t="s">
        <v>90</v>
      </c>
      <c r="G1043">
        <v>37</v>
      </c>
      <c r="H1043">
        <v>203</v>
      </c>
      <c r="I1043">
        <v>768618</v>
      </c>
      <c r="J1043">
        <v>64</v>
      </c>
      <c r="K1043">
        <v>21</v>
      </c>
      <c r="L1043">
        <v>768415</v>
      </c>
      <c r="M1043" s="1" t="s">
        <v>1817</v>
      </c>
      <c r="N1043" s="1" t="s">
        <v>1818</v>
      </c>
      <c r="O1043" s="1" t="s">
        <v>1819</v>
      </c>
      <c r="P1043">
        <v>0</v>
      </c>
      <c r="Q1043">
        <v>0</v>
      </c>
      <c r="R1043">
        <v>0</v>
      </c>
      <c r="S1043">
        <v>0</v>
      </c>
      <c r="T1043">
        <v>24.185020420000001</v>
      </c>
      <c r="U1043">
        <f t="shared" si="32"/>
        <v>0</v>
      </c>
      <c r="V1043">
        <f t="shared" si="33"/>
        <v>0</v>
      </c>
    </row>
    <row r="1044" spans="1:22" x14ac:dyDescent="0.2">
      <c r="A1044" t="s">
        <v>1671</v>
      </c>
      <c r="B1044" t="s">
        <v>25</v>
      </c>
      <c r="C1044" t="s">
        <v>76</v>
      </c>
      <c r="D1044" t="s">
        <v>77</v>
      </c>
      <c r="E1044">
        <v>12</v>
      </c>
      <c r="F1044" t="s">
        <v>194</v>
      </c>
      <c r="G1044">
        <v>64</v>
      </c>
      <c r="H1044">
        <v>249705</v>
      </c>
      <c r="I1044">
        <v>134239318</v>
      </c>
      <c r="J1044">
        <v>45</v>
      </c>
      <c r="K1044">
        <v>13</v>
      </c>
      <c r="L1044">
        <v>133989613</v>
      </c>
      <c r="M1044">
        <v>1.85669428203073E-3</v>
      </c>
      <c r="N1044" s="1" t="s">
        <v>1820</v>
      </c>
      <c r="O1044">
        <v>3.0956296057877402E-3</v>
      </c>
      <c r="P1044">
        <v>0</v>
      </c>
      <c r="Q1044">
        <v>0</v>
      </c>
      <c r="R1044">
        <v>0</v>
      </c>
      <c r="S1044">
        <v>0</v>
      </c>
      <c r="T1044">
        <v>24.185020420000001</v>
      </c>
      <c r="U1044">
        <f t="shared" si="32"/>
        <v>0</v>
      </c>
      <c r="V1044">
        <f t="shared" si="33"/>
        <v>0</v>
      </c>
    </row>
    <row r="1045" spans="1:22" x14ac:dyDescent="0.2">
      <c r="A1045" t="s">
        <v>1671</v>
      </c>
      <c r="B1045" t="s">
        <v>25</v>
      </c>
      <c r="C1045" t="s">
        <v>76</v>
      </c>
      <c r="D1045" t="s">
        <v>77</v>
      </c>
      <c r="E1045" s="1" t="s">
        <v>163</v>
      </c>
      <c r="F1045" t="s">
        <v>224</v>
      </c>
      <c r="G1045">
        <v>42</v>
      </c>
      <c r="H1045">
        <v>44199</v>
      </c>
      <c r="I1045">
        <v>69375786</v>
      </c>
      <c r="J1045">
        <v>49</v>
      </c>
      <c r="K1045">
        <v>9</v>
      </c>
      <c r="L1045">
        <v>69331587</v>
      </c>
      <c r="M1045" s="1" t="s">
        <v>1821</v>
      </c>
      <c r="N1045">
        <v>0.99936331014764701</v>
      </c>
      <c r="O1045">
        <v>1.5978892254971701E-3</v>
      </c>
      <c r="P1045">
        <v>0</v>
      </c>
      <c r="Q1045">
        <v>0</v>
      </c>
      <c r="R1045">
        <v>0</v>
      </c>
      <c r="S1045">
        <v>1</v>
      </c>
      <c r="T1045">
        <v>24.185020420000001</v>
      </c>
      <c r="U1045">
        <f t="shared" si="32"/>
        <v>0</v>
      </c>
      <c r="V1045">
        <f t="shared" si="33"/>
        <v>1</v>
      </c>
    </row>
    <row r="1046" spans="1:22" x14ac:dyDescent="0.2">
      <c r="A1046" t="s">
        <v>1671</v>
      </c>
      <c r="B1046" t="s">
        <v>25</v>
      </c>
      <c r="C1046" t="s">
        <v>76</v>
      </c>
      <c r="D1046" t="s">
        <v>77</v>
      </c>
      <c r="E1046">
        <v>11</v>
      </c>
      <c r="F1046" t="s">
        <v>127</v>
      </c>
      <c r="G1046">
        <v>50</v>
      </c>
      <c r="H1046">
        <v>239037</v>
      </c>
      <c r="I1046">
        <v>263188</v>
      </c>
      <c r="J1046">
        <v>3</v>
      </c>
      <c r="K1046">
        <v>11</v>
      </c>
      <c r="L1046">
        <v>24151</v>
      </c>
      <c r="M1046" s="1" t="s">
        <v>1822</v>
      </c>
      <c r="N1046" s="1" t="s">
        <v>1823</v>
      </c>
      <c r="O1046" s="1" t="s">
        <v>1824</v>
      </c>
      <c r="P1046">
        <v>1</v>
      </c>
      <c r="Q1046">
        <v>0</v>
      </c>
      <c r="R1046">
        <v>1</v>
      </c>
      <c r="S1046">
        <v>0</v>
      </c>
      <c r="T1046">
        <v>24.185020420000001</v>
      </c>
      <c r="U1046">
        <f t="shared" si="32"/>
        <v>1</v>
      </c>
      <c r="V1046">
        <f t="shared" si="33"/>
        <v>1</v>
      </c>
    </row>
    <row r="1047" spans="1:22" x14ac:dyDescent="0.2">
      <c r="A1047" t="s">
        <v>1671</v>
      </c>
      <c r="B1047" t="s">
        <v>25</v>
      </c>
      <c r="C1047" t="s">
        <v>76</v>
      </c>
      <c r="D1047" t="s">
        <v>77</v>
      </c>
      <c r="E1047">
        <v>13</v>
      </c>
      <c r="F1047" t="s">
        <v>91</v>
      </c>
      <c r="G1047">
        <v>69</v>
      </c>
      <c r="H1047">
        <v>982429</v>
      </c>
      <c r="I1047">
        <v>59017431</v>
      </c>
      <c r="J1047">
        <v>33</v>
      </c>
      <c r="K1047">
        <v>12</v>
      </c>
      <c r="L1047">
        <v>58035002</v>
      </c>
      <c r="M1047" s="1" t="s">
        <v>1825</v>
      </c>
      <c r="N1047">
        <v>0.98362614512767199</v>
      </c>
      <c r="O1047">
        <v>1.38105950073798E-3</v>
      </c>
      <c r="P1047">
        <v>0</v>
      </c>
      <c r="Q1047">
        <v>0</v>
      </c>
      <c r="R1047">
        <v>0</v>
      </c>
      <c r="S1047">
        <v>0</v>
      </c>
      <c r="T1047">
        <v>24.185020420000001</v>
      </c>
      <c r="U1047">
        <f t="shared" si="32"/>
        <v>0</v>
      </c>
      <c r="V1047">
        <f t="shared" si="33"/>
        <v>0</v>
      </c>
    </row>
    <row r="1048" spans="1:22" x14ac:dyDescent="0.2">
      <c r="A1048" t="s">
        <v>1671</v>
      </c>
      <c r="B1048" t="s">
        <v>25</v>
      </c>
      <c r="C1048" t="s">
        <v>76</v>
      </c>
      <c r="D1048" t="s">
        <v>77</v>
      </c>
      <c r="E1048" s="1" t="s">
        <v>93</v>
      </c>
      <c r="F1048" t="s">
        <v>94</v>
      </c>
      <c r="G1048">
        <v>46</v>
      </c>
      <c r="H1048">
        <v>0</v>
      </c>
      <c r="I1048">
        <v>115968</v>
      </c>
      <c r="J1048">
        <v>47</v>
      </c>
      <c r="K1048">
        <v>18</v>
      </c>
      <c r="L1048">
        <v>115968</v>
      </c>
      <c r="M1048">
        <v>0</v>
      </c>
      <c r="N1048">
        <v>1</v>
      </c>
      <c r="O1048" s="1" t="s">
        <v>1826</v>
      </c>
      <c r="P1048">
        <v>0</v>
      </c>
      <c r="Q1048">
        <v>0</v>
      </c>
      <c r="R1048">
        <v>0</v>
      </c>
      <c r="S1048">
        <v>0</v>
      </c>
      <c r="T1048">
        <v>24.185020420000001</v>
      </c>
      <c r="U1048">
        <f t="shared" si="32"/>
        <v>0</v>
      </c>
      <c r="V1048">
        <f t="shared" si="33"/>
        <v>0</v>
      </c>
    </row>
    <row r="1049" spans="1:22" x14ac:dyDescent="0.2">
      <c r="A1049" t="s">
        <v>1671</v>
      </c>
      <c r="B1049" t="s">
        <v>25</v>
      </c>
      <c r="C1049" t="s">
        <v>76</v>
      </c>
      <c r="D1049" t="s">
        <v>77</v>
      </c>
      <c r="E1049">
        <v>11</v>
      </c>
      <c r="F1049" t="s">
        <v>127</v>
      </c>
      <c r="G1049">
        <v>58</v>
      </c>
      <c r="H1049">
        <v>2925</v>
      </c>
      <c r="I1049">
        <v>1640088</v>
      </c>
      <c r="J1049">
        <v>49</v>
      </c>
      <c r="K1049">
        <v>27</v>
      </c>
      <c r="L1049">
        <v>1637163</v>
      </c>
      <c r="M1049">
        <v>1.7802658895577799E-3</v>
      </c>
      <c r="N1049" s="1" t="s">
        <v>1827</v>
      </c>
      <c r="O1049" s="1" t="s">
        <v>1828</v>
      </c>
      <c r="P1049">
        <v>0</v>
      </c>
      <c r="Q1049">
        <v>0</v>
      </c>
      <c r="R1049">
        <v>0</v>
      </c>
      <c r="S1049">
        <v>0</v>
      </c>
      <c r="T1049">
        <v>24.185020420000001</v>
      </c>
      <c r="U1049">
        <f t="shared" si="32"/>
        <v>0</v>
      </c>
      <c r="V1049">
        <f t="shared" si="33"/>
        <v>0</v>
      </c>
    </row>
    <row r="1050" spans="1:22" x14ac:dyDescent="0.2">
      <c r="A1050" t="s">
        <v>1671</v>
      </c>
      <c r="B1050" t="s">
        <v>25</v>
      </c>
      <c r="C1050" t="s">
        <v>76</v>
      </c>
      <c r="D1050" t="s">
        <v>77</v>
      </c>
      <c r="E1050" s="1" t="s">
        <v>163</v>
      </c>
      <c r="F1050" t="s">
        <v>224</v>
      </c>
      <c r="G1050">
        <v>43</v>
      </c>
      <c r="H1050">
        <v>453</v>
      </c>
      <c r="I1050">
        <v>287151</v>
      </c>
      <c r="J1050">
        <v>57</v>
      </c>
      <c r="K1050">
        <v>33</v>
      </c>
      <c r="L1050">
        <v>286698</v>
      </c>
      <c r="M1050">
        <v>1.5750824049735E-3</v>
      </c>
      <c r="N1050" s="1" t="s">
        <v>1829</v>
      </c>
      <c r="O1050" s="1" t="s">
        <v>1830</v>
      </c>
      <c r="P1050">
        <v>0</v>
      </c>
      <c r="Q1050">
        <v>0</v>
      </c>
      <c r="R1050">
        <v>0</v>
      </c>
      <c r="S1050">
        <v>0</v>
      </c>
      <c r="T1050">
        <v>24.185020420000001</v>
      </c>
      <c r="U1050">
        <f t="shared" si="32"/>
        <v>0</v>
      </c>
      <c r="V1050">
        <f t="shared" si="33"/>
        <v>0</v>
      </c>
    </row>
    <row r="1051" spans="1:22" x14ac:dyDescent="0.2">
      <c r="A1051" t="s">
        <v>1671</v>
      </c>
      <c r="B1051" t="s">
        <v>25</v>
      </c>
      <c r="C1051" t="s">
        <v>76</v>
      </c>
      <c r="D1051" t="s">
        <v>77</v>
      </c>
      <c r="E1051" s="1" t="s">
        <v>138</v>
      </c>
      <c r="F1051" t="s">
        <v>139</v>
      </c>
      <c r="G1051">
        <v>24</v>
      </c>
      <c r="H1051">
        <v>347</v>
      </c>
      <c r="I1051">
        <v>136377265</v>
      </c>
      <c r="J1051">
        <v>88</v>
      </c>
      <c r="K1051">
        <v>6</v>
      </c>
      <c r="L1051">
        <v>136376918</v>
      </c>
      <c r="M1051" s="1" t="s">
        <v>1831</v>
      </c>
      <c r="N1051" s="1" t="s">
        <v>1832</v>
      </c>
      <c r="O1051">
        <v>3.13910060357739E-3</v>
      </c>
      <c r="P1051">
        <v>0</v>
      </c>
      <c r="Q1051">
        <v>0</v>
      </c>
      <c r="R1051">
        <v>0</v>
      </c>
      <c r="S1051">
        <v>1</v>
      </c>
      <c r="T1051">
        <v>24.185020420000001</v>
      </c>
      <c r="U1051">
        <f t="shared" si="32"/>
        <v>0</v>
      </c>
      <c r="V1051">
        <f t="shared" si="33"/>
        <v>1</v>
      </c>
    </row>
    <row r="1052" spans="1:22" x14ac:dyDescent="0.2">
      <c r="A1052" t="s">
        <v>1671</v>
      </c>
      <c r="B1052" t="s">
        <v>25</v>
      </c>
      <c r="C1052" t="s">
        <v>76</v>
      </c>
      <c r="D1052" t="s">
        <v>77</v>
      </c>
      <c r="E1052">
        <v>11</v>
      </c>
      <c r="F1052" t="s">
        <v>127</v>
      </c>
      <c r="G1052">
        <v>53</v>
      </c>
      <c r="H1052">
        <v>165871</v>
      </c>
      <c r="I1052">
        <v>14929020</v>
      </c>
      <c r="J1052">
        <v>31</v>
      </c>
      <c r="K1052">
        <v>3</v>
      </c>
      <c r="L1052">
        <v>14763149</v>
      </c>
      <c r="M1052" s="1" t="s">
        <v>1833</v>
      </c>
      <c r="N1052" s="1" t="s">
        <v>1834</v>
      </c>
      <c r="O1052" s="1" t="s">
        <v>1835</v>
      </c>
      <c r="P1052">
        <v>0</v>
      </c>
      <c r="Q1052">
        <v>1</v>
      </c>
      <c r="R1052">
        <v>0</v>
      </c>
      <c r="S1052">
        <v>1</v>
      </c>
      <c r="T1052">
        <v>24.185020420000001</v>
      </c>
      <c r="U1052">
        <f t="shared" si="32"/>
        <v>1</v>
      </c>
      <c r="V1052">
        <f t="shared" si="33"/>
        <v>1</v>
      </c>
    </row>
    <row r="1053" spans="1:22" x14ac:dyDescent="0.2">
      <c r="A1053" t="s">
        <v>1671</v>
      </c>
      <c r="B1053" t="s">
        <v>25</v>
      </c>
      <c r="C1053" t="s">
        <v>76</v>
      </c>
      <c r="D1053" t="s">
        <v>77</v>
      </c>
      <c r="E1053">
        <v>11</v>
      </c>
      <c r="F1053" t="s">
        <v>127</v>
      </c>
      <c r="G1053">
        <v>57</v>
      </c>
      <c r="H1053">
        <v>8077</v>
      </c>
      <c r="I1053">
        <v>47446476</v>
      </c>
      <c r="J1053">
        <v>55</v>
      </c>
      <c r="K1053">
        <v>6</v>
      </c>
      <c r="L1053">
        <v>47438399</v>
      </c>
      <c r="M1053" s="1" t="s">
        <v>1836</v>
      </c>
      <c r="N1053" s="1" t="s">
        <v>1837</v>
      </c>
      <c r="O1053">
        <v>1.09229523658762E-3</v>
      </c>
      <c r="P1053">
        <v>0</v>
      </c>
      <c r="Q1053">
        <v>0</v>
      </c>
      <c r="R1053">
        <v>0</v>
      </c>
      <c r="S1053">
        <v>1</v>
      </c>
      <c r="T1053">
        <v>24.185020420000001</v>
      </c>
      <c r="U1053">
        <f t="shared" si="32"/>
        <v>0</v>
      </c>
      <c r="V1053">
        <f t="shared" si="33"/>
        <v>1</v>
      </c>
    </row>
    <row r="1054" spans="1:22" x14ac:dyDescent="0.2">
      <c r="A1054" t="s">
        <v>1671</v>
      </c>
      <c r="B1054" t="s">
        <v>25</v>
      </c>
      <c r="C1054" t="s">
        <v>76</v>
      </c>
      <c r="D1054" t="s">
        <v>77</v>
      </c>
      <c r="E1054" s="1" t="s">
        <v>82</v>
      </c>
      <c r="F1054" t="s">
        <v>83</v>
      </c>
      <c r="G1054">
        <v>13</v>
      </c>
      <c r="H1054">
        <v>1667</v>
      </c>
      <c r="I1054">
        <v>198962943</v>
      </c>
      <c r="J1054">
        <v>45</v>
      </c>
      <c r="K1054">
        <v>3</v>
      </c>
      <c r="L1054">
        <v>198961276</v>
      </c>
      <c r="M1054" s="1" t="s">
        <v>1838</v>
      </c>
      <c r="N1054" s="1" t="s">
        <v>1839</v>
      </c>
      <c r="O1054">
        <v>4.5797101018423799E-3</v>
      </c>
      <c r="P1054">
        <v>0</v>
      </c>
      <c r="Q1054">
        <v>1</v>
      </c>
      <c r="R1054">
        <v>0</v>
      </c>
      <c r="S1054">
        <v>1</v>
      </c>
      <c r="T1054">
        <v>24.185020420000001</v>
      </c>
      <c r="U1054">
        <f t="shared" si="32"/>
        <v>1</v>
      </c>
      <c r="V1054">
        <f t="shared" si="33"/>
        <v>1</v>
      </c>
    </row>
    <row r="1055" spans="1:22" x14ac:dyDescent="0.2">
      <c r="A1055" t="s">
        <v>1671</v>
      </c>
      <c r="B1055" t="s">
        <v>25</v>
      </c>
      <c r="C1055" t="s">
        <v>76</v>
      </c>
      <c r="D1055" t="s">
        <v>77</v>
      </c>
      <c r="E1055" s="1" t="s">
        <v>138</v>
      </c>
      <c r="F1055" t="s">
        <v>139</v>
      </c>
      <c r="G1055">
        <v>18</v>
      </c>
      <c r="H1055">
        <v>4846</v>
      </c>
      <c r="I1055">
        <v>250986</v>
      </c>
      <c r="J1055">
        <v>93</v>
      </c>
      <c r="K1055">
        <v>52</v>
      </c>
      <c r="L1055">
        <v>246140</v>
      </c>
      <c r="M1055">
        <v>1.8942118265111399E-2</v>
      </c>
      <c r="N1055" s="1" t="s">
        <v>1840</v>
      </c>
      <c r="O1055" s="1" t="s">
        <v>1841</v>
      </c>
      <c r="P1055">
        <v>0</v>
      </c>
      <c r="Q1055">
        <v>0</v>
      </c>
      <c r="R1055">
        <v>0</v>
      </c>
      <c r="S1055">
        <v>0</v>
      </c>
      <c r="T1055">
        <v>24.185020420000001</v>
      </c>
      <c r="U1055">
        <f t="shared" si="32"/>
        <v>0</v>
      </c>
      <c r="V1055">
        <f t="shared" si="33"/>
        <v>0</v>
      </c>
    </row>
    <row r="1056" spans="1:22" x14ac:dyDescent="0.2">
      <c r="A1056" t="s">
        <v>1671</v>
      </c>
      <c r="B1056" t="s">
        <v>25</v>
      </c>
      <c r="C1056" t="s">
        <v>76</v>
      </c>
      <c r="D1056" t="s">
        <v>77</v>
      </c>
      <c r="E1056" s="1" t="s">
        <v>138</v>
      </c>
      <c r="F1056" t="s">
        <v>139</v>
      </c>
      <c r="G1056">
        <v>23</v>
      </c>
      <c r="H1056">
        <v>193261</v>
      </c>
      <c r="I1056">
        <v>9506834</v>
      </c>
      <c r="J1056">
        <v>64</v>
      </c>
      <c r="K1056">
        <v>33</v>
      </c>
      <c r="L1056">
        <v>9313573</v>
      </c>
      <c r="M1056" s="1" t="s">
        <v>1842</v>
      </c>
      <c r="N1056" s="1" t="s">
        <v>1843</v>
      </c>
      <c r="O1056" s="1" t="s">
        <v>1844</v>
      </c>
      <c r="P1056">
        <v>0</v>
      </c>
      <c r="Q1056">
        <v>0</v>
      </c>
      <c r="R1056">
        <v>0</v>
      </c>
      <c r="S1056">
        <v>0</v>
      </c>
      <c r="T1056">
        <v>24.185020420000001</v>
      </c>
      <c r="U1056">
        <f t="shared" si="32"/>
        <v>0</v>
      </c>
      <c r="V1056">
        <f t="shared" si="33"/>
        <v>0</v>
      </c>
    </row>
    <row r="1057" spans="1:22" x14ac:dyDescent="0.2">
      <c r="A1057" t="s">
        <v>1671</v>
      </c>
      <c r="B1057" t="s">
        <v>25</v>
      </c>
      <c r="C1057" t="s">
        <v>76</v>
      </c>
      <c r="D1057" t="s">
        <v>77</v>
      </c>
      <c r="E1057" s="1" t="s">
        <v>138</v>
      </c>
      <c r="F1057" t="s">
        <v>139</v>
      </c>
      <c r="G1057">
        <v>16</v>
      </c>
      <c r="H1057">
        <v>11596</v>
      </c>
      <c r="I1057">
        <v>11346118</v>
      </c>
      <c r="J1057">
        <v>70</v>
      </c>
      <c r="K1057">
        <v>16</v>
      </c>
      <c r="L1057">
        <v>11334522</v>
      </c>
      <c r="M1057">
        <v>1.0209801021578799E-3</v>
      </c>
      <c r="N1057" s="1" t="s">
        <v>1845</v>
      </c>
      <c r="O1057" s="1" t="s">
        <v>1846</v>
      </c>
      <c r="P1057">
        <v>0</v>
      </c>
      <c r="Q1057">
        <v>0</v>
      </c>
      <c r="R1057">
        <v>0</v>
      </c>
      <c r="S1057">
        <v>0</v>
      </c>
      <c r="T1057">
        <v>24.185020420000001</v>
      </c>
      <c r="U1057">
        <f t="shared" si="32"/>
        <v>0</v>
      </c>
      <c r="V1057">
        <f t="shared" si="33"/>
        <v>0</v>
      </c>
    </row>
    <row r="1058" spans="1:22" x14ac:dyDescent="0.2">
      <c r="A1058" t="s">
        <v>1671</v>
      </c>
      <c r="B1058" t="s">
        <v>25</v>
      </c>
      <c r="C1058" t="s">
        <v>76</v>
      </c>
      <c r="D1058" t="s">
        <v>77</v>
      </c>
      <c r="E1058" s="1" t="s">
        <v>155</v>
      </c>
      <c r="F1058" t="s">
        <v>156</v>
      </c>
      <c r="G1058" s="1" t="s">
        <v>82</v>
      </c>
      <c r="H1058">
        <v>121396</v>
      </c>
      <c r="I1058">
        <v>207182594</v>
      </c>
      <c r="J1058">
        <v>43</v>
      </c>
      <c r="K1058">
        <v>6</v>
      </c>
      <c r="L1058">
        <v>207061198</v>
      </c>
      <c r="M1058" s="1" t="s">
        <v>1847</v>
      </c>
      <c r="N1058" s="1" t="s">
        <v>1848</v>
      </c>
      <c r="O1058">
        <v>4.7716635493881597E-3</v>
      </c>
      <c r="P1058">
        <v>0</v>
      </c>
      <c r="Q1058">
        <v>0</v>
      </c>
      <c r="R1058">
        <v>0</v>
      </c>
      <c r="S1058">
        <v>1</v>
      </c>
      <c r="T1058">
        <v>24.185020420000001</v>
      </c>
      <c r="U1058">
        <f t="shared" si="32"/>
        <v>0</v>
      </c>
      <c r="V1058">
        <f t="shared" si="33"/>
        <v>1</v>
      </c>
    </row>
    <row r="1059" spans="1:22" x14ac:dyDescent="0.2">
      <c r="A1059" t="s">
        <v>1849</v>
      </c>
      <c r="B1059" t="s">
        <v>26</v>
      </c>
      <c r="C1059" t="s">
        <v>76</v>
      </c>
      <c r="D1059" t="s">
        <v>77</v>
      </c>
      <c r="E1059">
        <v>15</v>
      </c>
      <c r="F1059" t="s">
        <v>88</v>
      </c>
      <c r="G1059">
        <v>72</v>
      </c>
      <c r="H1059">
        <v>1931170012</v>
      </c>
      <c r="I1059">
        <v>12220578</v>
      </c>
      <c r="J1059">
        <v>15</v>
      </c>
      <c r="K1059">
        <v>43</v>
      </c>
      <c r="L1059">
        <v>-1918949434</v>
      </c>
      <c r="M1059" s="1" t="s">
        <v>1850</v>
      </c>
      <c r="N1059">
        <v>6.2882768203585803E-3</v>
      </c>
      <c r="O1059" s="1" t="s">
        <v>1851</v>
      </c>
      <c r="P1059">
        <v>0</v>
      </c>
      <c r="Q1059">
        <v>0</v>
      </c>
      <c r="R1059">
        <v>0</v>
      </c>
      <c r="S1059">
        <v>0</v>
      </c>
      <c r="T1059">
        <v>12.98266392</v>
      </c>
      <c r="U1059">
        <f t="shared" si="32"/>
        <v>0</v>
      </c>
      <c r="V1059">
        <f t="shared" si="33"/>
        <v>0</v>
      </c>
    </row>
    <row r="1060" spans="1:22" x14ac:dyDescent="0.2">
      <c r="A1060" t="s">
        <v>1849</v>
      </c>
      <c r="B1060" t="s">
        <v>26</v>
      </c>
      <c r="C1060" t="s">
        <v>76</v>
      </c>
      <c r="D1060" t="s">
        <v>77</v>
      </c>
      <c r="E1060" s="1" t="s">
        <v>89</v>
      </c>
      <c r="F1060" t="s">
        <v>90</v>
      </c>
      <c r="G1060">
        <v>31</v>
      </c>
      <c r="H1060">
        <v>1218007681</v>
      </c>
      <c r="I1060">
        <v>0</v>
      </c>
      <c r="J1060">
        <v>8</v>
      </c>
      <c r="K1060">
        <v>51</v>
      </c>
      <c r="L1060">
        <v>-1218007681</v>
      </c>
      <c r="M1060">
        <v>1</v>
      </c>
      <c r="N1060">
        <v>0</v>
      </c>
      <c r="O1060" s="1" t="s">
        <v>1852</v>
      </c>
      <c r="P1060">
        <v>0</v>
      </c>
      <c r="Q1060">
        <v>0</v>
      </c>
      <c r="R1060">
        <v>1</v>
      </c>
      <c r="S1060">
        <v>0</v>
      </c>
      <c r="T1060">
        <v>12.98266392</v>
      </c>
      <c r="U1060">
        <f t="shared" si="32"/>
        <v>0</v>
      </c>
      <c r="V1060">
        <f t="shared" si="33"/>
        <v>1</v>
      </c>
    </row>
    <row r="1061" spans="1:22" x14ac:dyDescent="0.2">
      <c r="A1061" t="s">
        <v>1849</v>
      </c>
      <c r="B1061" t="s">
        <v>26</v>
      </c>
      <c r="C1061" t="s">
        <v>76</v>
      </c>
      <c r="D1061" t="s">
        <v>77</v>
      </c>
      <c r="E1061">
        <v>19</v>
      </c>
      <c r="F1061" t="s">
        <v>838</v>
      </c>
      <c r="G1061">
        <v>93</v>
      </c>
      <c r="H1061">
        <v>189841577</v>
      </c>
      <c r="I1061">
        <v>0</v>
      </c>
      <c r="J1061">
        <v>2</v>
      </c>
      <c r="K1061">
        <v>36</v>
      </c>
      <c r="L1061">
        <v>-189841577</v>
      </c>
      <c r="M1061">
        <v>1</v>
      </c>
      <c r="N1061">
        <v>0</v>
      </c>
      <c r="O1061" s="1" t="s">
        <v>1853</v>
      </c>
      <c r="P1061">
        <v>1</v>
      </c>
      <c r="Q1061">
        <v>0</v>
      </c>
      <c r="R1061">
        <v>1</v>
      </c>
      <c r="S1061">
        <v>0</v>
      </c>
      <c r="T1061">
        <v>12.98266392</v>
      </c>
      <c r="U1061">
        <f t="shared" si="32"/>
        <v>1</v>
      </c>
      <c r="V1061">
        <f t="shared" si="33"/>
        <v>1</v>
      </c>
    </row>
    <row r="1062" spans="1:22" x14ac:dyDescent="0.2">
      <c r="A1062" t="s">
        <v>1849</v>
      </c>
      <c r="B1062" t="s">
        <v>26</v>
      </c>
      <c r="C1062" t="s">
        <v>76</v>
      </c>
      <c r="D1062" t="s">
        <v>77</v>
      </c>
      <c r="E1062">
        <v>17</v>
      </c>
      <c r="F1062" t="s">
        <v>97</v>
      </c>
      <c r="G1062">
        <v>88</v>
      </c>
      <c r="H1062">
        <v>154284679</v>
      </c>
      <c r="I1062">
        <v>384926</v>
      </c>
      <c r="J1062">
        <v>8</v>
      </c>
      <c r="K1062">
        <v>52</v>
      </c>
      <c r="L1062">
        <v>-153899753</v>
      </c>
      <c r="M1062">
        <v>0.99751130159025103</v>
      </c>
      <c r="N1062">
        <v>2.4886984097489601E-3</v>
      </c>
      <c r="O1062" s="1" t="s">
        <v>1854</v>
      </c>
      <c r="P1062">
        <v>0</v>
      </c>
      <c r="Q1062">
        <v>0</v>
      </c>
      <c r="R1062">
        <v>1</v>
      </c>
      <c r="S1062">
        <v>0</v>
      </c>
      <c r="T1062">
        <v>12.98266392</v>
      </c>
      <c r="U1062">
        <f t="shared" si="32"/>
        <v>0</v>
      </c>
      <c r="V1062">
        <f t="shared" si="33"/>
        <v>1</v>
      </c>
    </row>
    <row r="1063" spans="1:22" x14ac:dyDescent="0.2">
      <c r="A1063" t="s">
        <v>1849</v>
      </c>
      <c r="B1063" t="s">
        <v>26</v>
      </c>
      <c r="C1063" t="s">
        <v>76</v>
      </c>
      <c r="D1063" t="s">
        <v>77</v>
      </c>
      <c r="E1063">
        <v>15</v>
      </c>
      <c r="F1063" t="s">
        <v>88</v>
      </c>
      <c r="G1063">
        <v>76</v>
      </c>
      <c r="H1063">
        <v>276952836</v>
      </c>
      <c r="I1063">
        <v>739316</v>
      </c>
      <c r="J1063">
        <v>31</v>
      </c>
      <c r="K1063">
        <v>55</v>
      </c>
      <c r="L1063">
        <v>-276213520</v>
      </c>
      <c r="M1063" s="1" t="s">
        <v>1855</v>
      </c>
      <c r="N1063">
        <v>2.6623582793942201E-3</v>
      </c>
      <c r="O1063" s="1" t="s">
        <v>1856</v>
      </c>
      <c r="P1063">
        <v>0</v>
      </c>
      <c r="Q1063">
        <v>0</v>
      </c>
      <c r="R1063">
        <v>0</v>
      </c>
      <c r="S1063">
        <v>0</v>
      </c>
      <c r="T1063">
        <v>12.98266392</v>
      </c>
      <c r="U1063">
        <f t="shared" si="32"/>
        <v>0</v>
      </c>
      <c r="V1063">
        <f t="shared" si="33"/>
        <v>0</v>
      </c>
    </row>
    <row r="1064" spans="1:22" x14ac:dyDescent="0.2">
      <c r="A1064" t="s">
        <v>1849</v>
      </c>
      <c r="B1064" t="s">
        <v>26</v>
      </c>
      <c r="C1064" t="s">
        <v>76</v>
      </c>
      <c r="D1064" t="s">
        <v>77</v>
      </c>
      <c r="E1064" s="1" t="s">
        <v>85</v>
      </c>
      <c r="F1064" t="s">
        <v>86</v>
      </c>
      <c r="G1064">
        <v>25</v>
      </c>
      <c r="H1064">
        <v>230507208</v>
      </c>
      <c r="I1064">
        <v>74746</v>
      </c>
      <c r="J1064">
        <v>10</v>
      </c>
      <c r="K1064">
        <v>69</v>
      </c>
      <c r="L1064">
        <v>-230432462</v>
      </c>
      <c r="M1064" s="1" t="s">
        <v>1857</v>
      </c>
      <c r="N1064" s="1" t="s">
        <v>1858</v>
      </c>
      <c r="O1064" s="1" t="s">
        <v>1859</v>
      </c>
      <c r="P1064">
        <v>0</v>
      </c>
      <c r="Q1064">
        <v>0</v>
      </c>
      <c r="R1064">
        <v>1</v>
      </c>
      <c r="S1064">
        <v>0</v>
      </c>
      <c r="T1064">
        <v>12.98266392</v>
      </c>
      <c r="U1064">
        <f t="shared" si="32"/>
        <v>0</v>
      </c>
      <c r="V1064">
        <f t="shared" si="33"/>
        <v>1</v>
      </c>
    </row>
    <row r="1065" spans="1:22" x14ac:dyDescent="0.2">
      <c r="A1065" t="s">
        <v>1849</v>
      </c>
      <c r="B1065" t="s">
        <v>26</v>
      </c>
      <c r="C1065" t="s">
        <v>76</v>
      </c>
      <c r="D1065" t="s">
        <v>77</v>
      </c>
      <c r="E1065" s="1" t="s">
        <v>85</v>
      </c>
      <c r="F1065" t="s">
        <v>86</v>
      </c>
      <c r="G1065">
        <v>27</v>
      </c>
      <c r="H1065">
        <v>582110137</v>
      </c>
      <c r="I1065">
        <v>357761</v>
      </c>
      <c r="J1065">
        <v>64</v>
      </c>
      <c r="K1065">
        <v>63</v>
      </c>
      <c r="L1065">
        <v>-581752376</v>
      </c>
      <c r="M1065" s="1" t="s">
        <v>1860</v>
      </c>
      <c r="N1065" s="1" t="s">
        <v>1861</v>
      </c>
      <c r="O1065">
        <v>5.2037868944854897E-2</v>
      </c>
      <c r="P1065">
        <v>0</v>
      </c>
      <c r="Q1065">
        <v>0</v>
      </c>
      <c r="R1065">
        <v>0</v>
      </c>
      <c r="S1065">
        <v>0</v>
      </c>
      <c r="T1065">
        <v>12.98266392</v>
      </c>
      <c r="U1065">
        <f t="shared" si="32"/>
        <v>0</v>
      </c>
      <c r="V1065">
        <f t="shared" si="33"/>
        <v>0</v>
      </c>
    </row>
    <row r="1066" spans="1:22" x14ac:dyDescent="0.2">
      <c r="A1066" t="s">
        <v>1849</v>
      </c>
      <c r="B1066" t="s">
        <v>26</v>
      </c>
      <c r="C1066" t="s">
        <v>76</v>
      </c>
      <c r="D1066" t="s">
        <v>77</v>
      </c>
      <c r="E1066">
        <v>10</v>
      </c>
      <c r="F1066" t="s">
        <v>119</v>
      </c>
      <c r="G1066">
        <v>48</v>
      </c>
      <c r="H1066">
        <v>145610855</v>
      </c>
      <c r="I1066">
        <v>49371456</v>
      </c>
      <c r="J1066">
        <v>16</v>
      </c>
      <c r="K1066">
        <v>26</v>
      </c>
      <c r="L1066">
        <v>-96239399</v>
      </c>
      <c r="M1066">
        <v>0.74679007676752795</v>
      </c>
      <c r="N1066" s="1" t="s">
        <v>1862</v>
      </c>
      <c r="O1066" s="1" t="s">
        <v>1863</v>
      </c>
      <c r="P1066">
        <v>0</v>
      </c>
      <c r="Q1066">
        <v>0</v>
      </c>
      <c r="R1066">
        <v>0</v>
      </c>
      <c r="S1066">
        <v>0</v>
      </c>
      <c r="T1066">
        <v>12.98266392</v>
      </c>
      <c r="U1066">
        <f t="shared" si="32"/>
        <v>0</v>
      </c>
      <c r="V1066">
        <f t="shared" si="33"/>
        <v>0</v>
      </c>
    </row>
    <row r="1067" spans="1:22" x14ac:dyDescent="0.2">
      <c r="A1067" t="s">
        <v>1849</v>
      </c>
      <c r="B1067" t="s">
        <v>26</v>
      </c>
      <c r="C1067" t="s">
        <v>76</v>
      </c>
      <c r="D1067" t="s">
        <v>77</v>
      </c>
      <c r="E1067" s="1" t="s">
        <v>155</v>
      </c>
      <c r="F1067" t="s">
        <v>156</v>
      </c>
      <c r="G1067" s="1" t="s">
        <v>110</v>
      </c>
      <c r="H1067">
        <v>44052265</v>
      </c>
      <c r="I1067">
        <v>52359802</v>
      </c>
      <c r="J1067">
        <v>23</v>
      </c>
      <c r="K1067">
        <v>17</v>
      </c>
      <c r="L1067">
        <v>8307537</v>
      </c>
      <c r="M1067">
        <v>0.45691650817941698</v>
      </c>
      <c r="N1067">
        <v>0.54308349182058302</v>
      </c>
      <c r="O1067">
        <v>8.6134850083164106E-3</v>
      </c>
      <c r="P1067">
        <v>0</v>
      </c>
      <c r="Q1067">
        <v>0</v>
      </c>
      <c r="R1067">
        <v>0</v>
      </c>
      <c r="S1067">
        <v>0</v>
      </c>
      <c r="T1067">
        <v>12.98266392</v>
      </c>
      <c r="U1067">
        <f t="shared" si="32"/>
        <v>0</v>
      </c>
      <c r="V1067">
        <f t="shared" si="33"/>
        <v>0</v>
      </c>
    </row>
    <row r="1068" spans="1:22" x14ac:dyDescent="0.2">
      <c r="A1068" t="s">
        <v>1849</v>
      </c>
      <c r="B1068" t="s">
        <v>26</v>
      </c>
      <c r="C1068" t="s">
        <v>76</v>
      </c>
      <c r="D1068" t="s">
        <v>77</v>
      </c>
      <c r="E1068" s="1" t="s">
        <v>89</v>
      </c>
      <c r="F1068" t="s">
        <v>90</v>
      </c>
      <c r="G1068">
        <v>29</v>
      </c>
      <c r="H1068">
        <v>56475532</v>
      </c>
      <c r="I1068">
        <v>129493094</v>
      </c>
      <c r="J1068">
        <v>34</v>
      </c>
      <c r="K1068">
        <v>18</v>
      </c>
      <c r="L1068">
        <v>73017562</v>
      </c>
      <c r="M1068" s="1" t="s">
        <v>1864</v>
      </c>
      <c r="N1068" s="1" t="s">
        <v>1865</v>
      </c>
      <c r="O1068" s="1" t="s">
        <v>1866</v>
      </c>
      <c r="P1068">
        <v>0</v>
      </c>
      <c r="Q1068">
        <v>0</v>
      </c>
      <c r="R1068">
        <v>0</v>
      </c>
      <c r="S1068">
        <v>0</v>
      </c>
      <c r="T1068">
        <v>12.98266392</v>
      </c>
      <c r="U1068">
        <f t="shared" si="32"/>
        <v>0</v>
      </c>
      <c r="V1068">
        <f t="shared" si="33"/>
        <v>0</v>
      </c>
    </row>
    <row r="1069" spans="1:22" x14ac:dyDescent="0.2">
      <c r="A1069" t="s">
        <v>1849</v>
      </c>
      <c r="B1069" t="s">
        <v>26</v>
      </c>
      <c r="C1069" t="s">
        <v>76</v>
      </c>
      <c r="D1069" t="s">
        <v>77</v>
      </c>
      <c r="E1069">
        <v>10</v>
      </c>
      <c r="F1069" t="s">
        <v>119</v>
      </c>
      <c r="G1069">
        <v>47</v>
      </c>
      <c r="H1069">
        <v>35893176</v>
      </c>
      <c r="I1069">
        <v>28000</v>
      </c>
      <c r="J1069">
        <v>17</v>
      </c>
      <c r="K1069">
        <v>29</v>
      </c>
      <c r="L1069">
        <v>-35865176</v>
      </c>
      <c r="M1069" s="1" t="s">
        <v>1867</v>
      </c>
      <c r="N1069" s="1" t="s">
        <v>1868</v>
      </c>
      <c r="O1069">
        <v>3.2092093923999699E-3</v>
      </c>
      <c r="P1069">
        <v>0</v>
      </c>
      <c r="Q1069">
        <v>0</v>
      </c>
      <c r="R1069">
        <v>0</v>
      </c>
      <c r="S1069">
        <v>0</v>
      </c>
      <c r="T1069">
        <v>12.98266392</v>
      </c>
      <c r="U1069">
        <f t="shared" si="32"/>
        <v>0</v>
      </c>
      <c r="V1069">
        <f t="shared" si="33"/>
        <v>0</v>
      </c>
    </row>
    <row r="1070" spans="1:22" x14ac:dyDescent="0.2">
      <c r="A1070" t="s">
        <v>1849</v>
      </c>
      <c r="B1070" t="s">
        <v>26</v>
      </c>
      <c r="C1070" t="s">
        <v>76</v>
      </c>
      <c r="D1070" t="s">
        <v>77</v>
      </c>
      <c r="E1070" s="1" t="s">
        <v>99</v>
      </c>
      <c r="F1070" t="s">
        <v>100</v>
      </c>
      <c r="G1070">
        <v>40</v>
      </c>
      <c r="H1070">
        <v>79281034</v>
      </c>
      <c r="I1070">
        <v>210723735</v>
      </c>
      <c r="J1070">
        <v>32</v>
      </c>
      <c r="K1070">
        <v>19</v>
      </c>
      <c r="L1070">
        <v>131442701</v>
      </c>
      <c r="M1070" s="1" t="s">
        <v>1869</v>
      </c>
      <c r="N1070" s="1" t="s">
        <v>1870</v>
      </c>
      <c r="O1070">
        <v>2.5909119136733799E-2</v>
      </c>
      <c r="P1070">
        <v>0</v>
      </c>
      <c r="Q1070">
        <v>0</v>
      </c>
      <c r="R1070">
        <v>0</v>
      </c>
      <c r="S1070">
        <v>0</v>
      </c>
      <c r="T1070">
        <v>12.98266392</v>
      </c>
      <c r="U1070">
        <f t="shared" si="32"/>
        <v>0</v>
      </c>
      <c r="V1070">
        <f t="shared" si="33"/>
        <v>0</v>
      </c>
    </row>
    <row r="1071" spans="1:22" x14ac:dyDescent="0.2">
      <c r="A1071" t="s">
        <v>1849</v>
      </c>
      <c r="B1071" t="s">
        <v>26</v>
      </c>
      <c r="C1071" t="s">
        <v>76</v>
      </c>
      <c r="D1071" t="s">
        <v>77</v>
      </c>
      <c r="E1071" s="1" t="s">
        <v>82</v>
      </c>
      <c r="F1071" t="s">
        <v>83</v>
      </c>
      <c r="G1071" s="1" t="s">
        <v>93</v>
      </c>
      <c r="H1071">
        <v>20424113</v>
      </c>
      <c r="I1071">
        <v>263151241</v>
      </c>
      <c r="J1071">
        <v>7</v>
      </c>
      <c r="K1071">
        <v>7</v>
      </c>
      <c r="L1071">
        <v>242727128</v>
      </c>
      <c r="M1071">
        <v>7.2023582839290001E-2</v>
      </c>
      <c r="N1071">
        <v>0.92797641716071</v>
      </c>
      <c r="O1071" s="1" t="s">
        <v>1871</v>
      </c>
      <c r="P1071">
        <v>0</v>
      </c>
      <c r="Q1071">
        <v>0</v>
      </c>
      <c r="R1071">
        <v>1</v>
      </c>
      <c r="S1071">
        <v>1</v>
      </c>
      <c r="T1071">
        <v>12.98266392</v>
      </c>
      <c r="U1071">
        <f t="shared" si="32"/>
        <v>0</v>
      </c>
      <c r="V1071">
        <f t="shared" si="33"/>
        <v>1</v>
      </c>
    </row>
    <row r="1072" spans="1:22" x14ac:dyDescent="0.2">
      <c r="A1072" t="s">
        <v>1849</v>
      </c>
      <c r="B1072" t="s">
        <v>26</v>
      </c>
      <c r="C1072" t="s">
        <v>76</v>
      </c>
      <c r="D1072" t="s">
        <v>77</v>
      </c>
      <c r="E1072" s="1" t="s">
        <v>89</v>
      </c>
      <c r="F1072" t="s">
        <v>90</v>
      </c>
      <c r="G1072">
        <v>33</v>
      </c>
      <c r="H1072">
        <v>11386667</v>
      </c>
      <c r="I1072">
        <v>1006471</v>
      </c>
      <c r="J1072">
        <v>30</v>
      </c>
      <c r="K1072">
        <v>53</v>
      </c>
      <c r="L1072">
        <v>-10380196</v>
      </c>
      <c r="M1072" s="1" t="s">
        <v>1872</v>
      </c>
      <c r="N1072">
        <v>8.1211957778570695E-2</v>
      </c>
      <c r="O1072">
        <v>1.10720692637983E-3</v>
      </c>
      <c r="P1072">
        <v>0</v>
      </c>
      <c r="Q1072">
        <v>0</v>
      </c>
      <c r="R1072">
        <v>0</v>
      </c>
      <c r="S1072">
        <v>0</v>
      </c>
      <c r="T1072">
        <v>12.98266392</v>
      </c>
      <c r="U1072">
        <f t="shared" si="32"/>
        <v>0</v>
      </c>
      <c r="V1072">
        <f t="shared" si="33"/>
        <v>0</v>
      </c>
    </row>
    <row r="1073" spans="1:22" x14ac:dyDescent="0.2">
      <c r="A1073" t="s">
        <v>1849</v>
      </c>
      <c r="B1073" t="s">
        <v>26</v>
      </c>
      <c r="C1073" t="s">
        <v>76</v>
      </c>
      <c r="D1073" t="s">
        <v>77</v>
      </c>
      <c r="E1073" s="1" t="s">
        <v>89</v>
      </c>
      <c r="F1073" t="s">
        <v>90</v>
      </c>
      <c r="G1073">
        <v>28</v>
      </c>
      <c r="H1073">
        <v>27306100</v>
      </c>
      <c r="I1073">
        <v>2227843</v>
      </c>
      <c r="J1073">
        <v>53</v>
      </c>
      <c r="K1073">
        <v>52</v>
      </c>
      <c r="L1073">
        <v>-25078257</v>
      </c>
      <c r="M1073" s="1" t="s">
        <v>1873</v>
      </c>
      <c r="N1073">
        <v>7.5433307364343394E-2</v>
      </c>
      <c r="O1073">
        <v>2.6385719462582499E-3</v>
      </c>
      <c r="P1073">
        <v>0</v>
      </c>
      <c r="Q1073">
        <v>0</v>
      </c>
      <c r="R1073">
        <v>0</v>
      </c>
      <c r="S1073">
        <v>0</v>
      </c>
      <c r="T1073">
        <v>12.98266392</v>
      </c>
      <c r="U1073">
        <f t="shared" si="32"/>
        <v>0</v>
      </c>
      <c r="V1073">
        <f t="shared" si="33"/>
        <v>0</v>
      </c>
    </row>
    <row r="1074" spans="1:22" x14ac:dyDescent="0.2">
      <c r="A1074" t="s">
        <v>1849</v>
      </c>
      <c r="B1074" t="s">
        <v>26</v>
      </c>
      <c r="C1074" t="s">
        <v>76</v>
      </c>
      <c r="D1074" t="s">
        <v>77</v>
      </c>
      <c r="E1074">
        <v>15</v>
      </c>
      <c r="F1074" t="s">
        <v>88</v>
      </c>
      <c r="G1074">
        <v>73</v>
      </c>
      <c r="H1074">
        <v>9003142</v>
      </c>
      <c r="I1074">
        <v>43064759</v>
      </c>
      <c r="J1074">
        <v>50</v>
      </c>
      <c r="K1074">
        <v>39</v>
      </c>
      <c r="L1074">
        <v>34061617</v>
      </c>
      <c r="M1074" s="1" t="s">
        <v>1874</v>
      </c>
      <c r="N1074" s="1" t="s">
        <v>1875</v>
      </c>
      <c r="O1074">
        <v>4.6517629860378697E-3</v>
      </c>
      <c r="P1074">
        <v>0</v>
      </c>
      <c r="Q1074">
        <v>0</v>
      </c>
      <c r="R1074">
        <v>0</v>
      </c>
      <c r="S1074">
        <v>0</v>
      </c>
      <c r="T1074">
        <v>12.98266392</v>
      </c>
      <c r="U1074">
        <f t="shared" si="32"/>
        <v>0</v>
      </c>
      <c r="V1074">
        <f t="shared" si="33"/>
        <v>0</v>
      </c>
    </row>
    <row r="1075" spans="1:22" x14ac:dyDescent="0.2">
      <c r="A1075" t="s">
        <v>1849</v>
      </c>
      <c r="B1075" t="s">
        <v>26</v>
      </c>
      <c r="C1075" t="s">
        <v>76</v>
      </c>
      <c r="D1075" t="s">
        <v>77</v>
      </c>
      <c r="E1075">
        <v>15</v>
      </c>
      <c r="F1075" t="s">
        <v>88</v>
      </c>
      <c r="G1075">
        <v>78</v>
      </c>
      <c r="H1075">
        <v>1913914</v>
      </c>
      <c r="I1075">
        <v>0</v>
      </c>
      <c r="J1075">
        <v>30</v>
      </c>
      <c r="K1075">
        <v>44</v>
      </c>
      <c r="L1075">
        <v>-1913914</v>
      </c>
      <c r="M1075">
        <v>1</v>
      </c>
      <c r="N1075">
        <v>0</v>
      </c>
      <c r="O1075" s="1" t="s">
        <v>1876</v>
      </c>
      <c r="P1075">
        <v>0</v>
      </c>
      <c r="Q1075">
        <v>0</v>
      </c>
      <c r="R1075">
        <v>0</v>
      </c>
      <c r="S1075">
        <v>0</v>
      </c>
      <c r="T1075">
        <v>12.98266392</v>
      </c>
      <c r="U1075">
        <f t="shared" si="32"/>
        <v>0</v>
      </c>
      <c r="V1075">
        <f t="shared" si="33"/>
        <v>0</v>
      </c>
    </row>
    <row r="1076" spans="1:22" x14ac:dyDescent="0.2">
      <c r="A1076" t="s">
        <v>1849</v>
      </c>
      <c r="B1076" t="s">
        <v>26</v>
      </c>
      <c r="C1076" t="s">
        <v>76</v>
      </c>
      <c r="D1076" t="s">
        <v>77</v>
      </c>
      <c r="E1076" s="1" t="s">
        <v>99</v>
      </c>
      <c r="F1076" t="s">
        <v>100</v>
      </c>
      <c r="G1076">
        <v>39</v>
      </c>
      <c r="H1076">
        <v>12388143</v>
      </c>
      <c r="I1076">
        <v>51140946</v>
      </c>
      <c r="J1076">
        <v>49</v>
      </c>
      <c r="K1076">
        <v>42</v>
      </c>
      <c r="L1076">
        <v>38752803</v>
      </c>
      <c r="M1076" s="1" t="s">
        <v>1877</v>
      </c>
      <c r="N1076">
        <v>0.80500046207179199</v>
      </c>
      <c r="O1076">
        <v>5.67570920031721E-3</v>
      </c>
      <c r="P1076">
        <v>0</v>
      </c>
      <c r="Q1076">
        <v>0</v>
      </c>
      <c r="R1076">
        <v>0</v>
      </c>
      <c r="S1076">
        <v>0</v>
      </c>
      <c r="T1076">
        <v>12.98266392</v>
      </c>
      <c r="U1076">
        <f t="shared" si="32"/>
        <v>0</v>
      </c>
      <c r="V1076">
        <f t="shared" si="33"/>
        <v>0</v>
      </c>
    </row>
    <row r="1077" spans="1:22" x14ac:dyDescent="0.2">
      <c r="A1077" t="s">
        <v>1849</v>
      </c>
      <c r="B1077" t="s">
        <v>26</v>
      </c>
      <c r="C1077" t="s">
        <v>76</v>
      </c>
      <c r="D1077" t="s">
        <v>77</v>
      </c>
      <c r="E1077">
        <v>18</v>
      </c>
      <c r="F1077" t="s">
        <v>147</v>
      </c>
      <c r="G1077">
        <v>90</v>
      </c>
      <c r="H1077">
        <v>18347128</v>
      </c>
      <c r="I1077">
        <v>3663647</v>
      </c>
      <c r="J1077">
        <v>28</v>
      </c>
      <c r="K1077">
        <v>59</v>
      </c>
      <c r="L1077">
        <v>-14683481</v>
      </c>
      <c r="M1077" s="1" t="s">
        <v>1878</v>
      </c>
      <c r="N1077" s="1" t="s">
        <v>1879</v>
      </c>
      <c r="O1077">
        <v>1.9664497026490001E-3</v>
      </c>
      <c r="P1077">
        <v>0</v>
      </c>
      <c r="Q1077">
        <v>0</v>
      </c>
      <c r="R1077">
        <v>0</v>
      </c>
      <c r="S1077">
        <v>0</v>
      </c>
      <c r="T1077">
        <v>12.98266392</v>
      </c>
      <c r="U1077">
        <f t="shared" si="32"/>
        <v>0</v>
      </c>
      <c r="V1077">
        <f t="shared" si="33"/>
        <v>0</v>
      </c>
    </row>
    <row r="1078" spans="1:22" x14ac:dyDescent="0.2">
      <c r="A1078" t="s">
        <v>1849</v>
      </c>
      <c r="B1078" t="s">
        <v>26</v>
      </c>
      <c r="C1078" t="s">
        <v>76</v>
      </c>
      <c r="D1078" t="s">
        <v>77</v>
      </c>
      <c r="E1078">
        <v>16</v>
      </c>
      <c r="F1078" t="s">
        <v>95</v>
      </c>
      <c r="G1078">
        <v>84</v>
      </c>
      <c r="H1078">
        <v>32877670</v>
      </c>
      <c r="I1078">
        <v>625108900</v>
      </c>
      <c r="J1078">
        <v>48</v>
      </c>
      <c r="K1078">
        <v>33</v>
      </c>
      <c r="L1078">
        <v>592231230</v>
      </c>
      <c r="M1078" s="1" t="s">
        <v>1880</v>
      </c>
      <c r="N1078" s="1" t="s">
        <v>1881</v>
      </c>
      <c r="O1078">
        <v>5.8784731338334797E-2</v>
      </c>
      <c r="P1078">
        <v>0</v>
      </c>
      <c r="Q1078">
        <v>0</v>
      </c>
      <c r="R1078">
        <v>0</v>
      </c>
      <c r="S1078">
        <v>0</v>
      </c>
      <c r="T1078">
        <v>12.98266392</v>
      </c>
      <c r="U1078">
        <f t="shared" si="32"/>
        <v>0</v>
      </c>
      <c r="V1078">
        <f t="shared" si="33"/>
        <v>0</v>
      </c>
    </row>
    <row r="1079" spans="1:22" x14ac:dyDescent="0.2">
      <c r="A1079" t="s">
        <v>1849</v>
      </c>
      <c r="B1079" t="s">
        <v>26</v>
      </c>
      <c r="C1079" t="s">
        <v>76</v>
      </c>
      <c r="D1079" t="s">
        <v>77</v>
      </c>
      <c r="E1079">
        <v>15</v>
      </c>
      <c r="F1079" t="s">
        <v>88</v>
      </c>
      <c r="G1079">
        <v>74</v>
      </c>
      <c r="H1079">
        <v>2866250</v>
      </c>
      <c r="I1079">
        <v>21126</v>
      </c>
      <c r="J1079">
        <v>59</v>
      </c>
      <c r="K1079">
        <v>71</v>
      </c>
      <c r="L1079">
        <v>-2845124</v>
      </c>
      <c r="M1079" s="1" t="s">
        <v>1882</v>
      </c>
      <c r="N1079">
        <v>7.31667784174974E-3</v>
      </c>
      <c r="O1079" s="1" t="s">
        <v>1883</v>
      </c>
      <c r="P1079">
        <v>0</v>
      </c>
      <c r="Q1079">
        <v>0</v>
      </c>
      <c r="R1079">
        <v>0</v>
      </c>
      <c r="S1079">
        <v>0</v>
      </c>
      <c r="T1079">
        <v>12.98266392</v>
      </c>
      <c r="U1079">
        <f t="shared" si="32"/>
        <v>0</v>
      </c>
      <c r="V1079">
        <f t="shared" si="33"/>
        <v>0</v>
      </c>
    </row>
    <row r="1080" spans="1:22" x14ac:dyDescent="0.2">
      <c r="A1080" t="s">
        <v>1849</v>
      </c>
      <c r="B1080" t="s">
        <v>26</v>
      </c>
      <c r="C1080" t="s">
        <v>76</v>
      </c>
      <c r="D1080" t="s">
        <v>77</v>
      </c>
      <c r="E1080">
        <v>15</v>
      </c>
      <c r="F1080" t="s">
        <v>88</v>
      </c>
      <c r="G1080">
        <v>79</v>
      </c>
      <c r="H1080">
        <v>6827420</v>
      </c>
      <c r="I1080">
        <v>0</v>
      </c>
      <c r="J1080">
        <v>11</v>
      </c>
      <c r="K1080">
        <v>54</v>
      </c>
      <c r="L1080">
        <v>-6827420</v>
      </c>
      <c r="M1080">
        <v>1</v>
      </c>
      <c r="N1080">
        <v>0</v>
      </c>
      <c r="O1080" s="1" t="s">
        <v>1884</v>
      </c>
      <c r="P1080">
        <v>0</v>
      </c>
      <c r="Q1080">
        <v>0</v>
      </c>
      <c r="R1080">
        <v>0</v>
      </c>
      <c r="S1080">
        <v>0</v>
      </c>
      <c r="T1080">
        <v>12.98266392</v>
      </c>
      <c r="U1080">
        <f t="shared" si="32"/>
        <v>0</v>
      </c>
      <c r="V1080">
        <f t="shared" si="33"/>
        <v>0</v>
      </c>
    </row>
    <row r="1081" spans="1:22" x14ac:dyDescent="0.2">
      <c r="A1081" t="s">
        <v>1849</v>
      </c>
      <c r="B1081" t="s">
        <v>26</v>
      </c>
      <c r="C1081" t="s">
        <v>76</v>
      </c>
      <c r="D1081" t="s">
        <v>77</v>
      </c>
      <c r="E1081">
        <v>16</v>
      </c>
      <c r="F1081" t="s">
        <v>95</v>
      </c>
      <c r="G1081">
        <v>85</v>
      </c>
      <c r="H1081">
        <v>18604751</v>
      </c>
      <c r="I1081">
        <v>254797624</v>
      </c>
      <c r="J1081">
        <v>62</v>
      </c>
      <c r="K1081">
        <v>37</v>
      </c>
      <c r="L1081">
        <v>236192873</v>
      </c>
      <c r="M1081">
        <v>6.8048973605295104E-2</v>
      </c>
      <c r="N1081" s="1" t="s">
        <v>1885</v>
      </c>
      <c r="O1081" s="1" t="s">
        <v>1886</v>
      </c>
      <c r="P1081">
        <v>0</v>
      </c>
      <c r="Q1081">
        <v>0</v>
      </c>
      <c r="R1081">
        <v>0</v>
      </c>
      <c r="S1081">
        <v>0</v>
      </c>
      <c r="T1081">
        <v>12.98266392</v>
      </c>
      <c r="U1081">
        <f t="shared" si="32"/>
        <v>0</v>
      </c>
      <c r="V1081">
        <f t="shared" si="33"/>
        <v>0</v>
      </c>
    </row>
    <row r="1082" spans="1:22" x14ac:dyDescent="0.2">
      <c r="A1082" t="s">
        <v>1849</v>
      </c>
      <c r="B1082" t="s">
        <v>26</v>
      </c>
      <c r="C1082" t="s">
        <v>76</v>
      </c>
      <c r="D1082" t="s">
        <v>77</v>
      </c>
      <c r="E1082">
        <v>17</v>
      </c>
      <c r="F1082" t="s">
        <v>97</v>
      </c>
      <c r="G1082">
        <v>87</v>
      </c>
      <c r="H1082">
        <v>15960420</v>
      </c>
      <c r="I1082">
        <v>22182079</v>
      </c>
      <c r="J1082">
        <v>43</v>
      </c>
      <c r="K1082">
        <v>43</v>
      </c>
      <c r="L1082">
        <v>6221659</v>
      </c>
      <c r="M1082" s="1" t="s">
        <v>1887</v>
      </c>
      <c r="N1082" s="1" t="s">
        <v>1888</v>
      </c>
      <c r="O1082">
        <v>3.40766310213247E-3</v>
      </c>
      <c r="P1082">
        <v>0</v>
      </c>
      <c r="Q1082">
        <v>0</v>
      </c>
      <c r="R1082">
        <v>0</v>
      </c>
      <c r="S1082">
        <v>0</v>
      </c>
      <c r="T1082">
        <v>12.98266392</v>
      </c>
      <c r="U1082">
        <f t="shared" si="32"/>
        <v>0</v>
      </c>
      <c r="V1082">
        <f t="shared" si="33"/>
        <v>0</v>
      </c>
    </row>
    <row r="1083" spans="1:22" x14ac:dyDescent="0.2">
      <c r="A1083" t="s">
        <v>1849</v>
      </c>
      <c r="B1083" t="s">
        <v>26</v>
      </c>
      <c r="C1083" t="s">
        <v>76</v>
      </c>
      <c r="D1083" t="s">
        <v>77</v>
      </c>
      <c r="E1083">
        <v>11</v>
      </c>
      <c r="F1083" t="s">
        <v>127</v>
      </c>
      <c r="G1083">
        <v>54</v>
      </c>
      <c r="H1083">
        <v>978039</v>
      </c>
      <c r="I1083">
        <v>3934714</v>
      </c>
      <c r="J1083">
        <v>25</v>
      </c>
      <c r="K1083">
        <v>31</v>
      </c>
      <c r="L1083">
        <v>2956675</v>
      </c>
      <c r="M1083" s="1" t="s">
        <v>1889</v>
      </c>
      <c r="N1083">
        <v>0.80091834456159305</v>
      </c>
      <c r="O1083" s="1" t="s">
        <v>1890</v>
      </c>
      <c r="P1083">
        <v>0</v>
      </c>
      <c r="Q1083">
        <v>0</v>
      </c>
      <c r="R1083">
        <v>0</v>
      </c>
      <c r="S1083">
        <v>0</v>
      </c>
      <c r="T1083">
        <v>12.98266392</v>
      </c>
      <c r="U1083">
        <f t="shared" si="32"/>
        <v>0</v>
      </c>
      <c r="V1083">
        <f t="shared" si="33"/>
        <v>0</v>
      </c>
    </row>
    <row r="1084" spans="1:22" x14ac:dyDescent="0.2">
      <c r="A1084" t="s">
        <v>1849</v>
      </c>
      <c r="B1084" t="s">
        <v>26</v>
      </c>
      <c r="C1084" t="s">
        <v>76</v>
      </c>
      <c r="D1084" t="s">
        <v>77</v>
      </c>
      <c r="E1084" s="1" t="s">
        <v>93</v>
      </c>
      <c r="F1084" t="s">
        <v>94</v>
      </c>
      <c r="G1084">
        <v>44</v>
      </c>
      <c r="H1084">
        <v>10236641</v>
      </c>
      <c r="I1084">
        <v>37458474</v>
      </c>
      <c r="J1084">
        <v>70</v>
      </c>
      <c r="K1084">
        <v>12</v>
      </c>
      <c r="L1084">
        <v>27221833</v>
      </c>
      <c r="M1084" s="1" t="s">
        <v>1891</v>
      </c>
      <c r="N1084" s="1" t="s">
        <v>1892</v>
      </c>
      <c r="O1084">
        <v>4.2610968813937703E-3</v>
      </c>
      <c r="P1084">
        <v>0</v>
      </c>
      <c r="Q1084">
        <v>0</v>
      </c>
      <c r="R1084">
        <v>0</v>
      </c>
      <c r="S1084">
        <v>0</v>
      </c>
      <c r="T1084">
        <v>12.98266392</v>
      </c>
      <c r="U1084">
        <f t="shared" si="32"/>
        <v>0</v>
      </c>
      <c r="V1084">
        <f t="shared" si="33"/>
        <v>0</v>
      </c>
    </row>
    <row r="1085" spans="1:22" x14ac:dyDescent="0.2">
      <c r="A1085" t="s">
        <v>1849</v>
      </c>
      <c r="B1085" t="s">
        <v>26</v>
      </c>
      <c r="C1085" t="s">
        <v>76</v>
      </c>
      <c r="D1085" t="s">
        <v>77</v>
      </c>
      <c r="E1085" s="1" t="s">
        <v>82</v>
      </c>
      <c r="F1085" t="s">
        <v>83</v>
      </c>
      <c r="G1085">
        <v>10</v>
      </c>
      <c r="H1085">
        <v>681733540</v>
      </c>
      <c r="I1085">
        <v>0</v>
      </c>
      <c r="J1085">
        <v>10</v>
      </c>
      <c r="K1085">
        <v>65</v>
      </c>
      <c r="L1085">
        <v>-681733540</v>
      </c>
      <c r="M1085">
        <v>1</v>
      </c>
      <c r="N1085">
        <v>0</v>
      </c>
      <c r="O1085">
        <v>6.0906293259499103E-2</v>
      </c>
      <c r="P1085">
        <v>0</v>
      </c>
      <c r="Q1085">
        <v>0</v>
      </c>
      <c r="R1085">
        <v>1</v>
      </c>
      <c r="S1085">
        <v>0</v>
      </c>
      <c r="T1085">
        <v>12.98266392</v>
      </c>
      <c r="U1085">
        <f t="shared" si="32"/>
        <v>0</v>
      </c>
      <c r="V1085">
        <f t="shared" si="33"/>
        <v>1</v>
      </c>
    </row>
    <row r="1086" spans="1:22" x14ac:dyDescent="0.2">
      <c r="A1086" t="s">
        <v>1849</v>
      </c>
      <c r="B1086" t="s">
        <v>26</v>
      </c>
      <c r="C1086" t="s">
        <v>76</v>
      </c>
      <c r="D1086" t="s">
        <v>77</v>
      </c>
      <c r="E1086">
        <v>13</v>
      </c>
      <c r="F1086" t="s">
        <v>91</v>
      </c>
      <c r="G1086">
        <v>68</v>
      </c>
      <c r="H1086">
        <v>9843035</v>
      </c>
      <c r="I1086">
        <v>981822</v>
      </c>
      <c r="J1086">
        <v>32</v>
      </c>
      <c r="K1086">
        <v>45</v>
      </c>
      <c r="L1086">
        <v>-8861213</v>
      </c>
      <c r="M1086" s="1" t="s">
        <v>1893</v>
      </c>
      <c r="N1086">
        <v>9.0700690087638106E-2</v>
      </c>
      <c r="O1086" s="1" t="s">
        <v>1894</v>
      </c>
      <c r="P1086">
        <v>0</v>
      </c>
      <c r="Q1086">
        <v>0</v>
      </c>
      <c r="R1086">
        <v>0</v>
      </c>
      <c r="S1086">
        <v>0</v>
      </c>
      <c r="T1086">
        <v>12.98266392</v>
      </c>
      <c r="U1086">
        <f t="shared" si="32"/>
        <v>0</v>
      </c>
      <c r="V1086">
        <f t="shared" si="33"/>
        <v>0</v>
      </c>
    </row>
    <row r="1087" spans="1:22" x14ac:dyDescent="0.2">
      <c r="A1087" t="s">
        <v>1849</v>
      </c>
      <c r="B1087" t="s">
        <v>26</v>
      </c>
      <c r="C1087" t="s">
        <v>76</v>
      </c>
      <c r="D1087" t="s">
        <v>77</v>
      </c>
      <c r="E1087">
        <v>13</v>
      </c>
      <c r="F1087" t="s">
        <v>91</v>
      </c>
      <c r="G1087">
        <v>69</v>
      </c>
      <c r="H1087">
        <v>160412</v>
      </c>
      <c r="I1087">
        <v>781753</v>
      </c>
      <c r="J1087">
        <v>58</v>
      </c>
      <c r="K1087">
        <v>47</v>
      </c>
      <c r="L1087">
        <v>621341</v>
      </c>
      <c r="M1087" s="1" t="s">
        <v>1895</v>
      </c>
      <c r="N1087" s="1" t="s">
        <v>1896</v>
      </c>
      <c r="O1087" s="1" t="s">
        <v>1897</v>
      </c>
      <c r="P1087">
        <v>0</v>
      </c>
      <c r="Q1087">
        <v>0</v>
      </c>
      <c r="R1087">
        <v>0</v>
      </c>
      <c r="S1087">
        <v>0</v>
      </c>
      <c r="T1087">
        <v>12.98266392</v>
      </c>
      <c r="U1087">
        <f t="shared" si="32"/>
        <v>0</v>
      </c>
      <c r="V1087">
        <f t="shared" si="33"/>
        <v>0</v>
      </c>
    </row>
    <row r="1088" spans="1:22" x14ac:dyDescent="0.2">
      <c r="A1088" t="s">
        <v>1849</v>
      </c>
      <c r="B1088" t="s">
        <v>26</v>
      </c>
      <c r="C1088" t="s">
        <v>76</v>
      </c>
      <c r="D1088" t="s">
        <v>77</v>
      </c>
      <c r="E1088" s="1" t="s">
        <v>138</v>
      </c>
      <c r="F1088" t="s">
        <v>139</v>
      </c>
      <c r="G1088">
        <v>22</v>
      </c>
      <c r="H1088">
        <v>197734</v>
      </c>
      <c r="I1088">
        <v>2267662</v>
      </c>
      <c r="J1088">
        <v>95</v>
      </c>
      <c r="K1088">
        <v>48</v>
      </c>
      <c r="L1088">
        <v>2069928</v>
      </c>
      <c r="M1088">
        <v>8.0203748201100294E-2</v>
      </c>
      <c r="N1088" s="1" t="s">
        <v>1898</v>
      </c>
      <c r="O1088" s="1" t="s">
        <v>1899</v>
      </c>
      <c r="P1088">
        <v>0</v>
      </c>
      <c r="Q1088">
        <v>0</v>
      </c>
      <c r="R1088">
        <v>0</v>
      </c>
      <c r="S1088">
        <v>0</v>
      </c>
      <c r="T1088">
        <v>12.98266392</v>
      </c>
      <c r="U1088">
        <f t="shared" si="32"/>
        <v>0</v>
      </c>
      <c r="V1088">
        <f t="shared" si="33"/>
        <v>0</v>
      </c>
    </row>
    <row r="1089" spans="1:22" x14ac:dyDescent="0.2">
      <c r="A1089" t="s">
        <v>1849</v>
      </c>
      <c r="B1089" t="s">
        <v>26</v>
      </c>
      <c r="C1089" t="s">
        <v>76</v>
      </c>
      <c r="D1089" t="s">
        <v>77</v>
      </c>
      <c r="E1089" s="1" t="s">
        <v>89</v>
      </c>
      <c r="F1089" t="s">
        <v>90</v>
      </c>
      <c r="G1089">
        <v>32</v>
      </c>
      <c r="H1089">
        <v>196022</v>
      </c>
      <c r="I1089">
        <v>326372</v>
      </c>
      <c r="J1089">
        <v>78</v>
      </c>
      <c r="K1089">
        <v>64</v>
      </c>
      <c r="L1089">
        <v>130350</v>
      </c>
      <c r="M1089" s="1" t="s">
        <v>1900</v>
      </c>
      <c r="N1089" s="1" t="s">
        <v>1901</v>
      </c>
      <c r="O1089" s="1" t="s">
        <v>1902</v>
      </c>
      <c r="P1089">
        <v>0</v>
      </c>
      <c r="Q1089">
        <v>0</v>
      </c>
      <c r="R1089">
        <v>0</v>
      </c>
      <c r="S1089">
        <v>0</v>
      </c>
      <c r="T1089">
        <v>12.98266392</v>
      </c>
      <c r="U1089">
        <f t="shared" si="32"/>
        <v>0</v>
      </c>
      <c r="V1089">
        <f t="shared" si="33"/>
        <v>0</v>
      </c>
    </row>
    <row r="1090" spans="1:22" x14ac:dyDescent="0.2">
      <c r="A1090" t="s">
        <v>1849</v>
      </c>
      <c r="B1090" t="s">
        <v>26</v>
      </c>
      <c r="C1090" t="s">
        <v>76</v>
      </c>
      <c r="D1090" t="s">
        <v>77</v>
      </c>
      <c r="E1090" s="1" t="s">
        <v>82</v>
      </c>
      <c r="F1090" t="s">
        <v>83</v>
      </c>
      <c r="G1090">
        <v>11</v>
      </c>
      <c r="H1090">
        <v>422741</v>
      </c>
      <c r="I1090">
        <v>1060</v>
      </c>
      <c r="J1090">
        <v>58</v>
      </c>
      <c r="K1090">
        <v>59</v>
      </c>
      <c r="L1090">
        <v>-421681</v>
      </c>
      <c r="M1090" s="1" t="s">
        <v>1903</v>
      </c>
      <c r="N1090">
        <v>2.50117390001439E-3</v>
      </c>
      <c r="O1090" s="1" t="s">
        <v>1904</v>
      </c>
      <c r="P1090">
        <v>0</v>
      </c>
      <c r="Q1090">
        <v>0</v>
      </c>
      <c r="R1090">
        <v>0</v>
      </c>
      <c r="S1090">
        <v>0</v>
      </c>
      <c r="T1090">
        <v>12.98266392</v>
      </c>
      <c r="U1090">
        <f t="shared" si="32"/>
        <v>0</v>
      </c>
      <c r="V1090">
        <f t="shared" si="33"/>
        <v>0</v>
      </c>
    </row>
    <row r="1091" spans="1:22" x14ac:dyDescent="0.2">
      <c r="A1091" t="s">
        <v>1849</v>
      </c>
      <c r="B1091" t="s">
        <v>26</v>
      </c>
      <c r="C1091" t="s">
        <v>76</v>
      </c>
      <c r="D1091" t="s">
        <v>77</v>
      </c>
      <c r="E1091">
        <v>15</v>
      </c>
      <c r="F1091" t="s">
        <v>88</v>
      </c>
      <c r="G1091">
        <v>82</v>
      </c>
      <c r="H1091">
        <v>913418</v>
      </c>
      <c r="I1091">
        <v>770828</v>
      </c>
      <c r="J1091">
        <v>65</v>
      </c>
      <c r="K1091">
        <v>54</v>
      </c>
      <c r="L1091">
        <v>-142590</v>
      </c>
      <c r="M1091" s="1" t="s">
        <v>1905</v>
      </c>
      <c r="N1091" s="1" t="s">
        <v>1906</v>
      </c>
      <c r="O1091" s="1" t="s">
        <v>1907</v>
      </c>
      <c r="P1091">
        <v>0</v>
      </c>
      <c r="Q1091">
        <v>0</v>
      </c>
      <c r="R1091">
        <v>0</v>
      </c>
      <c r="S1091">
        <v>0</v>
      </c>
      <c r="T1091">
        <v>12.98266392</v>
      </c>
      <c r="U1091">
        <f t="shared" ref="U1091:U1154" si="34">IF(OR(P1091=1,Q1091=1),1,0)</f>
        <v>0</v>
      </c>
      <c r="V1091">
        <f t="shared" ref="V1091:V1154" si="35">IF(OR(R1091=1,S1091=1),1,0)</f>
        <v>0</v>
      </c>
    </row>
    <row r="1092" spans="1:22" x14ac:dyDescent="0.2">
      <c r="A1092" t="s">
        <v>1849</v>
      </c>
      <c r="B1092" t="s">
        <v>26</v>
      </c>
      <c r="C1092" t="s">
        <v>76</v>
      </c>
      <c r="D1092" t="s">
        <v>77</v>
      </c>
      <c r="E1092">
        <v>20</v>
      </c>
      <c r="F1092" t="s">
        <v>104</v>
      </c>
      <c r="G1092">
        <v>95</v>
      </c>
      <c r="H1092">
        <v>120312</v>
      </c>
      <c r="I1092">
        <v>45279101</v>
      </c>
      <c r="J1092">
        <v>62</v>
      </c>
      <c r="K1092">
        <v>17</v>
      </c>
      <c r="L1092">
        <v>45158789</v>
      </c>
      <c r="M1092">
        <v>2.6500783170918898E-3</v>
      </c>
      <c r="N1092" s="1" t="s">
        <v>1908</v>
      </c>
      <c r="O1092">
        <v>4.0559981279300302E-3</v>
      </c>
      <c r="P1092">
        <v>0</v>
      </c>
      <c r="Q1092">
        <v>0</v>
      </c>
      <c r="R1092">
        <v>0</v>
      </c>
      <c r="S1092">
        <v>0</v>
      </c>
      <c r="T1092">
        <v>12.98266392</v>
      </c>
      <c r="U1092">
        <f t="shared" si="34"/>
        <v>0</v>
      </c>
      <c r="V1092">
        <f t="shared" si="35"/>
        <v>0</v>
      </c>
    </row>
    <row r="1093" spans="1:22" x14ac:dyDescent="0.2">
      <c r="A1093" t="s">
        <v>1849</v>
      </c>
      <c r="B1093" t="s">
        <v>26</v>
      </c>
      <c r="C1093" t="s">
        <v>76</v>
      </c>
      <c r="D1093" t="s">
        <v>77</v>
      </c>
      <c r="E1093" s="1" t="s">
        <v>89</v>
      </c>
      <c r="F1093" t="s">
        <v>90</v>
      </c>
      <c r="G1093">
        <v>38</v>
      </c>
      <c r="H1093">
        <v>5105134</v>
      </c>
      <c r="I1093">
        <v>64845613</v>
      </c>
      <c r="J1093">
        <v>51</v>
      </c>
      <c r="K1093">
        <v>29</v>
      </c>
      <c r="L1093">
        <v>59740479</v>
      </c>
      <c r="M1093">
        <v>7.2981836777239795E-2</v>
      </c>
      <c r="N1093" s="1" t="s">
        <v>1909</v>
      </c>
      <c r="O1093">
        <v>6.2494221870073004E-3</v>
      </c>
      <c r="P1093">
        <v>0</v>
      </c>
      <c r="Q1093">
        <v>0</v>
      </c>
      <c r="R1093">
        <v>0</v>
      </c>
      <c r="S1093">
        <v>0</v>
      </c>
      <c r="T1093">
        <v>12.98266392</v>
      </c>
      <c r="U1093">
        <f t="shared" si="34"/>
        <v>0</v>
      </c>
      <c r="V1093">
        <f t="shared" si="35"/>
        <v>0</v>
      </c>
    </row>
    <row r="1094" spans="1:22" x14ac:dyDescent="0.2">
      <c r="A1094" t="s">
        <v>1849</v>
      </c>
      <c r="B1094" t="s">
        <v>26</v>
      </c>
      <c r="C1094" t="s">
        <v>76</v>
      </c>
      <c r="D1094" t="s">
        <v>77</v>
      </c>
      <c r="E1094" s="1" t="s">
        <v>155</v>
      </c>
      <c r="F1094" t="s">
        <v>156</v>
      </c>
      <c r="G1094" s="1" t="s">
        <v>155</v>
      </c>
      <c r="H1094">
        <v>541860</v>
      </c>
      <c r="I1094">
        <v>37198</v>
      </c>
      <c r="J1094">
        <v>21</v>
      </c>
      <c r="K1094">
        <v>42</v>
      </c>
      <c r="L1094">
        <v>-504662</v>
      </c>
      <c r="M1094" s="1" t="s">
        <v>1910</v>
      </c>
      <c r="N1094">
        <v>6.4238815455446602E-2</v>
      </c>
      <c r="O1094" s="1" t="s">
        <v>1911</v>
      </c>
      <c r="P1094">
        <v>0</v>
      </c>
      <c r="Q1094">
        <v>0</v>
      </c>
      <c r="R1094">
        <v>0</v>
      </c>
      <c r="S1094">
        <v>0</v>
      </c>
      <c r="T1094">
        <v>12.98266392</v>
      </c>
      <c r="U1094">
        <f t="shared" si="34"/>
        <v>0</v>
      </c>
      <c r="V1094">
        <f t="shared" si="35"/>
        <v>0</v>
      </c>
    </row>
    <row r="1095" spans="1:22" x14ac:dyDescent="0.2">
      <c r="A1095" t="s">
        <v>1849</v>
      </c>
      <c r="B1095" t="s">
        <v>26</v>
      </c>
      <c r="C1095" t="s">
        <v>76</v>
      </c>
      <c r="D1095" t="s">
        <v>77</v>
      </c>
      <c r="E1095">
        <v>15</v>
      </c>
      <c r="F1095" t="s">
        <v>88</v>
      </c>
      <c r="G1095">
        <v>83</v>
      </c>
      <c r="H1095">
        <v>83870</v>
      </c>
      <c r="I1095">
        <v>173513</v>
      </c>
      <c r="J1095">
        <v>64</v>
      </c>
      <c r="K1095">
        <v>62</v>
      </c>
      <c r="L1095">
        <v>89643</v>
      </c>
      <c r="M1095" s="1" t="s">
        <v>1912</v>
      </c>
      <c r="N1095" s="1" t="s">
        <v>1913</v>
      </c>
      <c r="O1095" s="1" t="s">
        <v>1914</v>
      </c>
      <c r="P1095">
        <v>0</v>
      </c>
      <c r="Q1095">
        <v>0</v>
      </c>
      <c r="R1095">
        <v>0</v>
      </c>
      <c r="S1095">
        <v>0</v>
      </c>
      <c r="T1095">
        <v>12.98266392</v>
      </c>
      <c r="U1095">
        <f t="shared" si="34"/>
        <v>0</v>
      </c>
      <c r="V1095">
        <f t="shared" si="35"/>
        <v>0</v>
      </c>
    </row>
    <row r="1096" spans="1:22" x14ac:dyDescent="0.2">
      <c r="A1096" t="s">
        <v>1849</v>
      </c>
      <c r="B1096" t="s">
        <v>26</v>
      </c>
      <c r="C1096" t="s">
        <v>76</v>
      </c>
      <c r="D1096" t="s">
        <v>77</v>
      </c>
      <c r="E1096" s="1" t="s">
        <v>138</v>
      </c>
      <c r="F1096" t="s">
        <v>139</v>
      </c>
      <c r="G1096">
        <v>23</v>
      </c>
      <c r="H1096">
        <v>96012</v>
      </c>
      <c r="I1096">
        <v>18996394</v>
      </c>
      <c r="J1096">
        <v>69</v>
      </c>
      <c r="K1096">
        <v>29</v>
      </c>
      <c r="L1096">
        <v>18900382</v>
      </c>
      <c r="M1096">
        <v>5.0288056937402197E-3</v>
      </c>
      <c r="N1096" s="1" t="s">
        <v>1915</v>
      </c>
      <c r="O1096">
        <v>1.70572167956621E-3</v>
      </c>
      <c r="P1096">
        <v>0</v>
      </c>
      <c r="Q1096">
        <v>0</v>
      </c>
      <c r="R1096">
        <v>0</v>
      </c>
      <c r="S1096">
        <v>0</v>
      </c>
      <c r="T1096">
        <v>12.98266392</v>
      </c>
      <c r="U1096">
        <f t="shared" si="34"/>
        <v>0</v>
      </c>
      <c r="V1096">
        <f t="shared" si="35"/>
        <v>0</v>
      </c>
    </row>
    <row r="1097" spans="1:22" x14ac:dyDescent="0.2">
      <c r="A1097" t="s">
        <v>1849</v>
      </c>
      <c r="B1097" t="s">
        <v>26</v>
      </c>
      <c r="C1097" t="s">
        <v>76</v>
      </c>
      <c r="D1097" t="s">
        <v>77</v>
      </c>
      <c r="E1097">
        <v>20</v>
      </c>
      <c r="F1097" t="s">
        <v>104</v>
      </c>
      <c r="G1097">
        <v>94</v>
      </c>
      <c r="H1097">
        <v>468660</v>
      </c>
      <c r="I1097">
        <v>31786634</v>
      </c>
      <c r="J1097">
        <v>70</v>
      </c>
      <c r="K1097">
        <v>33</v>
      </c>
      <c r="L1097">
        <v>31317974</v>
      </c>
      <c r="M1097">
        <v>1.45297078984925E-2</v>
      </c>
      <c r="N1097" s="1" t="s">
        <v>1916</v>
      </c>
      <c r="O1097">
        <v>2.8816983179899901E-3</v>
      </c>
      <c r="P1097">
        <v>0</v>
      </c>
      <c r="Q1097">
        <v>0</v>
      </c>
      <c r="R1097">
        <v>0</v>
      </c>
      <c r="S1097">
        <v>0</v>
      </c>
      <c r="T1097">
        <v>12.98266392</v>
      </c>
      <c r="U1097">
        <f t="shared" si="34"/>
        <v>0</v>
      </c>
      <c r="V1097">
        <f t="shared" si="35"/>
        <v>0</v>
      </c>
    </row>
    <row r="1098" spans="1:22" x14ac:dyDescent="0.2">
      <c r="A1098" t="s">
        <v>1849</v>
      </c>
      <c r="B1098" t="s">
        <v>26</v>
      </c>
      <c r="C1098" t="s">
        <v>76</v>
      </c>
      <c r="D1098" t="s">
        <v>77</v>
      </c>
      <c r="E1098">
        <v>18</v>
      </c>
      <c r="F1098" t="s">
        <v>147</v>
      </c>
      <c r="G1098">
        <v>91</v>
      </c>
      <c r="H1098">
        <v>145089</v>
      </c>
      <c r="I1098">
        <v>0</v>
      </c>
      <c r="J1098">
        <v>30</v>
      </c>
      <c r="K1098">
        <v>69</v>
      </c>
      <c r="L1098">
        <v>-145089</v>
      </c>
      <c r="M1098">
        <v>1</v>
      </c>
      <c r="N1098">
        <v>0</v>
      </c>
      <c r="O1098" s="1" t="s">
        <v>1917</v>
      </c>
      <c r="P1098">
        <v>0</v>
      </c>
      <c r="Q1098">
        <v>0</v>
      </c>
      <c r="R1098">
        <v>0</v>
      </c>
      <c r="S1098">
        <v>0</v>
      </c>
      <c r="T1098">
        <v>12.98266392</v>
      </c>
      <c r="U1098">
        <f t="shared" si="34"/>
        <v>0</v>
      </c>
      <c r="V1098">
        <f t="shared" si="35"/>
        <v>0</v>
      </c>
    </row>
    <row r="1099" spans="1:22" x14ac:dyDescent="0.2">
      <c r="A1099" t="s">
        <v>1849</v>
      </c>
      <c r="B1099" t="s">
        <v>26</v>
      </c>
      <c r="C1099" t="s">
        <v>76</v>
      </c>
      <c r="D1099" t="s">
        <v>77</v>
      </c>
      <c r="E1099">
        <v>11</v>
      </c>
      <c r="F1099" t="s">
        <v>127</v>
      </c>
      <c r="G1099">
        <v>63</v>
      </c>
      <c r="H1099">
        <v>118402</v>
      </c>
      <c r="I1099">
        <v>1311659</v>
      </c>
      <c r="J1099">
        <v>59</v>
      </c>
      <c r="K1099">
        <v>50</v>
      </c>
      <c r="L1099">
        <v>1193257</v>
      </c>
      <c r="M1099">
        <v>8.27950695809479E-2</v>
      </c>
      <c r="N1099">
        <v>0.91720493041905204</v>
      </c>
      <c r="O1099" s="1" t="s">
        <v>1918</v>
      </c>
      <c r="P1099">
        <v>0</v>
      </c>
      <c r="Q1099">
        <v>0</v>
      </c>
      <c r="R1099">
        <v>0</v>
      </c>
      <c r="S1099">
        <v>0</v>
      </c>
      <c r="T1099">
        <v>12.98266392</v>
      </c>
      <c r="U1099">
        <f t="shared" si="34"/>
        <v>0</v>
      </c>
      <c r="V1099">
        <f t="shared" si="35"/>
        <v>0</v>
      </c>
    </row>
    <row r="1100" spans="1:22" x14ac:dyDescent="0.2">
      <c r="A1100" t="s">
        <v>1849</v>
      </c>
      <c r="B1100" t="s">
        <v>26</v>
      </c>
      <c r="C1100" t="s">
        <v>76</v>
      </c>
      <c r="D1100" t="s">
        <v>77</v>
      </c>
      <c r="E1100">
        <v>20</v>
      </c>
      <c r="F1100" t="s">
        <v>104</v>
      </c>
      <c r="G1100">
        <v>96</v>
      </c>
      <c r="H1100">
        <v>64870</v>
      </c>
      <c r="I1100">
        <v>5432530</v>
      </c>
      <c r="J1100">
        <v>64</v>
      </c>
      <c r="K1100">
        <v>36</v>
      </c>
      <c r="L1100">
        <v>5367660</v>
      </c>
      <c r="M1100">
        <v>1.1800123694837499E-2</v>
      </c>
      <c r="N1100" s="1" t="s">
        <v>1919</v>
      </c>
      <c r="O1100" s="1" t="s">
        <v>1920</v>
      </c>
      <c r="P1100">
        <v>0</v>
      </c>
      <c r="Q1100">
        <v>0</v>
      </c>
      <c r="R1100">
        <v>0</v>
      </c>
      <c r="S1100">
        <v>0</v>
      </c>
      <c r="T1100">
        <v>12.98266392</v>
      </c>
      <c r="U1100">
        <f t="shared" si="34"/>
        <v>0</v>
      </c>
      <c r="V1100">
        <f t="shared" si="35"/>
        <v>0</v>
      </c>
    </row>
    <row r="1101" spans="1:22" x14ac:dyDescent="0.2">
      <c r="A1101" t="s">
        <v>1849</v>
      </c>
      <c r="B1101" t="s">
        <v>26</v>
      </c>
      <c r="C1101" t="s">
        <v>76</v>
      </c>
      <c r="D1101" t="s">
        <v>77</v>
      </c>
      <c r="E1101">
        <v>13</v>
      </c>
      <c r="F1101" t="s">
        <v>91</v>
      </c>
      <c r="G1101">
        <v>70</v>
      </c>
      <c r="H1101">
        <v>171794</v>
      </c>
      <c r="I1101">
        <v>153603</v>
      </c>
      <c r="J1101">
        <v>84</v>
      </c>
      <c r="K1101">
        <v>57</v>
      </c>
      <c r="L1101">
        <v>-18191</v>
      </c>
      <c r="M1101" s="1" t="s">
        <v>1921</v>
      </c>
      <c r="N1101" s="1" t="s">
        <v>1922</v>
      </c>
      <c r="O1101" s="1" t="s">
        <v>1923</v>
      </c>
      <c r="P1101">
        <v>0</v>
      </c>
      <c r="Q1101">
        <v>0</v>
      </c>
      <c r="R1101">
        <v>0</v>
      </c>
      <c r="S1101">
        <v>0</v>
      </c>
      <c r="T1101">
        <v>12.98266392</v>
      </c>
      <c r="U1101">
        <f t="shared" si="34"/>
        <v>0</v>
      </c>
      <c r="V1101">
        <f t="shared" si="35"/>
        <v>0</v>
      </c>
    </row>
    <row r="1102" spans="1:22" x14ac:dyDescent="0.2">
      <c r="A1102" t="s">
        <v>1849</v>
      </c>
      <c r="B1102" t="s">
        <v>26</v>
      </c>
      <c r="C1102" t="s">
        <v>76</v>
      </c>
      <c r="D1102" t="s">
        <v>77</v>
      </c>
      <c r="E1102" s="1" t="s">
        <v>163</v>
      </c>
      <c r="F1102" t="s">
        <v>224</v>
      </c>
      <c r="G1102">
        <v>41</v>
      </c>
      <c r="H1102">
        <v>4960</v>
      </c>
      <c r="I1102">
        <v>125484</v>
      </c>
      <c r="J1102">
        <v>54</v>
      </c>
      <c r="K1102">
        <v>48</v>
      </c>
      <c r="L1102">
        <v>120524</v>
      </c>
      <c r="M1102" s="1" t="s">
        <v>1924</v>
      </c>
      <c r="N1102" s="1" t="s">
        <v>1925</v>
      </c>
      <c r="O1102" s="1" t="s">
        <v>1926</v>
      </c>
      <c r="P1102">
        <v>0</v>
      </c>
      <c r="Q1102">
        <v>0</v>
      </c>
      <c r="R1102">
        <v>0</v>
      </c>
      <c r="S1102">
        <v>0</v>
      </c>
      <c r="T1102">
        <v>12.98266392</v>
      </c>
      <c r="U1102">
        <f t="shared" si="34"/>
        <v>0</v>
      </c>
      <c r="V1102">
        <f t="shared" si="35"/>
        <v>0</v>
      </c>
    </row>
    <row r="1103" spans="1:22" x14ac:dyDescent="0.2">
      <c r="A1103" t="s">
        <v>1849</v>
      </c>
      <c r="B1103" t="s">
        <v>26</v>
      </c>
      <c r="C1103" t="s">
        <v>76</v>
      </c>
      <c r="D1103" t="s">
        <v>77</v>
      </c>
      <c r="E1103" s="1" t="s">
        <v>138</v>
      </c>
      <c r="F1103" t="s">
        <v>139</v>
      </c>
      <c r="G1103">
        <v>24</v>
      </c>
      <c r="H1103">
        <v>130070</v>
      </c>
      <c r="I1103">
        <v>5688097</v>
      </c>
      <c r="J1103">
        <v>55</v>
      </c>
      <c r="K1103">
        <v>37</v>
      </c>
      <c r="L1103">
        <v>5558027</v>
      </c>
      <c r="M1103" s="1" t="s">
        <v>1927</v>
      </c>
      <c r="N1103" s="1" t="s">
        <v>1928</v>
      </c>
      <c r="O1103" s="1" t="s">
        <v>1929</v>
      </c>
      <c r="P1103">
        <v>0</v>
      </c>
      <c r="Q1103">
        <v>0</v>
      </c>
      <c r="R1103">
        <v>0</v>
      </c>
      <c r="S1103">
        <v>0</v>
      </c>
      <c r="T1103">
        <v>12.98266392</v>
      </c>
      <c r="U1103">
        <f t="shared" si="34"/>
        <v>0</v>
      </c>
      <c r="V1103">
        <f t="shared" si="35"/>
        <v>0</v>
      </c>
    </row>
    <row r="1104" spans="1:22" x14ac:dyDescent="0.2">
      <c r="A1104" t="s">
        <v>1849</v>
      </c>
      <c r="B1104" t="s">
        <v>26</v>
      </c>
      <c r="C1104" t="s">
        <v>76</v>
      </c>
      <c r="D1104" t="s">
        <v>77</v>
      </c>
      <c r="E1104">
        <v>15</v>
      </c>
      <c r="F1104" t="s">
        <v>88</v>
      </c>
      <c r="G1104">
        <v>75</v>
      </c>
      <c r="H1104">
        <v>26089942</v>
      </c>
      <c r="I1104">
        <v>28</v>
      </c>
      <c r="J1104">
        <v>21</v>
      </c>
      <c r="K1104">
        <v>51</v>
      </c>
      <c r="L1104">
        <v>-26089914</v>
      </c>
      <c r="M1104" s="1" t="s">
        <v>1930</v>
      </c>
      <c r="N1104" s="1" t="s">
        <v>1931</v>
      </c>
      <c r="O1104">
        <v>2.33088629312786E-3</v>
      </c>
      <c r="P1104">
        <v>0</v>
      </c>
      <c r="Q1104">
        <v>0</v>
      </c>
      <c r="R1104">
        <v>0</v>
      </c>
      <c r="S1104">
        <v>0</v>
      </c>
      <c r="T1104">
        <v>12.98266392</v>
      </c>
      <c r="U1104">
        <f t="shared" si="34"/>
        <v>0</v>
      </c>
      <c r="V1104">
        <f t="shared" si="35"/>
        <v>0</v>
      </c>
    </row>
    <row r="1105" spans="1:22" x14ac:dyDescent="0.2">
      <c r="A1105" t="s">
        <v>1849</v>
      </c>
      <c r="B1105" t="s">
        <v>26</v>
      </c>
      <c r="C1105" t="s">
        <v>76</v>
      </c>
      <c r="D1105" t="s">
        <v>77</v>
      </c>
      <c r="E1105">
        <v>10</v>
      </c>
      <c r="F1105" t="s">
        <v>119</v>
      </c>
      <c r="G1105">
        <v>49</v>
      </c>
      <c r="H1105">
        <v>73037</v>
      </c>
      <c r="I1105">
        <v>2108</v>
      </c>
      <c r="J1105">
        <v>68</v>
      </c>
      <c r="K1105">
        <v>78</v>
      </c>
      <c r="L1105">
        <v>-70929</v>
      </c>
      <c r="M1105">
        <v>0.97194756803513205</v>
      </c>
      <c r="N1105">
        <v>2.80524319648679E-2</v>
      </c>
      <c r="O1105" s="1" t="s">
        <v>1932</v>
      </c>
      <c r="P1105">
        <v>0</v>
      </c>
      <c r="Q1105">
        <v>0</v>
      </c>
      <c r="R1105">
        <v>0</v>
      </c>
      <c r="S1105">
        <v>0</v>
      </c>
      <c r="T1105">
        <v>12.98266392</v>
      </c>
      <c r="U1105">
        <f t="shared" si="34"/>
        <v>0</v>
      </c>
      <c r="V1105">
        <f t="shared" si="35"/>
        <v>0</v>
      </c>
    </row>
    <row r="1106" spans="1:22" x14ac:dyDescent="0.2">
      <c r="A1106" t="s">
        <v>1849</v>
      </c>
      <c r="B1106" t="s">
        <v>26</v>
      </c>
      <c r="C1106" t="s">
        <v>76</v>
      </c>
      <c r="D1106" t="s">
        <v>77</v>
      </c>
      <c r="E1106">
        <v>11</v>
      </c>
      <c r="F1106" t="s">
        <v>127</v>
      </c>
      <c r="G1106">
        <v>62</v>
      </c>
      <c r="H1106">
        <v>76910</v>
      </c>
      <c r="I1106">
        <v>93078710</v>
      </c>
      <c r="J1106">
        <v>67</v>
      </c>
      <c r="K1106">
        <v>18</v>
      </c>
      <c r="L1106">
        <v>93001800</v>
      </c>
      <c r="M1106" s="1" t="s">
        <v>1933</v>
      </c>
      <c r="N1106" s="1" t="s">
        <v>1934</v>
      </c>
      <c r="O1106">
        <v>8.3225529882106995E-3</v>
      </c>
      <c r="P1106">
        <v>0</v>
      </c>
      <c r="Q1106">
        <v>0</v>
      </c>
      <c r="R1106">
        <v>0</v>
      </c>
      <c r="S1106">
        <v>0</v>
      </c>
      <c r="T1106">
        <v>12.98266392</v>
      </c>
      <c r="U1106">
        <f t="shared" si="34"/>
        <v>0</v>
      </c>
      <c r="V1106">
        <f t="shared" si="35"/>
        <v>0</v>
      </c>
    </row>
    <row r="1107" spans="1:22" x14ac:dyDescent="0.2">
      <c r="A1107" t="s">
        <v>1849</v>
      </c>
      <c r="B1107" t="s">
        <v>26</v>
      </c>
      <c r="C1107" t="s">
        <v>76</v>
      </c>
      <c r="D1107" t="s">
        <v>77</v>
      </c>
      <c r="E1107" s="1" t="s">
        <v>89</v>
      </c>
      <c r="F1107" t="s">
        <v>90</v>
      </c>
      <c r="G1107">
        <v>34</v>
      </c>
      <c r="H1107">
        <v>152021</v>
      </c>
      <c r="I1107">
        <v>14525860</v>
      </c>
      <c r="J1107">
        <v>80</v>
      </c>
      <c r="K1107">
        <v>31</v>
      </c>
      <c r="L1107">
        <v>14373839</v>
      </c>
      <c r="M1107" s="1" t="s">
        <v>1935</v>
      </c>
      <c r="N1107" s="1" t="s">
        <v>1936</v>
      </c>
      <c r="O1107">
        <v>1.3113265992663701E-3</v>
      </c>
      <c r="P1107">
        <v>0</v>
      </c>
      <c r="Q1107">
        <v>0</v>
      </c>
      <c r="R1107">
        <v>0</v>
      </c>
      <c r="S1107">
        <v>0</v>
      </c>
      <c r="T1107">
        <v>12.98266392</v>
      </c>
      <c r="U1107">
        <f t="shared" si="34"/>
        <v>0</v>
      </c>
      <c r="V1107">
        <f t="shared" si="35"/>
        <v>0</v>
      </c>
    </row>
    <row r="1108" spans="1:22" x14ac:dyDescent="0.2">
      <c r="A1108" t="s">
        <v>1849</v>
      </c>
      <c r="B1108" t="s">
        <v>26</v>
      </c>
      <c r="C1108" t="s">
        <v>76</v>
      </c>
      <c r="D1108" t="s">
        <v>77</v>
      </c>
      <c r="E1108" s="1" t="s">
        <v>110</v>
      </c>
      <c r="F1108" t="s">
        <v>111</v>
      </c>
      <c r="G1108">
        <v>15</v>
      </c>
      <c r="H1108">
        <v>39644</v>
      </c>
      <c r="I1108">
        <v>2435019771</v>
      </c>
      <c r="J1108">
        <v>89</v>
      </c>
      <c r="K1108">
        <v>1</v>
      </c>
      <c r="L1108">
        <v>2434980127</v>
      </c>
      <c r="M1108" s="1" t="s">
        <v>1937</v>
      </c>
      <c r="N1108" s="1" t="s">
        <v>1938</v>
      </c>
      <c r="O1108" s="1" t="s">
        <v>1939</v>
      </c>
      <c r="P1108">
        <v>0</v>
      </c>
      <c r="Q1108">
        <v>1</v>
      </c>
      <c r="R1108">
        <v>0</v>
      </c>
      <c r="S1108">
        <v>1</v>
      </c>
      <c r="T1108">
        <v>12.98266392</v>
      </c>
      <c r="U1108">
        <f t="shared" si="34"/>
        <v>1</v>
      </c>
      <c r="V1108">
        <f t="shared" si="35"/>
        <v>1</v>
      </c>
    </row>
    <row r="1109" spans="1:22" x14ac:dyDescent="0.2">
      <c r="A1109" t="s">
        <v>1849</v>
      </c>
      <c r="B1109" t="s">
        <v>26</v>
      </c>
      <c r="C1109" t="s">
        <v>76</v>
      </c>
      <c r="D1109" t="s">
        <v>77</v>
      </c>
      <c r="E1109">
        <v>11</v>
      </c>
      <c r="F1109" t="s">
        <v>127</v>
      </c>
      <c r="G1109">
        <v>60</v>
      </c>
      <c r="H1109">
        <v>460</v>
      </c>
      <c r="I1109">
        <v>34080</v>
      </c>
      <c r="J1109">
        <v>47</v>
      </c>
      <c r="K1109">
        <v>47</v>
      </c>
      <c r="L1109">
        <v>33620</v>
      </c>
      <c r="M1109" s="1" t="s">
        <v>1940</v>
      </c>
      <c r="N1109">
        <v>0.986682107701216</v>
      </c>
      <c r="O1109" s="1" t="s">
        <v>1941</v>
      </c>
      <c r="P1109">
        <v>0</v>
      </c>
      <c r="Q1109">
        <v>0</v>
      </c>
      <c r="R1109">
        <v>0</v>
      </c>
      <c r="S1109">
        <v>0</v>
      </c>
      <c r="T1109">
        <v>12.98266392</v>
      </c>
      <c r="U1109">
        <f t="shared" si="34"/>
        <v>0</v>
      </c>
      <c r="V1109">
        <f t="shared" si="35"/>
        <v>0</v>
      </c>
    </row>
    <row r="1110" spans="1:22" x14ac:dyDescent="0.2">
      <c r="A1110" t="s">
        <v>1849</v>
      </c>
      <c r="B1110" t="s">
        <v>26</v>
      </c>
      <c r="C1110" t="s">
        <v>76</v>
      </c>
      <c r="D1110" t="s">
        <v>77</v>
      </c>
      <c r="E1110" s="1" t="s">
        <v>163</v>
      </c>
      <c r="F1110" t="s">
        <v>224</v>
      </c>
      <c r="G1110">
        <v>42</v>
      </c>
      <c r="H1110">
        <v>25642</v>
      </c>
      <c r="I1110">
        <v>6835152</v>
      </c>
      <c r="J1110">
        <v>57</v>
      </c>
      <c r="K1110">
        <v>28</v>
      </c>
      <c r="L1110">
        <v>6809510</v>
      </c>
      <c r="M1110">
        <v>3.7374682871982399E-3</v>
      </c>
      <c r="N1110" s="1" t="s">
        <v>1942</v>
      </c>
      <c r="O1110" s="1" t="s">
        <v>1943</v>
      </c>
      <c r="P1110">
        <v>0</v>
      </c>
      <c r="Q1110">
        <v>0</v>
      </c>
      <c r="R1110">
        <v>0</v>
      </c>
      <c r="S1110">
        <v>0</v>
      </c>
      <c r="T1110">
        <v>12.98266392</v>
      </c>
      <c r="U1110">
        <f t="shared" si="34"/>
        <v>0</v>
      </c>
      <c r="V1110">
        <f t="shared" si="35"/>
        <v>0</v>
      </c>
    </row>
    <row r="1111" spans="1:22" x14ac:dyDescent="0.2">
      <c r="A1111" t="s">
        <v>1849</v>
      </c>
      <c r="B1111" t="s">
        <v>26</v>
      </c>
      <c r="C1111" t="s">
        <v>76</v>
      </c>
      <c r="D1111" t="s">
        <v>77</v>
      </c>
      <c r="E1111">
        <v>12</v>
      </c>
      <c r="F1111" t="s">
        <v>194</v>
      </c>
      <c r="G1111">
        <v>66</v>
      </c>
      <c r="H1111">
        <v>487</v>
      </c>
      <c r="I1111">
        <v>7650</v>
      </c>
      <c r="J1111">
        <v>45</v>
      </c>
      <c r="K1111">
        <v>42</v>
      </c>
      <c r="L1111">
        <v>7163</v>
      </c>
      <c r="M1111">
        <v>5.9850067592478802E-2</v>
      </c>
      <c r="N1111" s="1" t="s">
        <v>1944</v>
      </c>
      <c r="O1111" s="1" t="s">
        <v>1945</v>
      </c>
      <c r="P1111">
        <v>0</v>
      </c>
      <c r="Q1111">
        <v>0</v>
      </c>
      <c r="R1111">
        <v>0</v>
      </c>
      <c r="S1111">
        <v>0</v>
      </c>
      <c r="T1111">
        <v>12.98266392</v>
      </c>
      <c r="U1111">
        <f t="shared" si="34"/>
        <v>0</v>
      </c>
      <c r="V1111">
        <f t="shared" si="35"/>
        <v>0</v>
      </c>
    </row>
    <row r="1112" spans="1:22" x14ac:dyDescent="0.2">
      <c r="A1112" t="s">
        <v>1849</v>
      </c>
      <c r="B1112" t="s">
        <v>26</v>
      </c>
      <c r="C1112" t="s">
        <v>76</v>
      </c>
      <c r="D1112" t="s">
        <v>77</v>
      </c>
      <c r="E1112">
        <v>11</v>
      </c>
      <c r="F1112" t="s">
        <v>127</v>
      </c>
      <c r="G1112">
        <v>55</v>
      </c>
      <c r="H1112">
        <v>278165</v>
      </c>
      <c r="I1112">
        <v>44945211</v>
      </c>
      <c r="J1112">
        <v>24</v>
      </c>
      <c r="K1112">
        <v>11</v>
      </c>
      <c r="L1112">
        <v>44667046</v>
      </c>
      <c r="M1112">
        <v>6.15091186469581E-3</v>
      </c>
      <c r="N1112" s="1" t="s">
        <v>1946</v>
      </c>
      <c r="O1112">
        <v>4.0402709258526301E-3</v>
      </c>
      <c r="P1112">
        <v>0</v>
      </c>
      <c r="Q1112">
        <v>0</v>
      </c>
      <c r="R1112">
        <v>0</v>
      </c>
      <c r="S1112">
        <v>0</v>
      </c>
      <c r="T1112">
        <v>12.98266392</v>
      </c>
      <c r="U1112">
        <f t="shared" si="34"/>
        <v>0</v>
      </c>
      <c r="V1112">
        <f t="shared" si="35"/>
        <v>0</v>
      </c>
    </row>
    <row r="1113" spans="1:22" x14ac:dyDescent="0.2">
      <c r="A1113" t="s">
        <v>1849</v>
      </c>
      <c r="B1113" t="s">
        <v>26</v>
      </c>
      <c r="C1113" t="s">
        <v>76</v>
      </c>
      <c r="D1113" t="s">
        <v>77</v>
      </c>
      <c r="E1113" s="1" t="s">
        <v>138</v>
      </c>
      <c r="F1113" t="s">
        <v>139</v>
      </c>
      <c r="G1113">
        <v>18</v>
      </c>
      <c r="H1113">
        <v>6847</v>
      </c>
      <c r="I1113">
        <v>162760087</v>
      </c>
      <c r="J1113">
        <v>89</v>
      </c>
      <c r="K1113">
        <v>7</v>
      </c>
      <c r="L1113">
        <v>162753240</v>
      </c>
      <c r="M1113" s="1" t="s">
        <v>1947</v>
      </c>
      <c r="N1113">
        <v>0.99995793371643904</v>
      </c>
      <c r="O1113" s="1" t="s">
        <v>1948</v>
      </c>
      <c r="P1113">
        <v>0</v>
      </c>
      <c r="Q1113">
        <v>0</v>
      </c>
      <c r="R1113">
        <v>0</v>
      </c>
      <c r="S1113">
        <v>1</v>
      </c>
      <c r="T1113">
        <v>12.98266392</v>
      </c>
      <c r="U1113">
        <f t="shared" si="34"/>
        <v>0</v>
      </c>
      <c r="V1113">
        <f t="shared" si="35"/>
        <v>1</v>
      </c>
    </row>
    <row r="1114" spans="1:22" x14ac:dyDescent="0.2">
      <c r="A1114" t="s">
        <v>1849</v>
      </c>
      <c r="B1114" t="s">
        <v>26</v>
      </c>
      <c r="C1114" t="s">
        <v>76</v>
      </c>
      <c r="D1114" t="s">
        <v>77</v>
      </c>
      <c r="E1114">
        <v>11</v>
      </c>
      <c r="F1114" t="s">
        <v>127</v>
      </c>
      <c r="G1114">
        <v>58</v>
      </c>
      <c r="H1114">
        <v>3945</v>
      </c>
      <c r="I1114">
        <v>617262</v>
      </c>
      <c r="J1114">
        <v>44</v>
      </c>
      <c r="K1114">
        <v>33</v>
      </c>
      <c r="L1114">
        <v>613317</v>
      </c>
      <c r="M1114">
        <v>6.3505401581115404E-3</v>
      </c>
      <c r="N1114" s="1" t="s">
        <v>1949</v>
      </c>
      <c r="O1114" s="1" t="s">
        <v>1950</v>
      </c>
      <c r="P1114">
        <v>0</v>
      </c>
      <c r="Q1114">
        <v>0</v>
      </c>
      <c r="R1114">
        <v>0</v>
      </c>
      <c r="S1114">
        <v>0</v>
      </c>
      <c r="T1114">
        <v>12.98266392</v>
      </c>
      <c r="U1114">
        <f t="shared" si="34"/>
        <v>0</v>
      </c>
      <c r="V1114">
        <f t="shared" si="35"/>
        <v>0</v>
      </c>
    </row>
    <row r="1115" spans="1:22" x14ac:dyDescent="0.2">
      <c r="A1115" t="s">
        <v>1849</v>
      </c>
      <c r="B1115" t="s">
        <v>26</v>
      </c>
      <c r="C1115" t="s">
        <v>76</v>
      </c>
      <c r="D1115" t="s">
        <v>77</v>
      </c>
      <c r="E1115">
        <v>11</v>
      </c>
      <c r="F1115" t="s">
        <v>127</v>
      </c>
      <c r="G1115">
        <v>52</v>
      </c>
      <c r="H1115">
        <v>162</v>
      </c>
      <c r="I1115">
        <v>38118750</v>
      </c>
      <c r="J1115">
        <v>72</v>
      </c>
      <c r="K1115">
        <v>10</v>
      </c>
      <c r="L1115">
        <v>38118588</v>
      </c>
      <c r="M1115" s="1" t="s">
        <v>1951</v>
      </c>
      <c r="N1115" s="1" t="s">
        <v>1952</v>
      </c>
      <c r="O1115">
        <v>3.4055558319824402E-3</v>
      </c>
      <c r="P1115">
        <v>0</v>
      </c>
      <c r="Q1115">
        <v>0</v>
      </c>
      <c r="R1115">
        <v>0</v>
      </c>
      <c r="S1115">
        <v>1</v>
      </c>
      <c r="T1115">
        <v>12.98266392</v>
      </c>
      <c r="U1115">
        <f t="shared" si="34"/>
        <v>0</v>
      </c>
      <c r="V1115">
        <f t="shared" si="35"/>
        <v>1</v>
      </c>
    </row>
    <row r="1116" spans="1:22" x14ac:dyDescent="0.2">
      <c r="A1116" t="s">
        <v>1849</v>
      </c>
      <c r="B1116" t="s">
        <v>26</v>
      </c>
      <c r="C1116" t="s">
        <v>76</v>
      </c>
      <c r="D1116" t="s">
        <v>77</v>
      </c>
      <c r="E1116">
        <v>21</v>
      </c>
      <c r="F1116" t="s">
        <v>212</v>
      </c>
      <c r="G1116">
        <v>97</v>
      </c>
      <c r="H1116">
        <v>949</v>
      </c>
      <c r="I1116">
        <v>34853</v>
      </c>
      <c r="J1116">
        <v>83</v>
      </c>
      <c r="K1116">
        <v>47</v>
      </c>
      <c r="L1116">
        <v>33904</v>
      </c>
      <c r="M1116" s="1" t="s">
        <v>1953</v>
      </c>
      <c r="N1116" s="1" t="s">
        <v>1954</v>
      </c>
      <c r="O1116" s="1" t="s">
        <v>1955</v>
      </c>
      <c r="P1116">
        <v>0</v>
      </c>
      <c r="Q1116">
        <v>0</v>
      </c>
      <c r="R1116">
        <v>0</v>
      </c>
      <c r="S1116">
        <v>0</v>
      </c>
      <c r="T1116">
        <v>12.98266392</v>
      </c>
      <c r="U1116">
        <f t="shared" si="34"/>
        <v>0</v>
      </c>
      <c r="V1116">
        <f t="shared" si="35"/>
        <v>0</v>
      </c>
    </row>
    <row r="1117" spans="1:22" x14ac:dyDescent="0.2">
      <c r="A1117" t="s">
        <v>1849</v>
      </c>
      <c r="B1117" t="s">
        <v>26</v>
      </c>
      <c r="C1117" t="s">
        <v>76</v>
      </c>
      <c r="D1117" t="s">
        <v>77</v>
      </c>
      <c r="E1117" s="1" t="s">
        <v>138</v>
      </c>
      <c r="F1117" t="s">
        <v>139</v>
      </c>
      <c r="G1117">
        <v>16</v>
      </c>
      <c r="H1117">
        <v>195</v>
      </c>
      <c r="I1117">
        <v>11369417</v>
      </c>
      <c r="J1117">
        <v>79</v>
      </c>
      <c r="K1117">
        <v>15</v>
      </c>
      <c r="L1117">
        <v>11369222</v>
      </c>
      <c r="M1117" s="1" t="s">
        <v>1956</v>
      </c>
      <c r="N1117" s="1" t="s">
        <v>1957</v>
      </c>
      <c r="O1117">
        <v>1.01576478504889E-3</v>
      </c>
      <c r="P1117">
        <v>0</v>
      </c>
      <c r="Q1117">
        <v>0</v>
      </c>
      <c r="R1117">
        <v>0</v>
      </c>
      <c r="S1117">
        <v>0</v>
      </c>
      <c r="T1117">
        <v>12.98266392</v>
      </c>
      <c r="U1117">
        <f t="shared" si="34"/>
        <v>0</v>
      </c>
      <c r="V1117">
        <f t="shared" si="35"/>
        <v>0</v>
      </c>
    </row>
    <row r="1118" spans="1:22" x14ac:dyDescent="0.2">
      <c r="A1118" t="s">
        <v>1849</v>
      </c>
      <c r="B1118" t="s">
        <v>26</v>
      </c>
      <c r="C1118" t="s">
        <v>76</v>
      </c>
      <c r="D1118" t="s">
        <v>77</v>
      </c>
      <c r="E1118">
        <v>11</v>
      </c>
      <c r="F1118" t="s">
        <v>127</v>
      </c>
      <c r="G1118">
        <v>57</v>
      </c>
      <c r="H1118">
        <v>75</v>
      </c>
      <c r="I1118">
        <v>837766</v>
      </c>
      <c r="J1118">
        <v>88</v>
      </c>
      <c r="K1118">
        <v>38</v>
      </c>
      <c r="L1118">
        <v>837691</v>
      </c>
      <c r="M1118" s="1" t="s">
        <v>1958</v>
      </c>
      <c r="N1118" s="1" t="s">
        <v>1959</v>
      </c>
      <c r="O1118" s="1" t="s">
        <v>1960</v>
      </c>
      <c r="P1118">
        <v>0</v>
      </c>
      <c r="Q1118">
        <v>0</v>
      </c>
      <c r="R1118">
        <v>0</v>
      </c>
      <c r="S1118">
        <v>0</v>
      </c>
      <c r="T1118">
        <v>12.98266392</v>
      </c>
      <c r="U1118">
        <f t="shared" si="34"/>
        <v>0</v>
      </c>
      <c r="V1118">
        <f t="shared" si="35"/>
        <v>0</v>
      </c>
    </row>
    <row r="1119" spans="1:22" x14ac:dyDescent="0.2">
      <c r="A1119" t="s">
        <v>1849</v>
      </c>
      <c r="B1119" t="s">
        <v>26</v>
      </c>
      <c r="C1119" t="s">
        <v>76</v>
      </c>
      <c r="D1119" t="s">
        <v>77</v>
      </c>
      <c r="E1119" s="1" t="s">
        <v>82</v>
      </c>
      <c r="F1119" t="s">
        <v>83</v>
      </c>
      <c r="G1119" s="1" t="s">
        <v>89</v>
      </c>
      <c r="H1119">
        <v>2111</v>
      </c>
      <c r="I1119">
        <v>9745</v>
      </c>
      <c r="J1119">
        <v>35</v>
      </c>
      <c r="K1119">
        <v>59</v>
      </c>
      <c r="L1119">
        <v>7634</v>
      </c>
      <c r="M1119" s="1" t="s">
        <v>1961</v>
      </c>
      <c r="N1119">
        <v>0.82194669365721995</v>
      </c>
      <c r="O1119" s="1" t="s">
        <v>1962</v>
      </c>
      <c r="P1119">
        <v>0</v>
      </c>
      <c r="Q1119">
        <v>0</v>
      </c>
      <c r="R1119">
        <v>0</v>
      </c>
      <c r="S1119">
        <v>0</v>
      </c>
      <c r="T1119">
        <v>12.98266392</v>
      </c>
      <c r="U1119">
        <f t="shared" si="34"/>
        <v>0</v>
      </c>
      <c r="V1119">
        <f t="shared" si="35"/>
        <v>0</v>
      </c>
    </row>
    <row r="1120" spans="1:22" x14ac:dyDescent="0.2">
      <c r="A1120" t="s">
        <v>1849</v>
      </c>
      <c r="B1120" t="s">
        <v>26</v>
      </c>
      <c r="C1120" t="s">
        <v>76</v>
      </c>
      <c r="D1120" t="s">
        <v>77</v>
      </c>
      <c r="E1120" s="1" t="s">
        <v>82</v>
      </c>
      <c r="F1120" t="s">
        <v>83</v>
      </c>
      <c r="G1120">
        <v>12</v>
      </c>
      <c r="H1120">
        <v>72848</v>
      </c>
      <c r="I1120">
        <v>902083</v>
      </c>
      <c r="J1120">
        <v>74</v>
      </c>
      <c r="K1120">
        <v>46</v>
      </c>
      <c r="L1120">
        <v>829235</v>
      </c>
      <c r="M1120">
        <v>7.4721185396710105E-2</v>
      </c>
      <c r="N1120" s="1" t="s">
        <v>1963</v>
      </c>
      <c r="O1120" s="1" t="s">
        <v>1964</v>
      </c>
      <c r="P1120">
        <v>0</v>
      </c>
      <c r="Q1120">
        <v>0</v>
      </c>
      <c r="R1120">
        <v>0</v>
      </c>
      <c r="S1120">
        <v>0</v>
      </c>
      <c r="T1120">
        <v>12.98266392</v>
      </c>
      <c r="U1120">
        <f t="shared" si="34"/>
        <v>0</v>
      </c>
      <c r="V1120">
        <f t="shared" si="35"/>
        <v>0</v>
      </c>
    </row>
    <row r="1121" spans="1:22" x14ac:dyDescent="0.2">
      <c r="A1121" t="s">
        <v>1849</v>
      </c>
      <c r="B1121" t="s">
        <v>26</v>
      </c>
      <c r="C1121" t="s">
        <v>76</v>
      </c>
      <c r="D1121" t="s">
        <v>77</v>
      </c>
      <c r="E1121" s="1" t="s">
        <v>93</v>
      </c>
      <c r="F1121" t="s">
        <v>94</v>
      </c>
      <c r="G1121">
        <v>46</v>
      </c>
      <c r="H1121">
        <v>0</v>
      </c>
      <c r="I1121">
        <v>1029044</v>
      </c>
      <c r="J1121">
        <v>47</v>
      </c>
      <c r="K1121">
        <v>8</v>
      </c>
      <c r="L1121">
        <v>1029044</v>
      </c>
      <c r="M1121">
        <v>0</v>
      </c>
      <c r="N1121">
        <v>1</v>
      </c>
      <c r="O1121" s="1" t="s">
        <v>1965</v>
      </c>
      <c r="P1121">
        <v>0</v>
      </c>
      <c r="Q1121">
        <v>0</v>
      </c>
      <c r="R1121">
        <v>0</v>
      </c>
      <c r="S1121">
        <v>1</v>
      </c>
      <c r="T1121">
        <v>12.98266392</v>
      </c>
      <c r="U1121">
        <f t="shared" si="34"/>
        <v>0</v>
      </c>
      <c r="V1121">
        <f t="shared" si="35"/>
        <v>1</v>
      </c>
    </row>
    <row r="1122" spans="1:22" x14ac:dyDescent="0.2">
      <c r="A1122" t="s">
        <v>1849</v>
      </c>
      <c r="B1122" t="s">
        <v>26</v>
      </c>
      <c r="C1122" t="s">
        <v>76</v>
      </c>
      <c r="D1122" t="s">
        <v>77</v>
      </c>
      <c r="E1122" s="1" t="s">
        <v>82</v>
      </c>
      <c r="F1122" t="s">
        <v>83</v>
      </c>
      <c r="G1122">
        <v>14</v>
      </c>
      <c r="H1122">
        <v>0</v>
      </c>
      <c r="I1122">
        <v>4879</v>
      </c>
      <c r="J1122">
        <v>41</v>
      </c>
      <c r="K1122">
        <v>37</v>
      </c>
      <c r="L1122">
        <v>4879</v>
      </c>
      <c r="M1122">
        <v>0</v>
      </c>
      <c r="N1122">
        <v>1</v>
      </c>
      <c r="O1122" s="1" t="s">
        <v>1966</v>
      </c>
      <c r="P1122">
        <v>0</v>
      </c>
      <c r="Q1122">
        <v>0</v>
      </c>
      <c r="R1122">
        <v>0</v>
      </c>
      <c r="S1122">
        <v>0</v>
      </c>
      <c r="T1122">
        <v>12.98266392</v>
      </c>
      <c r="U1122">
        <f t="shared" si="34"/>
        <v>0</v>
      </c>
      <c r="V1122">
        <f t="shared" si="35"/>
        <v>0</v>
      </c>
    </row>
    <row r="1123" spans="1:22" x14ac:dyDescent="0.2">
      <c r="A1123" t="s">
        <v>1849</v>
      </c>
      <c r="B1123" t="s">
        <v>26</v>
      </c>
      <c r="C1123" t="s">
        <v>76</v>
      </c>
      <c r="D1123" t="s">
        <v>77</v>
      </c>
      <c r="E1123">
        <v>11</v>
      </c>
      <c r="F1123" t="s">
        <v>127</v>
      </c>
      <c r="G1123">
        <v>61</v>
      </c>
      <c r="H1123">
        <v>45770</v>
      </c>
      <c r="I1123">
        <v>68908162</v>
      </c>
      <c r="J1123">
        <v>64</v>
      </c>
      <c r="K1123">
        <v>23</v>
      </c>
      <c r="L1123">
        <v>68862392</v>
      </c>
      <c r="M1123" s="1" t="s">
        <v>1967</v>
      </c>
      <c r="N1123">
        <v>0.99933622349483997</v>
      </c>
      <c r="O1123">
        <v>6.1603664149890002E-3</v>
      </c>
      <c r="P1123">
        <v>0</v>
      </c>
      <c r="Q1123">
        <v>0</v>
      </c>
      <c r="R1123">
        <v>0</v>
      </c>
      <c r="S1123">
        <v>0</v>
      </c>
      <c r="T1123">
        <v>12.98266392</v>
      </c>
      <c r="U1123">
        <f t="shared" si="34"/>
        <v>0</v>
      </c>
      <c r="V1123">
        <f t="shared" si="35"/>
        <v>0</v>
      </c>
    </row>
    <row r="1124" spans="1:22" x14ac:dyDescent="0.2">
      <c r="A1124" t="s">
        <v>1849</v>
      </c>
      <c r="B1124" t="s">
        <v>26</v>
      </c>
      <c r="C1124" t="s">
        <v>76</v>
      </c>
      <c r="D1124" t="s">
        <v>77</v>
      </c>
      <c r="E1124" s="1" t="s">
        <v>82</v>
      </c>
      <c r="F1124" t="s">
        <v>83</v>
      </c>
      <c r="G1124" s="1" t="s">
        <v>163</v>
      </c>
      <c r="H1124">
        <v>172</v>
      </c>
      <c r="I1124">
        <v>58518087</v>
      </c>
      <c r="J1124">
        <v>69</v>
      </c>
      <c r="K1124">
        <v>32</v>
      </c>
      <c r="L1124">
        <v>58517915</v>
      </c>
      <c r="M1124" s="1" t="s">
        <v>1968</v>
      </c>
      <c r="N1124" s="1" t="s">
        <v>1969</v>
      </c>
      <c r="O1124">
        <v>5.2280400399389504E-3</v>
      </c>
      <c r="P1124">
        <v>0</v>
      </c>
      <c r="Q1124">
        <v>0</v>
      </c>
      <c r="R1124">
        <v>0</v>
      </c>
      <c r="S1124">
        <v>0</v>
      </c>
      <c r="T1124">
        <v>12.98266392</v>
      </c>
      <c r="U1124">
        <f t="shared" si="34"/>
        <v>0</v>
      </c>
      <c r="V1124">
        <f t="shared" si="35"/>
        <v>0</v>
      </c>
    </row>
    <row r="1125" spans="1:22" x14ac:dyDescent="0.2">
      <c r="A1125" t="s">
        <v>1849</v>
      </c>
      <c r="B1125" t="s">
        <v>26</v>
      </c>
      <c r="C1125" t="s">
        <v>76</v>
      </c>
      <c r="D1125" t="s">
        <v>77</v>
      </c>
      <c r="E1125">
        <v>12</v>
      </c>
      <c r="F1125" t="s">
        <v>194</v>
      </c>
      <c r="G1125">
        <v>64</v>
      </c>
      <c r="H1125">
        <v>749174</v>
      </c>
      <c r="I1125">
        <v>227336099</v>
      </c>
      <c r="J1125">
        <v>31</v>
      </c>
      <c r="K1125">
        <v>8</v>
      </c>
      <c r="L1125">
        <v>226586925</v>
      </c>
      <c r="M1125">
        <v>3.2846224140038998E-3</v>
      </c>
      <c r="N1125">
        <v>0.99671537758599604</v>
      </c>
      <c r="O1125" s="1" t="s">
        <v>1970</v>
      </c>
      <c r="P1125">
        <v>0</v>
      </c>
      <c r="Q1125">
        <v>0</v>
      </c>
      <c r="R1125">
        <v>0</v>
      </c>
      <c r="S1125">
        <v>1</v>
      </c>
      <c r="T1125">
        <v>12.98266392</v>
      </c>
      <c r="U1125">
        <f t="shared" si="34"/>
        <v>0</v>
      </c>
      <c r="V1125">
        <f t="shared" si="35"/>
        <v>1</v>
      </c>
    </row>
    <row r="1126" spans="1:22" x14ac:dyDescent="0.2">
      <c r="A1126" t="s">
        <v>1849</v>
      </c>
      <c r="B1126" t="s">
        <v>26</v>
      </c>
      <c r="C1126" t="s">
        <v>76</v>
      </c>
      <c r="D1126" t="s">
        <v>77</v>
      </c>
      <c r="E1126">
        <v>12</v>
      </c>
      <c r="F1126" t="s">
        <v>194</v>
      </c>
      <c r="G1126">
        <v>67</v>
      </c>
      <c r="H1126">
        <v>1711</v>
      </c>
      <c r="I1126">
        <v>120628</v>
      </c>
      <c r="J1126">
        <v>56</v>
      </c>
      <c r="K1126">
        <v>27</v>
      </c>
      <c r="L1126">
        <v>118917</v>
      </c>
      <c r="M1126" s="1" t="s">
        <v>1971</v>
      </c>
      <c r="N1126" s="1" t="s">
        <v>1972</v>
      </c>
      <c r="O1126" s="1" t="s">
        <v>1973</v>
      </c>
      <c r="P1126">
        <v>0</v>
      </c>
      <c r="Q1126">
        <v>0</v>
      </c>
      <c r="R1126">
        <v>0</v>
      </c>
      <c r="S1126">
        <v>0</v>
      </c>
      <c r="T1126">
        <v>12.98266392</v>
      </c>
      <c r="U1126">
        <f t="shared" si="34"/>
        <v>0</v>
      </c>
      <c r="V1126">
        <f t="shared" si="35"/>
        <v>0</v>
      </c>
    </row>
    <row r="1127" spans="1:22" x14ac:dyDescent="0.2">
      <c r="A1127" t="s">
        <v>1849</v>
      </c>
      <c r="B1127" t="s">
        <v>26</v>
      </c>
      <c r="C1127" t="s">
        <v>76</v>
      </c>
      <c r="D1127" t="s">
        <v>77</v>
      </c>
      <c r="E1127" s="1" t="s">
        <v>138</v>
      </c>
      <c r="F1127" t="s">
        <v>139</v>
      </c>
      <c r="G1127">
        <v>17</v>
      </c>
      <c r="H1127">
        <v>1944697</v>
      </c>
      <c r="I1127">
        <v>2189710</v>
      </c>
      <c r="J1127">
        <v>48</v>
      </c>
      <c r="K1127">
        <v>38</v>
      </c>
      <c r="L1127">
        <v>245013</v>
      </c>
      <c r="M1127" s="1" t="s">
        <v>1974</v>
      </c>
      <c r="N1127">
        <v>0.52963097247077995</v>
      </c>
      <c r="O1127" s="1" t="s">
        <v>1975</v>
      </c>
      <c r="P1127">
        <v>0</v>
      </c>
      <c r="Q1127">
        <v>0</v>
      </c>
      <c r="R1127">
        <v>0</v>
      </c>
      <c r="S1127">
        <v>0</v>
      </c>
      <c r="T1127">
        <v>12.98266392</v>
      </c>
      <c r="U1127">
        <f t="shared" si="34"/>
        <v>0</v>
      </c>
      <c r="V1127">
        <f t="shared" si="35"/>
        <v>0</v>
      </c>
    </row>
    <row r="1128" spans="1:22" x14ac:dyDescent="0.2">
      <c r="A1128" t="s">
        <v>1849</v>
      </c>
      <c r="B1128" t="s">
        <v>26</v>
      </c>
      <c r="C1128" t="s">
        <v>76</v>
      </c>
      <c r="D1128" t="s">
        <v>77</v>
      </c>
      <c r="E1128">
        <v>15</v>
      </c>
      <c r="F1128" t="s">
        <v>88</v>
      </c>
      <c r="G1128">
        <v>81</v>
      </c>
      <c r="H1128">
        <v>311350</v>
      </c>
      <c r="I1128">
        <v>1792</v>
      </c>
      <c r="J1128">
        <v>53</v>
      </c>
      <c r="K1128">
        <v>56</v>
      </c>
      <c r="L1128">
        <v>-309558</v>
      </c>
      <c r="M1128" s="1" t="s">
        <v>1976</v>
      </c>
      <c r="N1128">
        <v>5.7226434013961701E-3</v>
      </c>
      <c r="O1128" s="1" t="s">
        <v>1977</v>
      </c>
      <c r="P1128">
        <v>0</v>
      </c>
      <c r="Q1128">
        <v>0</v>
      </c>
      <c r="R1128">
        <v>0</v>
      </c>
      <c r="S1128">
        <v>0</v>
      </c>
      <c r="T1128">
        <v>12.98266392</v>
      </c>
      <c r="U1128">
        <f t="shared" si="34"/>
        <v>0</v>
      </c>
      <c r="V1128">
        <f t="shared" si="35"/>
        <v>0</v>
      </c>
    </row>
    <row r="1129" spans="1:22" x14ac:dyDescent="0.2">
      <c r="A1129" t="s">
        <v>1849</v>
      </c>
      <c r="B1129" t="s">
        <v>26</v>
      </c>
      <c r="C1129" t="s">
        <v>76</v>
      </c>
      <c r="D1129" t="s">
        <v>77</v>
      </c>
      <c r="E1129">
        <v>14</v>
      </c>
      <c r="F1129" t="s">
        <v>261</v>
      </c>
      <c r="G1129">
        <v>71</v>
      </c>
      <c r="H1129">
        <v>294949</v>
      </c>
      <c r="I1129">
        <v>69146</v>
      </c>
      <c r="J1129">
        <v>56</v>
      </c>
      <c r="K1129">
        <v>52</v>
      </c>
      <c r="L1129">
        <v>-225803</v>
      </c>
      <c r="M1129" s="1" t="s">
        <v>1978</v>
      </c>
      <c r="N1129" s="1" t="s">
        <v>1979</v>
      </c>
      <c r="O1129" s="1" t="s">
        <v>1980</v>
      </c>
      <c r="P1129">
        <v>0</v>
      </c>
      <c r="Q1129">
        <v>0</v>
      </c>
      <c r="R1129">
        <v>0</v>
      </c>
      <c r="S1129">
        <v>0</v>
      </c>
      <c r="T1129">
        <v>12.98266392</v>
      </c>
      <c r="U1129">
        <f t="shared" si="34"/>
        <v>0</v>
      </c>
      <c r="V1129">
        <f t="shared" si="35"/>
        <v>0</v>
      </c>
    </row>
    <row r="1130" spans="1:22" x14ac:dyDescent="0.2">
      <c r="A1130" t="s">
        <v>1849</v>
      </c>
      <c r="B1130" t="s">
        <v>26</v>
      </c>
      <c r="C1130" t="s">
        <v>76</v>
      </c>
      <c r="D1130" t="s">
        <v>77</v>
      </c>
      <c r="E1130">
        <v>18</v>
      </c>
      <c r="F1130" t="s">
        <v>147</v>
      </c>
      <c r="G1130">
        <v>92</v>
      </c>
      <c r="H1130">
        <v>12963</v>
      </c>
      <c r="I1130">
        <v>38281696</v>
      </c>
      <c r="J1130">
        <v>51</v>
      </c>
      <c r="K1130">
        <v>3</v>
      </c>
      <c r="L1130">
        <v>38268733</v>
      </c>
      <c r="M1130" s="1" t="s">
        <v>1981</v>
      </c>
      <c r="N1130" s="1" t="s">
        <v>1982</v>
      </c>
      <c r="O1130">
        <v>3.4212571253667699E-3</v>
      </c>
      <c r="P1130">
        <v>0</v>
      </c>
      <c r="Q1130">
        <v>1</v>
      </c>
      <c r="R1130">
        <v>0</v>
      </c>
      <c r="S1130">
        <v>1</v>
      </c>
      <c r="T1130">
        <v>12.98266392</v>
      </c>
      <c r="U1130">
        <f t="shared" si="34"/>
        <v>1</v>
      </c>
      <c r="V1130">
        <f t="shared" si="35"/>
        <v>1</v>
      </c>
    </row>
    <row r="1131" spans="1:22" x14ac:dyDescent="0.2">
      <c r="A1131" t="s">
        <v>1849</v>
      </c>
      <c r="B1131" t="s">
        <v>26</v>
      </c>
      <c r="C1131" t="s">
        <v>76</v>
      </c>
      <c r="D1131" t="s">
        <v>77</v>
      </c>
      <c r="E1131" s="1" t="s">
        <v>89</v>
      </c>
      <c r="F1131" t="s">
        <v>90</v>
      </c>
      <c r="G1131">
        <v>35</v>
      </c>
      <c r="H1131">
        <v>954</v>
      </c>
      <c r="I1131">
        <v>1718796</v>
      </c>
      <c r="J1131">
        <v>80</v>
      </c>
      <c r="K1131">
        <v>40</v>
      </c>
      <c r="L1131">
        <v>1717842</v>
      </c>
      <c r="M1131" s="1" t="s">
        <v>1983</v>
      </c>
      <c r="N1131" s="1" t="s">
        <v>1984</v>
      </c>
      <c r="O1131" s="1" t="s">
        <v>1985</v>
      </c>
      <c r="P1131">
        <v>0</v>
      </c>
      <c r="Q1131">
        <v>0</v>
      </c>
      <c r="R1131">
        <v>0</v>
      </c>
      <c r="S1131">
        <v>0</v>
      </c>
      <c r="T1131">
        <v>12.98266392</v>
      </c>
      <c r="U1131">
        <f t="shared" si="34"/>
        <v>0</v>
      </c>
      <c r="V1131">
        <f t="shared" si="35"/>
        <v>0</v>
      </c>
    </row>
    <row r="1132" spans="1:22" x14ac:dyDescent="0.2">
      <c r="A1132" t="s">
        <v>1849</v>
      </c>
      <c r="B1132" t="s">
        <v>26</v>
      </c>
      <c r="C1132" t="s">
        <v>76</v>
      </c>
      <c r="D1132" t="s">
        <v>77</v>
      </c>
      <c r="E1132" s="1" t="s">
        <v>89</v>
      </c>
      <c r="F1132" t="s">
        <v>90</v>
      </c>
      <c r="G1132">
        <v>30</v>
      </c>
      <c r="H1132">
        <v>966525</v>
      </c>
      <c r="I1132">
        <v>1097355</v>
      </c>
      <c r="J1132">
        <v>65</v>
      </c>
      <c r="K1132">
        <v>58</v>
      </c>
      <c r="L1132">
        <v>130830</v>
      </c>
      <c r="M1132" s="1" t="s">
        <v>1986</v>
      </c>
      <c r="N1132" s="1" t="s">
        <v>1987</v>
      </c>
      <c r="O1132" s="1" t="s">
        <v>1988</v>
      </c>
      <c r="P1132">
        <v>0</v>
      </c>
      <c r="Q1132">
        <v>0</v>
      </c>
      <c r="R1132">
        <v>0</v>
      </c>
      <c r="S1132">
        <v>0</v>
      </c>
      <c r="T1132">
        <v>12.98266392</v>
      </c>
      <c r="U1132">
        <f t="shared" si="34"/>
        <v>0</v>
      </c>
      <c r="V1132">
        <f t="shared" si="35"/>
        <v>0</v>
      </c>
    </row>
    <row r="1133" spans="1:22" x14ac:dyDescent="0.2">
      <c r="A1133" t="s">
        <v>1849</v>
      </c>
      <c r="B1133" t="s">
        <v>26</v>
      </c>
      <c r="C1133" t="s">
        <v>76</v>
      </c>
      <c r="D1133" t="s">
        <v>77</v>
      </c>
      <c r="E1133" s="1" t="s">
        <v>82</v>
      </c>
      <c r="F1133" t="s">
        <v>83</v>
      </c>
      <c r="G1133" s="1" t="s">
        <v>99</v>
      </c>
      <c r="H1133">
        <v>157421</v>
      </c>
      <c r="I1133">
        <v>2182996</v>
      </c>
      <c r="J1133">
        <v>82</v>
      </c>
      <c r="K1133">
        <v>36</v>
      </c>
      <c r="L1133">
        <v>2025575</v>
      </c>
      <c r="M1133">
        <v>6.7261945200363799E-2</v>
      </c>
      <c r="N1133" s="1" t="s">
        <v>1989</v>
      </c>
      <c r="O1133" s="1" t="s">
        <v>1990</v>
      </c>
      <c r="P1133">
        <v>0</v>
      </c>
      <c r="Q1133">
        <v>0</v>
      </c>
      <c r="R1133">
        <v>0</v>
      </c>
      <c r="S1133">
        <v>0</v>
      </c>
      <c r="T1133">
        <v>12.98266392</v>
      </c>
      <c r="U1133">
        <f t="shared" si="34"/>
        <v>0</v>
      </c>
      <c r="V1133">
        <f t="shared" si="35"/>
        <v>0</v>
      </c>
    </row>
    <row r="1134" spans="1:22" x14ac:dyDescent="0.2">
      <c r="A1134" t="s">
        <v>1849</v>
      </c>
      <c r="B1134" t="s">
        <v>26</v>
      </c>
      <c r="C1134" t="s">
        <v>76</v>
      </c>
      <c r="D1134" t="s">
        <v>77</v>
      </c>
      <c r="E1134" s="1" t="s">
        <v>138</v>
      </c>
      <c r="F1134" t="s">
        <v>139</v>
      </c>
      <c r="G1134">
        <v>20</v>
      </c>
      <c r="H1134">
        <v>910</v>
      </c>
      <c r="I1134">
        <v>3733539</v>
      </c>
      <c r="J1134">
        <v>76</v>
      </c>
      <c r="K1134">
        <v>48</v>
      </c>
      <c r="L1134">
        <v>3732629</v>
      </c>
      <c r="M1134" s="1" t="s">
        <v>1991</v>
      </c>
      <c r="N1134" s="1" t="s">
        <v>1992</v>
      </c>
      <c r="O1134" s="1" t="s">
        <v>1993</v>
      </c>
      <c r="P1134">
        <v>0</v>
      </c>
      <c r="Q1134">
        <v>0</v>
      </c>
      <c r="R1134">
        <v>0</v>
      </c>
      <c r="S1134">
        <v>0</v>
      </c>
      <c r="T1134">
        <v>12.98266392</v>
      </c>
      <c r="U1134">
        <f t="shared" si="34"/>
        <v>0</v>
      </c>
      <c r="V1134">
        <f t="shared" si="35"/>
        <v>0</v>
      </c>
    </row>
    <row r="1135" spans="1:22" x14ac:dyDescent="0.2">
      <c r="A1135" t="s">
        <v>1849</v>
      </c>
      <c r="B1135" t="s">
        <v>26</v>
      </c>
      <c r="C1135" t="s">
        <v>76</v>
      </c>
      <c r="D1135" t="s">
        <v>77</v>
      </c>
      <c r="E1135">
        <v>11</v>
      </c>
      <c r="F1135" t="s">
        <v>127</v>
      </c>
      <c r="G1135">
        <v>53</v>
      </c>
      <c r="H1135">
        <v>0</v>
      </c>
      <c r="I1135">
        <v>148175</v>
      </c>
      <c r="J1135">
        <v>75</v>
      </c>
      <c r="K1135">
        <v>24</v>
      </c>
      <c r="L1135">
        <v>148175</v>
      </c>
      <c r="M1135">
        <v>0</v>
      </c>
      <c r="N1135">
        <v>1</v>
      </c>
      <c r="O1135" s="1" t="s">
        <v>1994</v>
      </c>
      <c r="P1135">
        <v>0</v>
      </c>
      <c r="Q1135">
        <v>0</v>
      </c>
      <c r="R1135">
        <v>0</v>
      </c>
      <c r="S1135">
        <v>0</v>
      </c>
      <c r="T1135">
        <v>12.98266392</v>
      </c>
      <c r="U1135">
        <f t="shared" si="34"/>
        <v>0</v>
      </c>
      <c r="V1135">
        <f t="shared" si="35"/>
        <v>0</v>
      </c>
    </row>
    <row r="1136" spans="1:22" x14ac:dyDescent="0.2">
      <c r="A1136" t="s">
        <v>1849</v>
      </c>
      <c r="B1136" t="s">
        <v>26</v>
      </c>
      <c r="C1136" t="s">
        <v>76</v>
      </c>
      <c r="D1136" t="s">
        <v>77</v>
      </c>
      <c r="E1136">
        <v>17</v>
      </c>
      <c r="F1136" t="s">
        <v>97</v>
      </c>
      <c r="G1136">
        <v>89</v>
      </c>
      <c r="H1136">
        <v>0</v>
      </c>
      <c r="I1136">
        <v>93322285</v>
      </c>
      <c r="J1136">
        <v>85</v>
      </c>
      <c r="K1136">
        <v>10</v>
      </c>
      <c r="L1136">
        <v>93322285</v>
      </c>
      <c r="M1136">
        <v>0</v>
      </c>
      <c r="N1136">
        <v>1</v>
      </c>
      <c r="O1136">
        <v>8.3374428928002509E-3</v>
      </c>
      <c r="P1136">
        <v>0</v>
      </c>
      <c r="Q1136">
        <v>0</v>
      </c>
      <c r="R1136">
        <v>0</v>
      </c>
      <c r="S1136">
        <v>1</v>
      </c>
      <c r="T1136">
        <v>12.98266392</v>
      </c>
      <c r="U1136">
        <f t="shared" si="34"/>
        <v>0</v>
      </c>
      <c r="V1136">
        <f t="shared" si="35"/>
        <v>1</v>
      </c>
    </row>
    <row r="1137" spans="1:22" x14ac:dyDescent="0.2">
      <c r="A1137" t="s">
        <v>1849</v>
      </c>
      <c r="B1137" t="s">
        <v>26</v>
      </c>
      <c r="C1137" t="s">
        <v>76</v>
      </c>
      <c r="D1137" t="s">
        <v>77</v>
      </c>
      <c r="E1137" s="1" t="s">
        <v>85</v>
      </c>
      <c r="F1137" t="s">
        <v>86</v>
      </c>
      <c r="G1137">
        <v>26</v>
      </c>
      <c r="H1137">
        <v>0</v>
      </c>
      <c r="I1137">
        <v>77552</v>
      </c>
      <c r="J1137">
        <v>65</v>
      </c>
      <c r="K1137">
        <v>45</v>
      </c>
      <c r="L1137">
        <v>77552</v>
      </c>
      <c r="M1137">
        <v>0</v>
      </c>
      <c r="N1137">
        <v>1</v>
      </c>
      <c r="O1137" s="1" t="s">
        <v>1995</v>
      </c>
      <c r="P1137">
        <v>0</v>
      </c>
      <c r="Q1137">
        <v>0</v>
      </c>
      <c r="R1137">
        <v>0</v>
      </c>
      <c r="S1137">
        <v>0</v>
      </c>
      <c r="T1137">
        <v>12.98266392</v>
      </c>
      <c r="U1137">
        <f t="shared" si="34"/>
        <v>0</v>
      </c>
      <c r="V1137">
        <f t="shared" si="35"/>
        <v>0</v>
      </c>
    </row>
    <row r="1138" spans="1:22" x14ac:dyDescent="0.2">
      <c r="A1138" t="s">
        <v>1849</v>
      </c>
      <c r="B1138" t="s">
        <v>26</v>
      </c>
      <c r="C1138" t="s">
        <v>76</v>
      </c>
      <c r="D1138" t="s">
        <v>77</v>
      </c>
      <c r="E1138">
        <v>12</v>
      </c>
      <c r="F1138" t="s">
        <v>194</v>
      </c>
      <c r="G1138">
        <v>65</v>
      </c>
      <c r="H1138">
        <v>3187</v>
      </c>
      <c r="I1138">
        <v>830095</v>
      </c>
      <c r="J1138">
        <v>65</v>
      </c>
      <c r="K1138">
        <v>35</v>
      </c>
      <c r="L1138">
        <v>826908</v>
      </c>
      <c r="M1138">
        <v>3.8246355975528001E-3</v>
      </c>
      <c r="N1138" s="1" t="s">
        <v>1996</v>
      </c>
      <c r="O1138" s="1" t="s">
        <v>1997</v>
      </c>
      <c r="P1138">
        <v>0</v>
      </c>
      <c r="Q1138">
        <v>0</v>
      </c>
      <c r="R1138">
        <v>0</v>
      </c>
      <c r="S1138">
        <v>0</v>
      </c>
      <c r="T1138">
        <v>12.98266392</v>
      </c>
      <c r="U1138">
        <f t="shared" si="34"/>
        <v>0</v>
      </c>
      <c r="V1138">
        <f t="shared" si="35"/>
        <v>0</v>
      </c>
    </row>
    <row r="1139" spans="1:22" x14ac:dyDescent="0.2">
      <c r="A1139" t="s">
        <v>1849</v>
      </c>
      <c r="B1139" t="s">
        <v>26</v>
      </c>
      <c r="C1139" t="s">
        <v>76</v>
      </c>
      <c r="D1139" t="s">
        <v>77</v>
      </c>
      <c r="E1139" s="1" t="s">
        <v>155</v>
      </c>
      <c r="F1139" t="s">
        <v>156</v>
      </c>
      <c r="G1139" s="1" t="s">
        <v>85</v>
      </c>
      <c r="H1139">
        <v>401592</v>
      </c>
      <c r="I1139">
        <v>130167</v>
      </c>
      <c r="J1139">
        <v>38</v>
      </c>
      <c r="K1139">
        <v>37</v>
      </c>
      <c r="L1139">
        <v>-271425</v>
      </c>
      <c r="M1139" s="1" t="s">
        <v>1998</v>
      </c>
      <c r="N1139" s="1" t="s">
        <v>1999</v>
      </c>
      <c r="O1139" s="1" t="s">
        <v>2000</v>
      </c>
      <c r="P1139">
        <v>0</v>
      </c>
      <c r="Q1139">
        <v>0</v>
      </c>
      <c r="R1139">
        <v>0</v>
      </c>
      <c r="S1139">
        <v>0</v>
      </c>
      <c r="T1139">
        <v>12.98266392</v>
      </c>
      <c r="U1139">
        <f t="shared" si="34"/>
        <v>0</v>
      </c>
      <c r="V1139">
        <f t="shared" si="35"/>
        <v>0</v>
      </c>
    </row>
    <row r="1140" spans="1:22" x14ac:dyDescent="0.2">
      <c r="A1140" t="s">
        <v>1849</v>
      </c>
      <c r="B1140" t="s">
        <v>26</v>
      </c>
      <c r="C1140" t="s">
        <v>76</v>
      </c>
      <c r="D1140" t="s">
        <v>77</v>
      </c>
      <c r="E1140">
        <v>15</v>
      </c>
      <c r="F1140" t="s">
        <v>88</v>
      </c>
      <c r="G1140">
        <v>80</v>
      </c>
      <c r="H1140">
        <v>0</v>
      </c>
      <c r="I1140">
        <v>1313799</v>
      </c>
      <c r="J1140">
        <v>55</v>
      </c>
      <c r="K1140">
        <v>8</v>
      </c>
      <c r="L1140">
        <v>1313799</v>
      </c>
      <c r="M1140">
        <v>0</v>
      </c>
      <c r="N1140">
        <v>1</v>
      </c>
      <c r="O1140" s="1" t="s">
        <v>2001</v>
      </c>
      <c r="P1140">
        <v>0</v>
      </c>
      <c r="Q1140">
        <v>0</v>
      </c>
      <c r="R1140">
        <v>0</v>
      </c>
      <c r="S1140">
        <v>1</v>
      </c>
      <c r="T1140">
        <v>12.98266392</v>
      </c>
      <c r="U1140">
        <f t="shared" si="34"/>
        <v>0</v>
      </c>
      <c r="V1140">
        <f t="shared" si="35"/>
        <v>1</v>
      </c>
    </row>
    <row r="1141" spans="1:22" x14ac:dyDescent="0.2">
      <c r="A1141" t="s">
        <v>1849</v>
      </c>
      <c r="B1141" t="s">
        <v>26</v>
      </c>
      <c r="C1141" t="s">
        <v>76</v>
      </c>
      <c r="D1141" t="s">
        <v>77</v>
      </c>
      <c r="E1141" s="1" t="s">
        <v>82</v>
      </c>
      <c r="F1141" t="s">
        <v>83</v>
      </c>
      <c r="G1141">
        <v>13</v>
      </c>
      <c r="H1141">
        <v>70563</v>
      </c>
      <c r="I1141">
        <v>12210605</v>
      </c>
      <c r="J1141">
        <v>24</v>
      </c>
      <c r="K1141">
        <v>12</v>
      </c>
      <c r="L1141">
        <v>12140042</v>
      </c>
      <c r="M1141">
        <v>5.7456261489135197E-3</v>
      </c>
      <c r="N1141" s="1" t="s">
        <v>2002</v>
      </c>
      <c r="O1141">
        <v>1.0972034906441201E-3</v>
      </c>
      <c r="P1141">
        <v>0</v>
      </c>
      <c r="Q1141">
        <v>0</v>
      </c>
      <c r="R1141">
        <v>0</v>
      </c>
      <c r="S1141">
        <v>0</v>
      </c>
      <c r="T1141">
        <v>12.98266392</v>
      </c>
      <c r="U1141">
        <f t="shared" si="34"/>
        <v>0</v>
      </c>
      <c r="V1141">
        <f t="shared" si="35"/>
        <v>0</v>
      </c>
    </row>
    <row r="1142" spans="1:22" x14ac:dyDescent="0.2">
      <c r="A1142" t="s">
        <v>1849</v>
      </c>
      <c r="B1142" t="s">
        <v>26</v>
      </c>
      <c r="C1142" t="s">
        <v>76</v>
      </c>
      <c r="D1142" t="s">
        <v>77</v>
      </c>
      <c r="E1142">
        <v>11</v>
      </c>
      <c r="F1142" t="s">
        <v>127</v>
      </c>
      <c r="G1142">
        <v>56</v>
      </c>
      <c r="H1142">
        <v>2750</v>
      </c>
      <c r="I1142">
        <v>9053002</v>
      </c>
      <c r="J1142">
        <v>87</v>
      </c>
      <c r="K1142">
        <v>32</v>
      </c>
      <c r="L1142">
        <v>9050252</v>
      </c>
      <c r="M1142" s="1" t="s">
        <v>2003</v>
      </c>
      <c r="N1142" s="1" t="s">
        <v>2004</v>
      </c>
      <c r="O1142" s="1" t="s">
        <v>2005</v>
      </c>
      <c r="P1142">
        <v>0</v>
      </c>
      <c r="Q1142">
        <v>0</v>
      </c>
      <c r="R1142">
        <v>0</v>
      </c>
      <c r="S1142">
        <v>0</v>
      </c>
      <c r="T1142">
        <v>12.98266392</v>
      </c>
      <c r="U1142">
        <f t="shared" si="34"/>
        <v>0</v>
      </c>
      <c r="V1142">
        <f t="shared" si="35"/>
        <v>0</v>
      </c>
    </row>
    <row r="1143" spans="1:22" x14ac:dyDescent="0.2">
      <c r="A1143" t="s">
        <v>1849</v>
      </c>
      <c r="B1143" t="s">
        <v>26</v>
      </c>
      <c r="C1143" t="s">
        <v>76</v>
      </c>
      <c r="D1143" t="s">
        <v>77</v>
      </c>
      <c r="E1143" s="1" t="s">
        <v>138</v>
      </c>
      <c r="F1143" t="s">
        <v>139</v>
      </c>
      <c r="G1143">
        <v>21</v>
      </c>
      <c r="H1143">
        <v>13888</v>
      </c>
      <c r="I1143">
        <v>47790409</v>
      </c>
      <c r="J1143">
        <v>106</v>
      </c>
      <c r="K1143">
        <v>28</v>
      </c>
      <c r="L1143">
        <v>47776521</v>
      </c>
      <c r="M1143" s="1" t="s">
        <v>2006</v>
      </c>
      <c r="N1143" s="1" t="s">
        <v>2007</v>
      </c>
      <c r="O1143">
        <v>4.27085123631469E-3</v>
      </c>
      <c r="P1143">
        <v>0</v>
      </c>
      <c r="Q1143">
        <v>0</v>
      </c>
      <c r="R1143">
        <v>0</v>
      </c>
      <c r="S1143">
        <v>0</v>
      </c>
      <c r="T1143">
        <v>12.98266392</v>
      </c>
      <c r="U1143">
        <f t="shared" si="34"/>
        <v>0</v>
      </c>
      <c r="V1143">
        <f t="shared" si="35"/>
        <v>0</v>
      </c>
    </row>
    <row r="1144" spans="1:22" x14ac:dyDescent="0.2">
      <c r="A1144" t="s">
        <v>1849</v>
      </c>
      <c r="B1144" t="s">
        <v>26</v>
      </c>
      <c r="C1144" t="s">
        <v>76</v>
      </c>
      <c r="D1144" t="s">
        <v>77</v>
      </c>
      <c r="E1144">
        <v>99</v>
      </c>
      <c r="F1144" t="s">
        <v>78</v>
      </c>
      <c r="G1144">
        <v>99</v>
      </c>
      <c r="H1144">
        <v>270540</v>
      </c>
      <c r="I1144">
        <v>2639547</v>
      </c>
      <c r="J1144">
        <v>71</v>
      </c>
      <c r="K1144">
        <v>44</v>
      </c>
      <c r="L1144">
        <v>2369007</v>
      </c>
      <c r="M1144">
        <v>9.2966292760319494E-2</v>
      </c>
      <c r="N1144" s="1" t="s">
        <v>2008</v>
      </c>
      <c r="O1144" s="1" t="s">
        <v>2009</v>
      </c>
      <c r="P1144">
        <v>0</v>
      </c>
      <c r="Q1144">
        <v>0</v>
      </c>
      <c r="R1144">
        <v>0</v>
      </c>
      <c r="S1144">
        <v>0</v>
      </c>
      <c r="T1144">
        <v>12.98266392</v>
      </c>
      <c r="U1144">
        <f t="shared" si="34"/>
        <v>0</v>
      </c>
      <c r="V1144">
        <f t="shared" si="35"/>
        <v>0</v>
      </c>
    </row>
    <row r="1145" spans="1:22" x14ac:dyDescent="0.2">
      <c r="A1145" t="s">
        <v>2010</v>
      </c>
      <c r="B1145" t="s">
        <v>27</v>
      </c>
      <c r="C1145" t="s">
        <v>76</v>
      </c>
      <c r="D1145" t="s">
        <v>77</v>
      </c>
      <c r="E1145" s="1" t="s">
        <v>89</v>
      </c>
      <c r="F1145" t="s">
        <v>90</v>
      </c>
      <c r="G1145">
        <v>29</v>
      </c>
      <c r="H1145">
        <v>568350</v>
      </c>
      <c r="I1145">
        <v>0</v>
      </c>
      <c r="J1145">
        <v>92</v>
      </c>
      <c r="K1145">
        <v>81</v>
      </c>
      <c r="L1145">
        <v>-568350</v>
      </c>
      <c r="M1145">
        <v>1</v>
      </c>
      <c r="N1145">
        <v>0</v>
      </c>
      <c r="O1145">
        <v>1.7162389408277301E-3</v>
      </c>
      <c r="P1145">
        <v>0</v>
      </c>
      <c r="Q1145">
        <v>0</v>
      </c>
      <c r="R1145">
        <v>0</v>
      </c>
      <c r="S1145">
        <v>0</v>
      </c>
      <c r="T1145">
        <v>13.62458097</v>
      </c>
      <c r="U1145">
        <f t="shared" si="34"/>
        <v>0</v>
      </c>
      <c r="V1145">
        <f t="shared" si="35"/>
        <v>0</v>
      </c>
    </row>
    <row r="1146" spans="1:22" x14ac:dyDescent="0.2">
      <c r="A1146" t="s">
        <v>2010</v>
      </c>
      <c r="B1146" t="s">
        <v>27</v>
      </c>
      <c r="C1146" t="s">
        <v>76</v>
      </c>
      <c r="D1146" t="s">
        <v>77</v>
      </c>
      <c r="E1146" s="1" t="s">
        <v>138</v>
      </c>
      <c r="F1146" t="s">
        <v>139</v>
      </c>
      <c r="G1146">
        <v>22</v>
      </c>
      <c r="H1146">
        <v>49519</v>
      </c>
      <c r="I1146">
        <v>0</v>
      </c>
      <c r="J1146">
        <v>110</v>
      </c>
      <c r="K1146">
        <v>98</v>
      </c>
      <c r="L1146">
        <v>-49519</v>
      </c>
      <c r="M1146">
        <v>1</v>
      </c>
      <c r="N1146">
        <v>0</v>
      </c>
      <c r="O1146" s="1" t="s">
        <v>2011</v>
      </c>
      <c r="P1146">
        <v>0</v>
      </c>
      <c r="Q1146">
        <v>0</v>
      </c>
      <c r="R1146">
        <v>0</v>
      </c>
      <c r="S1146">
        <v>0</v>
      </c>
      <c r="T1146">
        <v>13.62458097</v>
      </c>
      <c r="U1146">
        <f t="shared" si="34"/>
        <v>0</v>
      </c>
      <c r="V1146">
        <f t="shared" si="35"/>
        <v>0</v>
      </c>
    </row>
    <row r="1147" spans="1:22" x14ac:dyDescent="0.2">
      <c r="A1147" t="s">
        <v>2010</v>
      </c>
      <c r="B1147" t="s">
        <v>27</v>
      </c>
      <c r="C1147" t="s">
        <v>76</v>
      </c>
      <c r="D1147" t="s">
        <v>77</v>
      </c>
      <c r="E1147">
        <v>16</v>
      </c>
      <c r="F1147" t="s">
        <v>95</v>
      </c>
      <c r="G1147">
        <v>84</v>
      </c>
      <c r="H1147">
        <v>30569</v>
      </c>
      <c r="I1147">
        <v>0</v>
      </c>
      <c r="J1147">
        <v>138</v>
      </c>
      <c r="K1147">
        <v>117</v>
      </c>
      <c r="L1147">
        <v>-30569</v>
      </c>
      <c r="M1147">
        <v>1</v>
      </c>
      <c r="N1147">
        <v>0</v>
      </c>
      <c r="O1147" s="1" t="s">
        <v>2012</v>
      </c>
      <c r="P1147">
        <v>0</v>
      </c>
      <c r="Q1147">
        <v>0</v>
      </c>
      <c r="R1147">
        <v>0</v>
      </c>
      <c r="S1147">
        <v>0</v>
      </c>
      <c r="T1147">
        <v>13.62458097</v>
      </c>
      <c r="U1147">
        <f t="shared" si="34"/>
        <v>0</v>
      </c>
      <c r="V1147">
        <f t="shared" si="35"/>
        <v>0</v>
      </c>
    </row>
    <row r="1148" spans="1:22" x14ac:dyDescent="0.2">
      <c r="A1148" t="s">
        <v>2010</v>
      </c>
      <c r="B1148" t="s">
        <v>27</v>
      </c>
      <c r="C1148" t="s">
        <v>76</v>
      </c>
      <c r="D1148" t="s">
        <v>77</v>
      </c>
      <c r="E1148" s="1" t="s">
        <v>99</v>
      </c>
      <c r="F1148" t="s">
        <v>100</v>
      </c>
      <c r="G1148">
        <v>39</v>
      </c>
      <c r="H1148">
        <v>22998</v>
      </c>
      <c r="I1148">
        <v>0</v>
      </c>
      <c r="J1148">
        <v>123</v>
      </c>
      <c r="K1148">
        <v>109</v>
      </c>
      <c r="L1148">
        <v>-22998</v>
      </c>
      <c r="M1148">
        <v>1</v>
      </c>
      <c r="N1148">
        <v>0</v>
      </c>
      <c r="O1148" s="1" t="s">
        <v>2013</v>
      </c>
      <c r="P1148">
        <v>0</v>
      </c>
      <c r="Q1148">
        <v>0</v>
      </c>
      <c r="R1148">
        <v>0</v>
      </c>
      <c r="S1148">
        <v>0</v>
      </c>
      <c r="T1148">
        <v>13.62458097</v>
      </c>
      <c r="U1148">
        <f t="shared" si="34"/>
        <v>0</v>
      </c>
      <c r="V1148">
        <f t="shared" si="35"/>
        <v>0</v>
      </c>
    </row>
    <row r="1149" spans="1:22" x14ac:dyDescent="0.2">
      <c r="A1149" t="s">
        <v>2010</v>
      </c>
      <c r="B1149" t="s">
        <v>27</v>
      </c>
      <c r="C1149" t="s">
        <v>76</v>
      </c>
      <c r="D1149" t="s">
        <v>77</v>
      </c>
      <c r="E1149">
        <v>17</v>
      </c>
      <c r="F1149" t="s">
        <v>97</v>
      </c>
      <c r="G1149">
        <v>87</v>
      </c>
      <c r="H1149">
        <v>16634</v>
      </c>
      <c r="I1149">
        <v>0</v>
      </c>
      <c r="J1149">
        <v>137</v>
      </c>
      <c r="K1149">
        <v>96</v>
      </c>
      <c r="L1149">
        <v>-16634</v>
      </c>
      <c r="M1149">
        <v>1</v>
      </c>
      <c r="N1149">
        <v>0</v>
      </c>
      <c r="O1149" s="1" t="s">
        <v>2014</v>
      </c>
      <c r="P1149">
        <v>0</v>
      </c>
      <c r="Q1149">
        <v>0</v>
      </c>
      <c r="R1149">
        <v>0</v>
      </c>
      <c r="S1149">
        <v>0</v>
      </c>
      <c r="T1149">
        <v>13.62458097</v>
      </c>
      <c r="U1149">
        <f t="shared" si="34"/>
        <v>0</v>
      </c>
      <c r="V1149">
        <f t="shared" si="35"/>
        <v>0</v>
      </c>
    </row>
    <row r="1150" spans="1:22" x14ac:dyDescent="0.2">
      <c r="A1150" t="s">
        <v>2010</v>
      </c>
      <c r="B1150" t="s">
        <v>27</v>
      </c>
      <c r="C1150" t="s">
        <v>76</v>
      </c>
      <c r="D1150" t="s">
        <v>77</v>
      </c>
      <c r="E1150" s="1" t="s">
        <v>99</v>
      </c>
      <c r="F1150" t="s">
        <v>100</v>
      </c>
      <c r="G1150">
        <v>40</v>
      </c>
      <c r="H1150">
        <v>99469</v>
      </c>
      <c r="I1150">
        <v>0</v>
      </c>
      <c r="J1150">
        <v>111</v>
      </c>
      <c r="K1150">
        <v>97</v>
      </c>
      <c r="L1150">
        <v>-99469</v>
      </c>
      <c r="M1150">
        <v>1</v>
      </c>
      <c r="N1150">
        <v>0</v>
      </c>
      <c r="O1150" s="1" t="s">
        <v>2015</v>
      </c>
      <c r="P1150">
        <v>0</v>
      </c>
      <c r="Q1150">
        <v>0</v>
      </c>
      <c r="R1150">
        <v>0</v>
      </c>
      <c r="S1150">
        <v>0</v>
      </c>
      <c r="T1150">
        <v>13.62458097</v>
      </c>
      <c r="U1150">
        <f t="shared" si="34"/>
        <v>0</v>
      </c>
      <c r="V1150">
        <f t="shared" si="35"/>
        <v>0</v>
      </c>
    </row>
    <row r="1151" spans="1:22" x14ac:dyDescent="0.2">
      <c r="A1151" t="s">
        <v>2010</v>
      </c>
      <c r="B1151" t="s">
        <v>27</v>
      </c>
      <c r="C1151" t="s">
        <v>76</v>
      </c>
      <c r="D1151" t="s">
        <v>77</v>
      </c>
      <c r="E1151">
        <v>18</v>
      </c>
      <c r="F1151" t="s">
        <v>147</v>
      </c>
      <c r="G1151">
        <v>91</v>
      </c>
      <c r="H1151">
        <v>82</v>
      </c>
      <c r="I1151">
        <v>0</v>
      </c>
      <c r="J1151">
        <v>91</v>
      </c>
      <c r="K1151">
        <v>69</v>
      </c>
      <c r="L1151">
        <v>-82</v>
      </c>
      <c r="M1151">
        <v>1</v>
      </c>
      <c r="N1151">
        <v>0</v>
      </c>
      <c r="O1151" s="1" t="s">
        <v>2016</v>
      </c>
      <c r="P1151">
        <v>0</v>
      </c>
      <c r="Q1151">
        <v>0</v>
      </c>
      <c r="R1151">
        <v>0</v>
      </c>
      <c r="S1151">
        <v>0</v>
      </c>
      <c r="T1151">
        <v>13.62458097</v>
      </c>
      <c r="U1151">
        <f t="shared" si="34"/>
        <v>0</v>
      </c>
      <c r="V1151">
        <f t="shared" si="35"/>
        <v>0</v>
      </c>
    </row>
    <row r="1152" spans="1:22" x14ac:dyDescent="0.2">
      <c r="A1152" t="s">
        <v>2010</v>
      </c>
      <c r="B1152" t="s">
        <v>27</v>
      </c>
      <c r="C1152" t="s">
        <v>76</v>
      </c>
      <c r="D1152" t="s">
        <v>77</v>
      </c>
      <c r="E1152">
        <v>15</v>
      </c>
      <c r="F1152" t="s">
        <v>88</v>
      </c>
      <c r="G1152">
        <v>76</v>
      </c>
      <c r="H1152">
        <v>69</v>
      </c>
      <c r="I1152">
        <v>0</v>
      </c>
      <c r="J1152">
        <v>128</v>
      </c>
      <c r="K1152">
        <v>92</v>
      </c>
      <c r="L1152">
        <v>-69</v>
      </c>
      <c r="M1152">
        <v>1</v>
      </c>
      <c r="N1152">
        <v>0</v>
      </c>
      <c r="O1152" s="1" t="s">
        <v>2017</v>
      </c>
      <c r="P1152">
        <v>0</v>
      </c>
      <c r="Q1152">
        <v>0</v>
      </c>
      <c r="R1152">
        <v>0</v>
      </c>
      <c r="S1152">
        <v>0</v>
      </c>
      <c r="T1152">
        <v>13.62458097</v>
      </c>
      <c r="U1152">
        <f t="shared" si="34"/>
        <v>0</v>
      </c>
      <c r="V1152">
        <f t="shared" si="35"/>
        <v>0</v>
      </c>
    </row>
    <row r="1153" spans="1:22" x14ac:dyDescent="0.2">
      <c r="A1153" t="s">
        <v>2010</v>
      </c>
      <c r="B1153" t="s">
        <v>27</v>
      </c>
      <c r="C1153" t="s">
        <v>76</v>
      </c>
      <c r="D1153" t="s">
        <v>77</v>
      </c>
      <c r="E1153" s="1" t="s">
        <v>89</v>
      </c>
      <c r="F1153" t="s">
        <v>90</v>
      </c>
      <c r="G1153">
        <v>28</v>
      </c>
      <c r="H1153">
        <v>8500</v>
      </c>
      <c r="I1153">
        <v>329758088</v>
      </c>
      <c r="J1153">
        <v>132</v>
      </c>
      <c r="K1153">
        <v>8</v>
      </c>
      <c r="L1153">
        <v>329749588</v>
      </c>
      <c r="M1153" s="1" t="s">
        <v>2018</v>
      </c>
      <c r="N1153" s="1" t="s">
        <v>2019</v>
      </c>
      <c r="O1153" s="1" t="s">
        <v>2020</v>
      </c>
      <c r="P1153">
        <v>0</v>
      </c>
      <c r="Q1153">
        <v>0</v>
      </c>
      <c r="R1153">
        <v>0</v>
      </c>
      <c r="S1153">
        <v>1</v>
      </c>
      <c r="T1153">
        <v>13.62458097</v>
      </c>
      <c r="U1153">
        <f t="shared" si="34"/>
        <v>0</v>
      </c>
      <c r="V1153">
        <f t="shared" si="35"/>
        <v>1</v>
      </c>
    </row>
    <row r="1154" spans="1:22" x14ac:dyDescent="0.2">
      <c r="A1154" t="s">
        <v>2021</v>
      </c>
      <c r="B1154" t="s">
        <v>28</v>
      </c>
      <c r="C1154" t="s">
        <v>76</v>
      </c>
      <c r="D1154" t="s">
        <v>77</v>
      </c>
      <c r="E1154" s="1" t="s">
        <v>85</v>
      </c>
      <c r="F1154" t="s">
        <v>86</v>
      </c>
      <c r="G1154">
        <v>27</v>
      </c>
      <c r="H1154">
        <v>7038662910</v>
      </c>
      <c r="I1154">
        <v>2887550683</v>
      </c>
      <c r="J1154">
        <v>28</v>
      </c>
      <c r="K1154">
        <v>1</v>
      </c>
      <c r="L1154">
        <v>-4151112227</v>
      </c>
      <c r="M1154" s="1" t="s">
        <v>2022</v>
      </c>
      <c r="N1154" s="1" t="s">
        <v>2023</v>
      </c>
      <c r="O1154" s="1" t="s">
        <v>2024</v>
      </c>
      <c r="P1154">
        <v>0</v>
      </c>
      <c r="Q1154">
        <v>1</v>
      </c>
      <c r="R1154">
        <v>0</v>
      </c>
      <c r="S1154">
        <v>1</v>
      </c>
      <c r="T1154">
        <v>348.91455020000001</v>
      </c>
      <c r="U1154">
        <f t="shared" si="34"/>
        <v>1</v>
      </c>
      <c r="V1154">
        <f t="shared" si="35"/>
        <v>1</v>
      </c>
    </row>
    <row r="1155" spans="1:22" x14ac:dyDescent="0.2">
      <c r="A1155" t="s">
        <v>2021</v>
      </c>
      <c r="B1155" t="s">
        <v>28</v>
      </c>
      <c r="C1155" t="s">
        <v>76</v>
      </c>
      <c r="D1155" t="s">
        <v>77</v>
      </c>
      <c r="E1155" s="1" t="s">
        <v>85</v>
      </c>
      <c r="F1155" t="s">
        <v>86</v>
      </c>
      <c r="G1155">
        <v>26</v>
      </c>
      <c r="H1155">
        <v>1921189253</v>
      </c>
      <c r="I1155">
        <v>5705671065</v>
      </c>
      <c r="J1155">
        <v>2</v>
      </c>
      <c r="K1155">
        <v>1</v>
      </c>
      <c r="L1155">
        <v>3784481812</v>
      </c>
      <c r="M1155" s="1" t="s">
        <v>2025</v>
      </c>
      <c r="N1155" s="1" t="s">
        <v>2026</v>
      </c>
      <c r="O1155">
        <v>8.9312145418768293E-2</v>
      </c>
      <c r="P1155">
        <v>1</v>
      </c>
      <c r="Q1155">
        <v>1</v>
      </c>
      <c r="R1155">
        <v>1</v>
      </c>
      <c r="S1155">
        <v>1</v>
      </c>
      <c r="T1155">
        <v>348.91455020000001</v>
      </c>
      <c r="U1155">
        <f t="shared" ref="U1155:U1218" si="36">IF(OR(P1155=1,Q1155=1),1,0)</f>
        <v>1</v>
      </c>
      <c r="V1155">
        <f t="shared" ref="V1155:V1218" si="37">IF(OR(R1155=1,S1155=1),1,0)</f>
        <v>1</v>
      </c>
    </row>
    <row r="1156" spans="1:22" x14ac:dyDescent="0.2">
      <c r="A1156" t="s">
        <v>2021</v>
      </c>
      <c r="B1156" t="s">
        <v>28</v>
      </c>
      <c r="C1156" t="s">
        <v>76</v>
      </c>
      <c r="D1156" t="s">
        <v>77</v>
      </c>
      <c r="E1156">
        <v>17</v>
      </c>
      <c r="F1156" t="s">
        <v>97</v>
      </c>
      <c r="G1156">
        <v>87</v>
      </c>
      <c r="H1156">
        <v>3783347546</v>
      </c>
      <c r="I1156">
        <v>142867054</v>
      </c>
      <c r="J1156">
        <v>1</v>
      </c>
      <c r="K1156">
        <v>32</v>
      </c>
      <c r="L1156">
        <v>-3640480492</v>
      </c>
      <c r="M1156" s="1" t="s">
        <v>2027</v>
      </c>
      <c r="N1156">
        <v>3.6387989082410303E-2</v>
      </c>
      <c r="O1156" s="1" t="s">
        <v>2028</v>
      </c>
      <c r="P1156">
        <v>1</v>
      </c>
      <c r="Q1156">
        <v>0</v>
      </c>
      <c r="R1156">
        <v>1</v>
      </c>
      <c r="S1156">
        <v>0</v>
      </c>
      <c r="T1156">
        <v>348.91455020000001</v>
      </c>
      <c r="U1156">
        <f t="shared" si="36"/>
        <v>1</v>
      </c>
      <c r="V1156">
        <f t="shared" si="37"/>
        <v>1</v>
      </c>
    </row>
    <row r="1157" spans="1:22" x14ac:dyDescent="0.2">
      <c r="A1157" t="s">
        <v>2021</v>
      </c>
      <c r="B1157" t="s">
        <v>28</v>
      </c>
      <c r="C1157" t="s">
        <v>76</v>
      </c>
      <c r="D1157" t="s">
        <v>77</v>
      </c>
      <c r="E1157" s="1" t="s">
        <v>138</v>
      </c>
      <c r="F1157" t="s">
        <v>139</v>
      </c>
      <c r="G1157">
        <v>24</v>
      </c>
      <c r="H1157">
        <v>830168044</v>
      </c>
      <c r="I1157">
        <v>2957193</v>
      </c>
      <c r="J1157">
        <v>1</v>
      </c>
      <c r="K1157">
        <v>41</v>
      </c>
      <c r="L1157">
        <v>-827210851</v>
      </c>
      <c r="M1157" s="1" t="s">
        <v>2029</v>
      </c>
      <c r="N1157">
        <v>3.5495179700095899E-3</v>
      </c>
      <c r="O1157">
        <v>9.75607251431896E-3</v>
      </c>
      <c r="P1157">
        <v>1</v>
      </c>
      <c r="Q1157">
        <v>0</v>
      </c>
      <c r="R1157">
        <v>1</v>
      </c>
      <c r="S1157">
        <v>0</v>
      </c>
      <c r="T1157">
        <v>348.91455020000001</v>
      </c>
      <c r="U1157">
        <f t="shared" si="36"/>
        <v>1</v>
      </c>
      <c r="V1157">
        <f t="shared" si="37"/>
        <v>1</v>
      </c>
    </row>
    <row r="1158" spans="1:22" x14ac:dyDescent="0.2">
      <c r="A1158" t="s">
        <v>2021</v>
      </c>
      <c r="B1158" t="s">
        <v>28</v>
      </c>
      <c r="C1158" t="s">
        <v>76</v>
      </c>
      <c r="D1158" t="s">
        <v>77</v>
      </c>
      <c r="E1158">
        <v>17</v>
      </c>
      <c r="F1158" t="s">
        <v>97</v>
      </c>
      <c r="G1158">
        <v>88</v>
      </c>
      <c r="H1158">
        <v>681255437</v>
      </c>
      <c r="I1158">
        <v>2487797</v>
      </c>
      <c r="J1158">
        <v>2</v>
      </c>
      <c r="K1158">
        <v>41</v>
      </c>
      <c r="L1158">
        <v>-678767640</v>
      </c>
      <c r="M1158" s="1" t="s">
        <v>2030</v>
      </c>
      <c r="N1158">
        <v>3.6384959679176799E-3</v>
      </c>
      <c r="O1158">
        <v>8.0067777037931206E-3</v>
      </c>
      <c r="P1158">
        <v>1</v>
      </c>
      <c r="Q1158">
        <v>0</v>
      </c>
      <c r="R1158">
        <v>1</v>
      </c>
      <c r="S1158">
        <v>0</v>
      </c>
      <c r="T1158">
        <v>348.91455020000001</v>
      </c>
      <c r="U1158">
        <f t="shared" si="36"/>
        <v>1</v>
      </c>
      <c r="V1158">
        <f t="shared" si="37"/>
        <v>1</v>
      </c>
    </row>
    <row r="1159" spans="1:22" x14ac:dyDescent="0.2">
      <c r="A1159" t="s">
        <v>2021</v>
      </c>
      <c r="B1159" t="s">
        <v>28</v>
      </c>
      <c r="C1159" t="s">
        <v>76</v>
      </c>
      <c r="D1159" t="s">
        <v>77</v>
      </c>
      <c r="E1159">
        <v>16</v>
      </c>
      <c r="F1159" t="s">
        <v>95</v>
      </c>
      <c r="G1159">
        <v>85</v>
      </c>
      <c r="H1159">
        <v>3768003630</v>
      </c>
      <c r="I1159">
        <v>480148966</v>
      </c>
      <c r="J1159">
        <v>2</v>
      </c>
      <c r="K1159">
        <v>33</v>
      </c>
      <c r="L1159">
        <v>-3287854664</v>
      </c>
      <c r="M1159" s="1" t="s">
        <v>2031</v>
      </c>
      <c r="N1159" s="1" t="s">
        <v>2032</v>
      </c>
      <c r="O1159">
        <v>4.9746764277251498E-2</v>
      </c>
      <c r="P1159">
        <v>1</v>
      </c>
      <c r="Q1159">
        <v>0</v>
      </c>
      <c r="R1159">
        <v>1</v>
      </c>
      <c r="S1159">
        <v>0</v>
      </c>
      <c r="T1159">
        <v>348.91455020000001</v>
      </c>
      <c r="U1159">
        <f t="shared" si="36"/>
        <v>1</v>
      </c>
      <c r="V1159">
        <f t="shared" si="37"/>
        <v>1</v>
      </c>
    </row>
    <row r="1160" spans="1:22" x14ac:dyDescent="0.2">
      <c r="A1160" t="s">
        <v>2021</v>
      </c>
      <c r="B1160" t="s">
        <v>28</v>
      </c>
      <c r="C1160" t="s">
        <v>76</v>
      </c>
      <c r="D1160" t="s">
        <v>77</v>
      </c>
      <c r="E1160" s="1" t="s">
        <v>99</v>
      </c>
      <c r="F1160" t="s">
        <v>100</v>
      </c>
      <c r="G1160">
        <v>39</v>
      </c>
      <c r="H1160">
        <v>2819469265</v>
      </c>
      <c r="I1160">
        <v>293273073</v>
      </c>
      <c r="J1160">
        <v>2</v>
      </c>
      <c r="K1160">
        <v>21</v>
      </c>
      <c r="L1160">
        <v>-2526196192</v>
      </c>
      <c r="M1160" s="1" t="s">
        <v>2033</v>
      </c>
      <c r="N1160">
        <v>9.4216944788444598E-2</v>
      </c>
      <c r="O1160">
        <v>3.6450870312453101E-2</v>
      </c>
      <c r="P1160">
        <v>1</v>
      </c>
      <c r="Q1160">
        <v>0</v>
      </c>
      <c r="R1160">
        <v>1</v>
      </c>
      <c r="S1160">
        <v>0</v>
      </c>
      <c r="T1160">
        <v>348.91455020000001</v>
      </c>
      <c r="U1160">
        <f t="shared" si="36"/>
        <v>1</v>
      </c>
      <c r="V1160">
        <f t="shared" si="37"/>
        <v>1</v>
      </c>
    </row>
    <row r="1161" spans="1:22" x14ac:dyDescent="0.2">
      <c r="A1161" t="s">
        <v>2021</v>
      </c>
      <c r="B1161" t="s">
        <v>28</v>
      </c>
      <c r="C1161" t="s">
        <v>76</v>
      </c>
      <c r="D1161" t="s">
        <v>77</v>
      </c>
      <c r="E1161" s="1" t="s">
        <v>89</v>
      </c>
      <c r="F1161" t="s">
        <v>90</v>
      </c>
      <c r="G1161">
        <v>34</v>
      </c>
      <c r="H1161">
        <v>885250621</v>
      </c>
      <c r="I1161">
        <v>5809232</v>
      </c>
      <c r="J1161">
        <v>1</v>
      </c>
      <c r="K1161">
        <v>40</v>
      </c>
      <c r="L1161">
        <v>-879441389</v>
      </c>
      <c r="M1161" s="1" t="s">
        <v>2034</v>
      </c>
      <c r="N1161">
        <v>6.5194632890726804E-3</v>
      </c>
      <c r="O1161" s="1" t="s">
        <v>2035</v>
      </c>
      <c r="P1161">
        <v>1</v>
      </c>
      <c r="Q1161">
        <v>0</v>
      </c>
      <c r="R1161">
        <v>1</v>
      </c>
      <c r="S1161">
        <v>0</v>
      </c>
      <c r="T1161">
        <v>348.91455020000001</v>
      </c>
      <c r="U1161">
        <f t="shared" si="36"/>
        <v>1</v>
      </c>
      <c r="V1161">
        <f t="shared" si="37"/>
        <v>1</v>
      </c>
    </row>
    <row r="1162" spans="1:22" x14ac:dyDescent="0.2">
      <c r="A1162" t="s">
        <v>2021</v>
      </c>
      <c r="B1162" t="s">
        <v>28</v>
      </c>
      <c r="C1162" t="s">
        <v>76</v>
      </c>
      <c r="D1162" t="s">
        <v>77</v>
      </c>
      <c r="E1162" s="1" t="s">
        <v>89</v>
      </c>
      <c r="F1162" t="s">
        <v>90</v>
      </c>
      <c r="G1162">
        <v>28</v>
      </c>
      <c r="H1162">
        <v>884597076</v>
      </c>
      <c r="I1162">
        <v>3029582641</v>
      </c>
      <c r="J1162">
        <v>9</v>
      </c>
      <c r="K1162">
        <v>1</v>
      </c>
      <c r="L1162">
        <v>2144985565</v>
      </c>
      <c r="M1162" s="1" t="s">
        <v>2036</v>
      </c>
      <c r="N1162" s="1" t="s">
        <v>2037</v>
      </c>
      <c r="O1162">
        <v>4.5835871315861303E-2</v>
      </c>
      <c r="P1162">
        <v>0</v>
      </c>
      <c r="Q1162">
        <v>1</v>
      </c>
      <c r="R1162">
        <v>1</v>
      </c>
      <c r="S1162">
        <v>1</v>
      </c>
      <c r="T1162">
        <v>348.91455020000001</v>
      </c>
      <c r="U1162">
        <f t="shared" si="36"/>
        <v>1</v>
      </c>
      <c r="V1162">
        <f t="shared" si="37"/>
        <v>1</v>
      </c>
    </row>
    <row r="1163" spans="1:22" x14ac:dyDescent="0.2">
      <c r="A1163" t="s">
        <v>2021</v>
      </c>
      <c r="B1163" t="s">
        <v>28</v>
      </c>
      <c r="C1163" t="s">
        <v>76</v>
      </c>
      <c r="D1163" t="s">
        <v>77</v>
      </c>
      <c r="E1163" s="1" t="s">
        <v>99</v>
      </c>
      <c r="F1163" t="s">
        <v>100</v>
      </c>
      <c r="G1163">
        <v>40</v>
      </c>
      <c r="H1163">
        <v>1260333195</v>
      </c>
      <c r="I1163">
        <v>20814694</v>
      </c>
      <c r="J1163">
        <v>4</v>
      </c>
      <c r="K1163">
        <v>39</v>
      </c>
      <c r="L1163">
        <v>-1239518501</v>
      </c>
      <c r="M1163">
        <v>0.98375309035068004</v>
      </c>
      <c r="N1163" s="1" t="s">
        <v>2038</v>
      </c>
      <c r="O1163" s="1" t="s">
        <v>2039</v>
      </c>
      <c r="P1163">
        <v>1</v>
      </c>
      <c r="Q1163">
        <v>0</v>
      </c>
      <c r="R1163">
        <v>1</v>
      </c>
      <c r="S1163">
        <v>0</v>
      </c>
      <c r="T1163">
        <v>348.91455020000001</v>
      </c>
      <c r="U1163">
        <f t="shared" si="36"/>
        <v>1</v>
      </c>
      <c r="V1163">
        <f t="shared" si="37"/>
        <v>1</v>
      </c>
    </row>
    <row r="1164" spans="1:22" x14ac:dyDescent="0.2">
      <c r="A1164" t="s">
        <v>2021</v>
      </c>
      <c r="B1164" t="s">
        <v>28</v>
      </c>
      <c r="C1164" t="s">
        <v>76</v>
      </c>
      <c r="D1164" t="s">
        <v>77</v>
      </c>
      <c r="E1164">
        <v>20</v>
      </c>
      <c r="F1164" t="s">
        <v>104</v>
      </c>
      <c r="G1164">
        <v>96</v>
      </c>
      <c r="H1164">
        <v>461973698</v>
      </c>
      <c r="I1164">
        <v>4612199</v>
      </c>
      <c r="J1164">
        <v>2</v>
      </c>
      <c r="K1164">
        <v>39</v>
      </c>
      <c r="L1164">
        <v>-457361499</v>
      </c>
      <c r="M1164">
        <v>0.99011500555491505</v>
      </c>
      <c r="N1164">
        <v>9.8849944450849908E-3</v>
      </c>
      <c r="O1164">
        <v>5.4638194152922502E-3</v>
      </c>
      <c r="P1164">
        <v>1</v>
      </c>
      <c r="Q1164">
        <v>0</v>
      </c>
      <c r="R1164">
        <v>1</v>
      </c>
      <c r="S1164">
        <v>0</v>
      </c>
      <c r="T1164">
        <v>348.91455020000001</v>
      </c>
      <c r="U1164">
        <f t="shared" si="36"/>
        <v>1</v>
      </c>
      <c r="V1164">
        <f t="shared" si="37"/>
        <v>1</v>
      </c>
    </row>
    <row r="1165" spans="1:22" x14ac:dyDescent="0.2">
      <c r="A1165" t="s">
        <v>2021</v>
      </c>
      <c r="B1165" t="s">
        <v>28</v>
      </c>
      <c r="C1165" t="s">
        <v>76</v>
      </c>
      <c r="D1165" t="s">
        <v>77</v>
      </c>
      <c r="E1165" s="1" t="s">
        <v>110</v>
      </c>
      <c r="F1165" t="s">
        <v>111</v>
      </c>
      <c r="G1165">
        <v>15</v>
      </c>
      <c r="H1165">
        <v>748381400</v>
      </c>
      <c r="I1165">
        <v>18326877</v>
      </c>
      <c r="J1165">
        <v>5</v>
      </c>
      <c r="K1165">
        <v>20</v>
      </c>
      <c r="L1165">
        <v>-730054523</v>
      </c>
      <c r="M1165" s="1" t="s">
        <v>2040</v>
      </c>
      <c r="N1165" s="1" t="s">
        <v>2041</v>
      </c>
      <c r="O1165">
        <v>8.97831588282633E-3</v>
      </c>
      <c r="P1165">
        <v>1</v>
      </c>
      <c r="Q1165">
        <v>0</v>
      </c>
      <c r="R1165">
        <v>1</v>
      </c>
      <c r="S1165">
        <v>0</v>
      </c>
      <c r="T1165">
        <v>348.91455020000001</v>
      </c>
      <c r="U1165">
        <f t="shared" si="36"/>
        <v>1</v>
      </c>
      <c r="V1165">
        <f t="shared" si="37"/>
        <v>1</v>
      </c>
    </row>
    <row r="1166" spans="1:22" x14ac:dyDescent="0.2">
      <c r="A1166" t="s">
        <v>2021</v>
      </c>
      <c r="B1166" t="s">
        <v>28</v>
      </c>
      <c r="C1166" t="s">
        <v>76</v>
      </c>
      <c r="D1166" t="s">
        <v>77</v>
      </c>
      <c r="E1166" s="1" t="s">
        <v>89</v>
      </c>
      <c r="F1166" t="s">
        <v>90</v>
      </c>
      <c r="G1166">
        <v>30</v>
      </c>
      <c r="H1166">
        <v>682812469</v>
      </c>
      <c r="I1166">
        <v>125837995</v>
      </c>
      <c r="J1166">
        <v>1</v>
      </c>
      <c r="K1166">
        <v>31</v>
      </c>
      <c r="L1166">
        <v>-556974474</v>
      </c>
      <c r="M1166" s="1" t="s">
        <v>2042</v>
      </c>
      <c r="N1166" s="1" t="s">
        <v>2043</v>
      </c>
      <c r="O1166">
        <v>9.4694677524474902E-3</v>
      </c>
      <c r="P1166">
        <v>1</v>
      </c>
      <c r="Q1166">
        <v>0</v>
      </c>
      <c r="R1166">
        <v>1</v>
      </c>
      <c r="S1166">
        <v>0</v>
      </c>
      <c r="T1166">
        <v>348.91455020000001</v>
      </c>
      <c r="U1166">
        <f t="shared" si="36"/>
        <v>1</v>
      </c>
      <c r="V1166">
        <f t="shared" si="37"/>
        <v>1</v>
      </c>
    </row>
    <row r="1167" spans="1:22" x14ac:dyDescent="0.2">
      <c r="A1167" t="s">
        <v>2021</v>
      </c>
      <c r="B1167" t="s">
        <v>28</v>
      </c>
      <c r="C1167" t="s">
        <v>76</v>
      </c>
      <c r="D1167" t="s">
        <v>77</v>
      </c>
      <c r="E1167" s="1" t="s">
        <v>138</v>
      </c>
      <c r="F1167" t="s">
        <v>139</v>
      </c>
      <c r="G1167">
        <v>18</v>
      </c>
      <c r="H1167">
        <v>625298555</v>
      </c>
      <c r="I1167">
        <v>106186183</v>
      </c>
      <c r="J1167">
        <v>1</v>
      </c>
      <c r="K1167">
        <v>13</v>
      </c>
      <c r="L1167">
        <v>-519112372</v>
      </c>
      <c r="M1167" s="1" t="s">
        <v>2044</v>
      </c>
      <c r="N1167" s="1" t="s">
        <v>2045</v>
      </c>
      <c r="O1167">
        <v>8.5658408005297396E-3</v>
      </c>
      <c r="P1167">
        <v>1</v>
      </c>
      <c r="Q1167">
        <v>0</v>
      </c>
      <c r="R1167">
        <v>1</v>
      </c>
      <c r="S1167">
        <v>0</v>
      </c>
      <c r="T1167">
        <v>348.91455020000001</v>
      </c>
      <c r="U1167">
        <f t="shared" si="36"/>
        <v>1</v>
      </c>
      <c r="V1167">
        <f t="shared" si="37"/>
        <v>1</v>
      </c>
    </row>
    <row r="1168" spans="1:22" x14ac:dyDescent="0.2">
      <c r="A1168" t="s">
        <v>2021</v>
      </c>
      <c r="B1168" t="s">
        <v>28</v>
      </c>
      <c r="C1168" t="s">
        <v>76</v>
      </c>
      <c r="D1168" t="s">
        <v>77</v>
      </c>
      <c r="E1168">
        <v>15</v>
      </c>
      <c r="F1168" t="s">
        <v>88</v>
      </c>
      <c r="G1168">
        <v>73</v>
      </c>
      <c r="H1168">
        <v>3463247306</v>
      </c>
      <c r="I1168">
        <v>798462326</v>
      </c>
      <c r="J1168">
        <v>1</v>
      </c>
      <c r="K1168">
        <v>8</v>
      </c>
      <c r="L1168">
        <v>-2664784980</v>
      </c>
      <c r="M1168" s="1" t="s">
        <v>2046</v>
      </c>
      <c r="N1168" s="1" t="s">
        <v>2047</v>
      </c>
      <c r="O1168">
        <v>4.9905520032594498E-2</v>
      </c>
      <c r="P1168">
        <v>1</v>
      </c>
      <c r="Q1168">
        <v>0</v>
      </c>
      <c r="R1168">
        <v>1</v>
      </c>
      <c r="S1168">
        <v>1</v>
      </c>
      <c r="T1168">
        <v>348.91455020000001</v>
      </c>
      <c r="U1168">
        <f t="shared" si="36"/>
        <v>1</v>
      </c>
      <c r="V1168">
        <f t="shared" si="37"/>
        <v>1</v>
      </c>
    </row>
    <row r="1169" spans="1:22" x14ac:dyDescent="0.2">
      <c r="A1169" t="s">
        <v>2021</v>
      </c>
      <c r="B1169" t="s">
        <v>28</v>
      </c>
      <c r="C1169" t="s">
        <v>76</v>
      </c>
      <c r="D1169" t="s">
        <v>77</v>
      </c>
      <c r="E1169" s="1" t="s">
        <v>93</v>
      </c>
      <c r="F1169" t="s">
        <v>94</v>
      </c>
      <c r="G1169">
        <v>44</v>
      </c>
      <c r="H1169">
        <v>1291323372</v>
      </c>
      <c r="I1169">
        <v>3501601</v>
      </c>
      <c r="J1169">
        <v>7</v>
      </c>
      <c r="K1169">
        <v>34</v>
      </c>
      <c r="L1169">
        <v>-1287821771</v>
      </c>
      <c r="M1169" s="1" t="s">
        <v>2048</v>
      </c>
      <c r="N1169">
        <v>2.7043044990761001E-3</v>
      </c>
      <c r="O1169" s="1" t="s">
        <v>2049</v>
      </c>
      <c r="P1169">
        <v>0</v>
      </c>
      <c r="Q1169">
        <v>0</v>
      </c>
      <c r="R1169">
        <v>1</v>
      </c>
      <c r="S1169">
        <v>0</v>
      </c>
      <c r="T1169">
        <v>348.91455020000001</v>
      </c>
      <c r="U1169">
        <f t="shared" si="36"/>
        <v>0</v>
      </c>
      <c r="V1169">
        <f t="shared" si="37"/>
        <v>1</v>
      </c>
    </row>
    <row r="1170" spans="1:22" x14ac:dyDescent="0.2">
      <c r="A1170" t="s">
        <v>2021</v>
      </c>
      <c r="B1170" t="s">
        <v>28</v>
      </c>
      <c r="C1170" t="s">
        <v>76</v>
      </c>
      <c r="D1170" t="s">
        <v>77</v>
      </c>
      <c r="E1170">
        <v>13</v>
      </c>
      <c r="F1170" t="s">
        <v>91</v>
      </c>
      <c r="G1170">
        <v>70</v>
      </c>
      <c r="H1170">
        <v>531199643</v>
      </c>
      <c r="I1170">
        <v>16385743</v>
      </c>
      <c r="J1170">
        <v>1</v>
      </c>
      <c r="K1170">
        <v>31</v>
      </c>
      <c r="L1170">
        <v>-514813900</v>
      </c>
      <c r="M1170" s="1" t="s">
        <v>2050</v>
      </c>
      <c r="N1170" s="1" t="s">
        <v>2051</v>
      </c>
      <c r="O1170">
        <v>6.4123405417826004E-3</v>
      </c>
      <c r="P1170">
        <v>1</v>
      </c>
      <c r="Q1170">
        <v>0</v>
      </c>
      <c r="R1170">
        <v>1</v>
      </c>
      <c r="S1170">
        <v>0</v>
      </c>
      <c r="T1170">
        <v>348.91455020000001</v>
      </c>
      <c r="U1170">
        <f t="shared" si="36"/>
        <v>1</v>
      </c>
      <c r="V1170">
        <f t="shared" si="37"/>
        <v>1</v>
      </c>
    </row>
    <row r="1171" spans="1:22" x14ac:dyDescent="0.2">
      <c r="A1171" t="s">
        <v>2021</v>
      </c>
      <c r="B1171" t="s">
        <v>28</v>
      </c>
      <c r="C1171" t="s">
        <v>76</v>
      </c>
      <c r="D1171" t="s">
        <v>77</v>
      </c>
      <c r="E1171">
        <v>13</v>
      </c>
      <c r="F1171" t="s">
        <v>91</v>
      </c>
      <c r="G1171">
        <v>69</v>
      </c>
      <c r="H1171">
        <v>678484134</v>
      </c>
      <c r="I1171">
        <v>7333282</v>
      </c>
      <c r="J1171">
        <v>1</v>
      </c>
      <c r="K1171">
        <v>29</v>
      </c>
      <c r="L1171">
        <v>-671150852</v>
      </c>
      <c r="M1171" s="1" t="s">
        <v>2052</v>
      </c>
      <c r="N1171" s="1" t="s">
        <v>2053</v>
      </c>
      <c r="O1171">
        <v>8.0310668131625094E-3</v>
      </c>
      <c r="P1171">
        <v>1</v>
      </c>
      <c r="Q1171">
        <v>0</v>
      </c>
      <c r="R1171">
        <v>1</v>
      </c>
      <c r="S1171">
        <v>0</v>
      </c>
      <c r="T1171">
        <v>348.91455020000001</v>
      </c>
      <c r="U1171">
        <f t="shared" si="36"/>
        <v>1</v>
      </c>
      <c r="V1171">
        <f t="shared" si="37"/>
        <v>1</v>
      </c>
    </row>
    <row r="1172" spans="1:22" x14ac:dyDescent="0.2">
      <c r="A1172" t="s">
        <v>2021</v>
      </c>
      <c r="B1172" t="s">
        <v>28</v>
      </c>
      <c r="C1172" t="s">
        <v>76</v>
      </c>
      <c r="D1172" t="s">
        <v>77</v>
      </c>
      <c r="E1172">
        <v>15</v>
      </c>
      <c r="F1172" t="s">
        <v>88</v>
      </c>
      <c r="G1172">
        <v>72</v>
      </c>
      <c r="H1172">
        <v>4241251853</v>
      </c>
      <c r="I1172">
        <v>4901167983</v>
      </c>
      <c r="J1172">
        <v>6</v>
      </c>
      <c r="K1172">
        <v>1</v>
      </c>
      <c r="L1172">
        <v>659916130</v>
      </c>
      <c r="M1172" s="1" t="s">
        <v>2054</v>
      </c>
      <c r="N1172" s="1" t="s">
        <v>2055</v>
      </c>
      <c r="O1172" s="1" t="s">
        <v>2056</v>
      </c>
      <c r="P1172">
        <v>0</v>
      </c>
      <c r="Q1172">
        <v>1</v>
      </c>
      <c r="R1172">
        <v>1</v>
      </c>
      <c r="S1172">
        <v>1</v>
      </c>
      <c r="T1172">
        <v>348.91455020000001</v>
      </c>
      <c r="U1172">
        <f t="shared" si="36"/>
        <v>1</v>
      </c>
      <c r="V1172">
        <f t="shared" si="37"/>
        <v>1</v>
      </c>
    </row>
    <row r="1173" spans="1:22" x14ac:dyDescent="0.2">
      <c r="A1173" t="s">
        <v>2021</v>
      </c>
      <c r="B1173" t="s">
        <v>28</v>
      </c>
      <c r="C1173" t="s">
        <v>76</v>
      </c>
      <c r="D1173" t="s">
        <v>77</v>
      </c>
      <c r="E1173" s="1" t="s">
        <v>138</v>
      </c>
      <c r="F1173" t="s">
        <v>139</v>
      </c>
      <c r="G1173">
        <v>21</v>
      </c>
      <c r="H1173">
        <v>800730782</v>
      </c>
      <c r="I1173">
        <v>27531739</v>
      </c>
      <c r="J1173">
        <v>1</v>
      </c>
      <c r="K1173">
        <v>36</v>
      </c>
      <c r="L1173">
        <v>-773199043</v>
      </c>
      <c r="M1173" s="1" t="s">
        <v>2057</v>
      </c>
      <c r="N1173">
        <v>3.3240353513472501E-2</v>
      </c>
      <c r="O1173">
        <v>9.69912908276074E-3</v>
      </c>
      <c r="P1173">
        <v>1</v>
      </c>
      <c r="Q1173">
        <v>0</v>
      </c>
      <c r="R1173">
        <v>1</v>
      </c>
      <c r="S1173">
        <v>0</v>
      </c>
      <c r="T1173">
        <v>348.91455020000001</v>
      </c>
      <c r="U1173">
        <f t="shared" si="36"/>
        <v>1</v>
      </c>
      <c r="V1173">
        <f t="shared" si="37"/>
        <v>1</v>
      </c>
    </row>
    <row r="1174" spans="1:22" x14ac:dyDescent="0.2">
      <c r="A1174" t="s">
        <v>2021</v>
      </c>
      <c r="B1174" t="s">
        <v>28</v>
      </c>
      <c r="C1174" t="s">
        <v>76</v>
      </c>
      <c r="D1174" t="s">
        <v>77</v>
      </c>
      <c r="E1174" s="1" t="s">
        <v>138</v>
      </c>
      <c r="F1174" t="s">
        <v>139</v>
      </c>
      <c r="G1174">
        <v>16</v>
      </c>
      <c r="H1174">
        <v>417605759</v>
      </c>
      <c r="I1174">
        <v>49878355</v>
      </c>
      <c r="J1174">
        <v>1</v>
      </c>
      <c r="K1174">
        <v>5</v>
      </c>
      <c r="L1174">
        <v>-367727404</v>
      </c>
      <c r="M1174">
        <v>0.89330470596483202</v>
      </c>
      <c r="N1174">
        <v>0.106695294035168</v>
      </c>
      <c r="O1174">
        <v>5.47433772610126E-3</v>
      </c>
      <c r="P1174">
        <v>1</v>
      </c>
      <c r="Q1174">
        <v>1</v>
      </c>
      <c r="R1174">
        <v>1</v>
      </c>
      <c r="S1174">
        <v>1</v>
      </c>
      <c r="T1174">
        <v>348.91455020000001</v>
      </c>
      <c r="U1174">
        <f t="shared" si="36"/>
        <v>1</v>
      </c>
      <c r="V1174">
        <f t="shared" si="37"/>
        <v>1</v>
      </c>
    </row>
    <row r="1175" spans="1:22" x14ac:dyDescent="0.2">
      <c r="A1175" t="s">
        <v>2021</v>
      </c>
      <c r="B1175" t="s">
        <v>28</v>
      </c>
      <c r="C1175" t="s">
        <v>76</v>
      </c>
      <c r="D1175" t="s">
        <v>77</v>
      </c>
      <c r="E1175">
        <v>16</v>
      </c>
      <c r="F1175" t="s">
        <v>95</v>
      </c>
      <c r="G1175">
        <v>84</v>
      </c>
      <c r="H1175">
        <v>5762919913</v>
      </c>
      <c r="I1175">
        <v>597009952</v>
      </c>
      <c r="J1175">
        <v>1</v>
      </c>
      <c r="K1175">
        <v>34</v>
      </c>
      <c r="L1175">
        <v>-5165909961</v>
      </c>
      <c r="M1175" s="1" t="s">
        <v>2058</v>
      </c>
      <c r="N1175">
        <v>9.3870524466860603E-2</v>
      </c>
      <c r="O1175">
        <v>7.44761221882453E-2</v>
      </c>
      <c r="P1175">
        <v>1</v>
      </c>
      <c r="Q1175">
        <v>0</v>
      </c>
      <c r="R1175">
        <v>1</v>
      </c>
      <c r="S1175">
        <v>0</v>
      </c>
      <c r="T1175">
        <v>348.91455020000001</v>
      </c>
      <c r="U1175">
        <f t="shared" si="36"/>
        <v>1</v>
      </c>
      <c r="V1175">
        <f t="shared" si="37"/>
        <v>1</v>
      </c>
    </row>
    <row r="1176" spans="1:22" x14ac:dyDescent="0.2">
      <c r="A1176" t="s">
        <v>2021</v>
      </c>
      <c r="B1176" t="s">
        <v>28</v>
      </c>
      <c r="C1176" t="s">
        <v>76</v>
      </c>
      <c r="D1176" t="s">
        <v>77</v>
      </c>
      <c r="E1176" s="1" t="s">
        <v>138</v>
      </c>
      <c r="F1176" t="s">
        <v>139</v>
      </c>
      <c r="G1176">
        <v>20</v>
      </c>
      <c r="H1176">
        <v>631692062</v>
      </c>
      <c r="I1176">
        <v>18213515</v>
      </c>
      <c r="J1176">
        <v>1</v>
      </c>
      <c r="K1176">
        <v>38</v>
      </c>
      <c r="L1176">
        <v>-613478547</v>
      </c>
      <c r="M1176" s="1" t="s">
        <v>2059</v>
      </c>
      <c r="N1176" s="1" t="s">
        <v>2060</v>
      </c>
      <c r="O1176">
        <v>7.6105315924697003E-3</v>
      </c>
      <c r="P1176">
        <v>1</v>
      </c>
      <c r="Q1176">
        <v>0</v>
      </c>
      <c r="R1176">
        <v>1</v>
      </c>
      <c r="S1176">
        <v>0</v>
      </c>
      <c r="T1176">
        <v>348.91455020000001</v>
      </c>
      <c r="U1176">
        <f t="shared" si="36"/>
        <v>1</v>
      </c>
      <c r="V1176">
        <f t="shared" si="37"/>
        <v>1</v>
      </c>
    </row>
    <row r="1177" spans="1:22" x14ac:dyDescent="0.2">
      <c r="A1177" t="s">
        <v>2021</v>
      </c>
      <c r="B1177" t="s">
        <v>28</v>
      </c>
      <c r="C1177" t="s">
        <v>76</v>
      </c>
      <c r="D1177" t="s">
        <v>77</v>
      </c>
      <c r="E1177" s="1" t="s">
        <v>138</v>
      </c>
      <c r="F1177" t="s">
        <v>139</v>
      </c>
      <c r="G1177">
        <v>19</v>
      </c>
      <c r="H1177">
        <v>926669733</v>
      </c>
      <c r="I1177">
        <v>88419043</v>
      </c>
      <c r="J1177">
        <v>1</v>
      </c>
      <c r="K1177">
        <v>12</v>
      </c>
      <c r="L1177">
        <v>-838250690</v>
      </c>
      <c r="M1177" s="1" t="s">
        <v>2061</v>
      </c>
      <c r="N1177">
        <v>8.7104739103134293E-2</v>
      </c>
      <c r="O1177" s="1" t="s">
        <v>2062</v>
      </c>
      <c r="P1177">
        <v>1</v>
      </c>
      <c r="Q1177">
        <v>0</v>
      </c>
      <c r="R1177">
        <v>1</v>
      </c>
      <c r="S1177">
        <v>0</v>
      </c>
      <c r="T1177">
        <v>348.91455020000001</v>
      </c>
      <c r="U1177">
        <f t="shared" si="36"/>
        <v>1</v>
      </c>
      <c r="V1177">
        <f t="shared" si="37"/>
        <v>1</v>
      </c>
    </row>
    <row r="1178" spans="1:22" x14ac:dyDescent="0.2">
      <c r="A1178" t="s">
        <v>2021</v>
      </c>
      <c r="B1178" t="s">
        <v>28</v>
      </c>
      <c r="C1178" t="s">
        <v>76</v>
      </c>
      <c r="D1178" t="s">
        <v>77</v>
      </c>
      <c r="E1178" s="1" t="s">
        <v>89</v>
      </c>
      <c r="F1178" t="s">
        <v>90</v>
      </c>
      <c r="G1178">
        <v>29</v>
      </c>
      <c r="H1178">
        <v>493012167</v>
      </c>
      <c r="I1178">
        <v>132996127</v>
      </c>
      <c r="J1178">
        <v>10</v>
      </c>
      <c r="K1178">
        <v>17</v>
      </c>
      <c r="L1178">
        <v>-360016040</v>
      </c>
      <c r="M1178" s="1" t="s">
        <v>2063</v>
      </c>
      <c r="N1178" s="1" t="s">
        <v>2064</v>
      </c>
      <c r="O1178">
        <v>7.3306893604869897E-3</v>
      </c>
      <c r="P1178">
        <v>0</v>
      </c>
      <c r="Q1178">
        <v>0</v>
      </c>
      <c r="R1178">
        <v>1</v>
      </c>
      <c r="S1178">
        <v>0</v>
      </c>
      <c r="T1178">
        <v>348.91455020000001</v>
      </c>
      <c r="U1178">
        <f t="shared" si="36"/>
        <v>0</v>
      </c>
      <c r="V1178">
        <f t="shared" si="37"/>
        <v>1</v>
      </c>
    </row>
    <row r="1179" spans="1:22" x14ac:dyDescent="0.2">
      <c r="A1179" t="s">
        <v>2021</v>
      </c>
      <c r="B1179" t="s">
        <v>28</v>
      </c>
      <c r="C1179" t="s">
        <v>76</v>
      </c>
      <c r="D1179" t="s">
        <v>77</v>
      </c>
      <c r="E1179">
        <v>10</v>
      </c>
      <c r="F1179" t="s">
        <v>119</v>
      </c>
      <c r="G1179">
        <v>48</v>
      </c>
      <c r="H1179">
        <v>1300474754</v>
      </c>
      <c r="I1179">
        <v>13381030</v>
      </c>
      <c r="J1179">
        <v>1</v>
      </c>
      <c r="K1179">
        <v>38</v>
      </c>
      <c r="L1179">
        <v>-1287093724</v>
      </c>
      <c r="M1179" s="1" t="s">
        <v>2065</v>
      </c>
      <c r="N1179" s="1" t="s">
        <v>2066</v>
      </c>
      <c r="O1179" s="1" t="s">
        <v>2067</v>
      </c>
      <c r="P1179">
        <v>1</v>
      </c>
      <c r="Q1179">
        <v>0</v>
      </c>
      <c r="R1179">
        <v>1</v>
      </c>
      <c r="S1179">
        <v>0</v>
      </c>
      <c r="T1179">
        <v>348.91455020000001</v>
      </c>
      <c r="U1179">
        <f t="shared" si="36"/>
        <v>1</v>
      </c>
      <c r="V1179">
        <f t="shared" si="37"/>
        <v>1</v>
      </c>
    </row>
    <row r="1180" spans="1:22" x14ac:dyDescent="0.2">
      <c r="A1180" t="s">
        <v>2021</v>
      </c>
      <c r="B1180" t="s">
        <v>28</v>
      </c>
      <c r="C1180" t="s">
        <v>76</v>
      </c>
      <c r="D1180" t="s">
        <v>77</v>
      </c>
      <c r="E1180" s="1" t="s">
        <v>89</v>
      </c>
      <c r="F1180" t="s">
        <v>90</v>
      </c>
      <c r="G1180">
        <v>38</v>
      </c>
      <c r="H1180">
        <v>836198048</v>
      </c>
      <c r="I1180">
        <v>74405936</v>
      </c>
      <c r="J1180">
        <v>1</v>
      </c>
      <c r="K1180">
        <v>27</v>
      </c>
      <c r="L1180">
        <v>-761792112</v>
      </c>
      <c r="M1180">
        <v>0.91828946797140298</v>
      </c>
      <c r="N1180">
        <v>8.1710532028596905E-2</v>
      </c>
      <c r="O1180" s="1" t="s">
        <v>2068</v>
      </c>
      <c r="P1180">
        <v>1</v>
      </c>
      <c r="Q1180">
        <v>0</v>
      </c>
      <c r="R1180">
        <v>1</v>
      </c>
      <c r="S1180">
        <v>0</v>
      </c>
      <c r="T1180">
        <v>348.91455020000001</v>
      </c>
      <c r="U1180">
        <f t="shared" si="36"/>
        <v>1</v>
      </c>
      <c r="V1180">
        <f t="shared" si="37"/>
        <v>1</v>
      </c>
    </row>
    <row r="1181" spans="1:22" x14ac:dyDescent="0.2">
      <c r="A1181" t="s">
        <v>2021</v>
      </c>
      <c r="B1181" t="s">
        <v>28</v>
      </c>
      <c r="C1181" t="s">
        <v>76</v>
      </c>
      <c r="D1181" t="s">
        <v>77</v>
      </c>
      <c r="E1181">
        <v>17</v>
      </c>
      <c r="F1181" t="s">
        <v>97</v>
      </c>
      <c r="G1181">
        <v>86</v>
      </c>
      <c r="H1181">
        <v>1297992729</v>
      </c>
      <c r="I1181">
        <v>224073680</v>
      </c>
      <c r="J1181">
        <v>1</v>
      </c>
      <c r="K1181">
        <v>5</v>
      </c>
      <c r="L1181">
        <v>-1073919049</v>
      </c>
      <c r="M1181" s="1" t="s">
        <v>2069</v>
      </c>
      <c r="N1181" s="1" t="s">
        <v>2070</v>
      </c>
      <c r="O1181" s="1" t="s">
        <v>2071</v>
      </c>
      <c r="P1181">
        <v>1</v>
      </c>
      <c r="Q1181">
        <v>1</v>
      </c>
      <c r="R1181">
        <v>1</v>
      </c>
      <c r="S1181">
        <v>1</v>
      </c>
      <c r="T1181">
        <v>348.91455020000001</v>
      </c>
      <c r="U1181">
        <f t="shared" si="36"/>
        <v>1</v>
      </c>
      <c r="V1181">
        <f t="shared" si="37"/>
        <v>1</v>
      </c>
    </row>
    <row r="1182" spans="1:22" x14ac:dyDescent="0.2">
      <c r="A1182" t="s">
        <v>2021</v>
      </c>
      <c r="B1182" t="s">
        <v>28</v>
      </c>
      <c r="C1182" t="s">
        <v>76</v>
      </c>
      <c r="D1182" t="s">
        <v>77</v>
      </c>
      <c r="E1182">
        <v>20</v>
      </c>
      <c r="F1182" t="s">
        <v>104</v>
      </c>
      <c r="G1182">
        <v>95</v>
      </c>
      <c r="H1182">
        <v>317945995</v>
      </c>
      <c r="I1182">
        <v>38839958</v>
      </c>
      <c r="J1182">
        <v>1</v>
      </c>
      <c r="K1182">
        <v>21</v>
      </c>
      <c r="L1182">
        <v>-279106037</v>
      </c>
      <c r="M1182" s="1" t="s">
        <v>2072</v>
      </c>
      <c r="N1182" s="1" t="s">
        <v>2073</v>
      </c>
      <c r="O1182">
        <v>4.17803887695506E-3</v>
      </c>
      <c r="P1182">
        <v>1</v>
      </c>
      <c r="Q1182">
        <v>0</v>
      </c>
      <c r="R1182">
        <v>1</v>
      </c>
      <c r="S1182">
        <v>0</v>
      </c>
      <c r="T1182">
        <v>348.91455020000001</v>
      </c>
      <c r="U1182">
        <f t="shared" si="36"/>
        <v>1</v>
      </c>
      <c r="V1182">
        <f t="shared" si="37"/>
        <v>1</v>
      </c>
    </row>
    <row r="1183" spans="1:22" x14ac:dyDescent="0.2">
      <c r="A1183" t="s">
        <v>2021</v>
      </c>
      <c r="B1183" t="s">
        <v>28</v>
      </c>
      <c r="C1183" t="s">
        <v>76</v>
      </c>
      <c r="D1183" t="s">
        <v>77</v>
      </c>
      <c r="E1183">
        <v>20</v>
      </c>
      <c r="F1183" t="s">
        <v>104</v>
      </c>
      <c r="G1183">
        <v>94</v>
      </c>
      <c r="H1183">
        <v>865387884</v>
      </c>
      <c r="I1183">
        <v>14221013</v>
      </c>
      <c r="J1183">
        <v>1</v>
      </c>
      <c r="K1183">
        <v>40</v>
      </c>
      <c r="L1183">
        <v>-851166871</v>
      </c>
      <c r="M1183" s="1" t="s">
        <v>2074</v>
      </c>
      <c r="N1183">
        <v>1.61674274197342E-2</v>
      </c>
      <c r="O1183">
        <v>1.03004059921091E-2</v>
      </c>
      <c r="P1183">
        <v>1</v>
      </c>
      <c r="Q1183">
        <v>0</v>
      </c>
      <c r="R1183">
        <v>1</v>
      </c>
      <c r="S1183">
        <v>0</v>
      </c>
      <c r="T1183">
        <v>348.91455020000001</v>
      </c>
      <c r="U1183">
        <f t="shared" si="36"/>
        <v>1</v>
      </c>
      <c r="V1183">
        <f t="shared" si="37"/>
        <v>1</v>
      </c>
    </row>
    <row r="1184" spans="1:22" x14ac:dyDescent="0.2">
      <c r="A1184" t="s">
        <v>2021</v>
      </c>
      <c r="B1184" t="s">
        <v>28</v>
      </c>
      <c r="C1184" t="s">
        <v>76</v>
      </c>
      <c r="D1184" t="s">
        <v>77</v>
      </c>
      <c r="E1184" s="1" t="s">
        <v>89</v>
      </c>
      <c r="F1184" t="s">
        <v>90</v>
      </c>
      <c r="G1184">
        <v>33</v>
      </c>
      <c r="H1184">
        <v>709750573</v>
      </c>
      <c r="I1184">
        <v>12299826</v>
      </c>
      <c r="J1184">
        <v>2</v>
      </c>
      <c r="K1184">
        <v>39</v>
      </c>
      <c r="L1184">
        <v>-697450747</v>
      </c>
      <c r="M1184" s="1" t="s">
        <v>2075</v>
      </c>
      <c r="N1184" s="1" t="s">
        <v>2076</v>
      </c>
      <c r="O1184">
        <v>8.4553626979336598E-3</v>
      </c>
      <c r="P1184">
        <v>1</v>
      </c>
      <c r="Q1184">
        <v>0</v>
      </c>
      <c r="R1184">
        <v>1</v>
      </c>
      <c r="S1184">
        <v>0</v>
      </c>
      <c r="T1184">
        <v>348.91455020000001</v>
      </c>
      <c r="U1184">
        <f t="shared" si="36"/>
        <v>1</v>
      </c>
      <c r="V1184">
        <f t="shared" si="37"/>
        <v>1</v>
      </c>
    </row>
    <row r="1185" spans="1:22" x14ac:dyDescent="0.2">
      <c r="A1185" t="s">
        <v>2021</v>
      </c>
      <c r="B1185" t="s">
        <v>28</v>
      </c>
      <c r="C1185" t="s">
        <v>76</v>
      </c>
      <c r="D1185" t="s">
        <v>77</v>
      </c>
      <c r="E1185">
        <v>15</v>
      </c>
      <c r="F1185" t="s">
        <v>88</v>
      </c>
      <c r="G1185">
        <v>76</v>
      </c>
      <c r="H1185">
        <v>862248812</v>
      </c>
      <c r="I1185">
        <v>462702020</v>
      </c>
      <c r="J1185">
        <v>16</v>
      </c>
      <c r="K1185">
        <v>4</v>
      </c>
      <c r="L1185">
        <v>-399546792</v>
      </c>
      <c r="M1185" s="1" t="s">
        <v>2077</v>
      </c>
      <c r="N1185" s="1" t="s">
        <v>2078</v>
      </c>
      <c r="O1185" s="1" t="s">
        <v>2079</v>
      </c>
      <c r="P1185">
        <v>0</v>
      </c>
      <c r="Q1185">
        <v>1</v>
      </c>
      <c r="R1185">
        <v>0</v>
      </c>
      <c r="S1185">
        <v>1</v>
      </c>
      <c r="T1185">
        <v>348.91455020000001</v>
      </c>
      <c r="U1185">
        <f t="shared" si="36"/>
        <v>1</v>
      </c>
      <c r="V1185">
        <f t="shared" si="37"/>
        <v>1</v>
      </c>
    </row>
    <row r="1186" spans="1:22" x14ac:dyDescent="0.2">
      <c r="A1186" t="s">
        <v>2021</v>
      </c>
      <c r="B1186" t="s">
        <v>28</v>
      </c>
      <c r="C1186" t="s">
        <v>76</v>
      </c>
      <c r="D1186" t="s">
        <v>77</v>
      </c>
      <c r="E1186" s="1" t="s">
        <v>155</v>
      </c>
      <c r="F1186" t="s">
        <v>156</v>
      </c>
      <c r="G1186" s="1" t="s">
        <v>138</v>
      </c>
      <c r="H1186">
        <v>559155172</v>
      </c>
      <c r="I1186">
        <v>179578805</v>
      </c>
      <c r="J1186">
        <v>1</v>
      </c>
      <c r="K1186">
        <v>6</v>
      </c>
      <c r="L1186">
        <v>-379576367</v>
      </c>
      <c r="M1186" s="1" t="s">
        <v>2080</v>
      </c>
      <c r="N1186" s="1" t="s">
        <v>2081</v>
      </c>
      <c r="O1186">
        <v>8.6507309205461503E-3</v>
      </c>
      <c r="P1186">
        <v>1</v>
      </c>
      <c r="Q1186">
        <v>0</v>
      </c>
      <c r="R1186">
        <v>1</v>
      </c>
      <c r="S1186">
        <v>1</v>
      </c>
      <c r="T1186">
        <v>348.91455020000001</v>
      </c>
      <c r="U1186">
        <f t="shared" si="36"/>
        <v>1</v>
      </c>
      <c r="V1186">
        <f t="shared" si="37"/>
        <v>1</v>
      </c>
    </row>
    <row r="1187" spans="1:22" x14ac:dyDescent="0.2">
      <c r="A1187" t="s">
        <v>2021</v>
      </c>
      <c r="B1187" t="s">
        <v>28</v>
      </c>
      <c r="C1187" t="s">
        <v>76</v>
      </c>
      <c r="D1187" t="s">
        <v>77</v>
      </c>
      <c r="E1187">
        <v>13</v>
      </c>
      <c r="F1187" t="s">
        <v>91</v>
      </c>
      <c r="G1187">
        <v>68</v>
      </c>
      <c r="H1187">
        <v>534260459</v>
      </c>
      <c r="I1187">
        <v>34574751</v>
      </c>
      <c r="J1187">
        <v>1</v>
      </c>
      <c r="K1187">
        <v>21</v>
      </c>
      <c r="L1187">
        <v>-499685708</v>
      </c>
      <c r="M1187" s="1" t="s">
        <v>2082</v>
      </c>
      <c r="N1187">
        <v>6.0781664693365198E-2</v>
      </c>
      <c r="O1187">
        <v>6.6611804696271098E-3</v>
      </c>
      <c r="P1187">
        <v>1</v>
      </c>
      <c r="Q1187">
        <v>0</v>
      </c>
      <c r="R1187">
        <v>1</v>
      </c>
      <c r="S1187">
        <v>0</v>
      </c>
      <c r="T1187">
        <v>348.91455020000001</v>
      </c>
      <c r="U1187">
        <f t="shared" si="36"/>
        <v>1</v>
      </c>
      <c r="V1187">
        <f t="shared" si="37"/>
        <v>1</v>
      </c>
    </row>
    <row r="1188" spans="1:22" x14ac:dyDescent="0.2">
      <c r="A1188" t="s">
        <v>2021</v>
      </c>
      <c r="B1188" t="s">
        <v>28</v>
      </c>
      <c r="C1188" t="s">
        <v>76</v>
      </c>
      <c r="D1188" t="s">
        <v>77</v>
      </c>
      <c r="E1188" s="1" t="s">
        <v>138</v>
      </c>
      <c r="F1188" t="s">
        <v>139</v>
      </c>
      <c r="G1188">
        <v>23</v>
      </c>
      <c r="H1188">
        <v>340841025</v>
      </c>
      <c r="I1188">
        <v>62766831</v>
      </c>
      <c r="J1188">
        <v>5</v>
      </c>
      <c r="K1188">
        <v>21</v>
      </c>
      <c r="L1188">
        <v>-278074194</v>
      </c>
      <c r="M1188" s="1" t="s">
        <v>2083</v>
      </c>
      <c r="N1188" s="1" t="s">
        <v>2084</v>
      </c>
      <c r="O1188">
        <v>4.7263332517255199E-3</v>
      </c>
      <c r="P1188">
        <v>1</v>
      </c>
      <c r="Q1188">
        <v>0</v>
      </c>
      <c r="R1188">
        <v>1</v>
      </c>
      <c r="S1188">
        <v>0</v>
      </c>
      <c r="T1188">
        <v>348.91455020000001</v>
      </c>
      <c r="U1188">
        <f t="shared" si="36"/>
        <v>1</v>
      </c>
      <c r="V1188">
        <f t="shared" si="37"/>
        <v>1</v>
      </c>
    </row>
    <row r="1189" spans="1:22" x14ac:dyDescent="0.2">
      <c r="A1189" t="s">
        <v>2021</v>
      </c>
      <c r="B1189" t="s">
        <v>28</v>
      </c>
      <c r="C1189" t="s">
        <v>76</v>
      </c>
      <c r="D1189" t="s">
        <v>77</v>
      </c>
      <c r="E1189" s="1" t="s">
        <v>89</v>
      </c>
      <c r="F1189" t="s">
        <v>90</v>
      </c>
      <c r="G1189">
        <v>31</v>
      </c>
      <c r="H1189">
        <v>357777295</v>
      </c>
      <c r="I1189">
        <v>74661811</v>
      </c>
      <c r="J1189">
        <v>27</v>
      </c>
      <c r="K1189">
        <v>2</v>
      </c>
      <c r="L1189">
        <v>-283115484</v>
      </c>
      <c r="M1189" s="1" t="s">
        <v>2085</v>
      </c>
      <c r="N1189" s="1" t="s">
        <v>2086</v>
      </c>
      <c r="O1189">
        <v>5.0639532795274797E-3</v>
      </c>
      <c r="P1189">
        <v>0</v>
      </c>
      <c r="Q1189">
        <v>1</v>
      </c>
      <c r="R1189">
        <v>0</v>
      </c>
      <c r="S1189">
        <v>1</v>
      </c>
      <c r="T1189">
        <v>348.91455020000001</v>
      </c>
      <c r="U1189">
        <f t="shared" si="36"/>
        <v>1</v>
      </c>
      <c r="V1189">
        <f t="shared" si="37"/>
        <v>1</v>
      </c>
    </row>
    <row r="1190" spans="1:22" x14ac:dyDescent="0.2">
      <c r="A1190" t="s">
        <v>2021</v>
      </c>
      <c r="B1190" t="s">
        <v>28</v>
      </c>
      <c r="C1190" t="s">
        <v>76</v>
      </c>
      <c r="D1190" t="s">
        <v>77</v>
      </c>
      <c r="E1190" s="1" t="s">
        <v>89</v>
      </c>
      <c r="F1190" t="s">
        <v>90</v>
      </c>
      <c r="G1190">
        <v>32</v>
      </c>
      <c r="H1190">
        <v>428128161</v>
      </c>
      <c r="I1190">
        <v>8059808</v>
      </c>
      <c r="J1190">
        <v>1</v>
      </c>
      <c r="K1190">
        <v>38</v>
      </c>
      <c r="L1190">
        <v>-420068353</v>
      </c>
      <c r="M1190" s="1" t="s">
        <v>2087</v>
      </c>
      <c r="N1190" s="1" t="s">
        <v>2088</v>
      </c>
      <c r="O1190">
        <v>5.1078532571658397E-3</v>
      </c>
      <c r="P1190">
        <v>1</v>
      </c>
      <c r="Q1190">
        <v>0</v>
      </c>
      <c r="R1190">
        <v>1</v>
      </c>
      <c r="S1190">
        <v>0</v>
      </c>
      <c r="T1190">
        <v>348.91455020000001</v>
      </c>
      <c r="U1190">
        <f t="shared" si="36"/>
        <v>1</v>
      </c>
      <c r="V1190">
        <f t="shared" si="37"/>
        <v>1</v>
      </c>
    </row>
    <row r="1191" spans="1:22" x14ac:dyDescent="0.2">
      <c r="A1191" t="s">
        <v>2021</v>
      </c>
      <c r="B1191" t="s">
        <v>28</v>
      </c>
      <c r="C1191" t="s">
        <v>76</v>
      </c>
      <c r="D1191" t="s">
        <v>77</v>
      </c>
      <c r="E1191" s="1" t="s">
        <v>138</v>
      </c>
      <c r="F1191" t="s">
        <v>139</v>
      </c>
      <c r="G1191">
        <v>22</v>
      </c>
      <c r="H1191">
        <v>560072576</v>
      </c>
      <c r="I1191">
        <v>118298080</v>
      </c>
      <c r="J1191">
        <v>1</v>
      </c>
      <c r="K1191">
        <v>15</v>
      </c>
      <c r="L1191">
        <v>-441774496</v>
      </c>
      <c r="M1191" s="1" t="s">
        <v>2089</v>
      </c>
      <c r="N1191" s="1" t="s">
        <v>2090</v>
      </c>
      <c r="O1191">
        <v>7.9438636805118402E-3</v>
      </c>
      <c r="P1191">
        <v>1</v>
      </c>
      <c r="Q1191">
        <v>0</v>
      </c>
      <c r="R1191">
        <v>1</v>
      </c>
      <c r="S1191">
        <v>0</v>
      </c>
      <c r="T1191">
        <v>348.91455020000001</v>
      </c>
      <c r="U1191">
        <f t="shared" si="36"/>
        <v>1</v>
      </c>
      <c r="V1191">
        <f t="shared" si="37"/>
        <v>1</v>
      </c>
    </row>
    <row r="1192" spans="1:22" x14ac:dyDescent="0.2">
      <c r="A1192" t="s">
        <v>2021</v>
      </c>
      <c r="B1192" t="s">
        <v>28</v>
      </c>
      <c r="C1192" t="s">
        <v>76</v>
      </c>
      <c r="D1192" t="s">
        <v>77</v>
      </c>
      <c r="E1192">
        <v>14</v>
      </c>
      <c r="F1192" t="s">
        <v>261</v>
      </c>
      <c r="G1192">
        <v>71</v>
      </c>
      <c r="H1192">
        <v>799583599</v>
      </c>
      <c r="I1192">
        <v>24632125</v>
      </c>
      <c r="J1192">
        <v>14</v>
      </c>
      <c r="K1192">
        <v>19</v>
      </c>
      <c r="L1192">
        <v>-774951474</v>
      </c>
      <c r="M1192" s="1" t="s">
        <v>2091</v>
      </c>
      <c r="N1192" s="1" t="s">
        <v>2092</v>
      </c>
      <c r="O1192">
        <v>9.6517402350469201E-3</v>
      </c>
      <c r="P1192">
        <v>0</v>
      </c>
      <c r="Q1192">
        <v>0</v>
      </c>
      <c r="R1192">
        <v>0</v>
      </c>
      <c r="S1192">
        <v>0</v>
      </c>
      <c r="T1192">
        <v>348.91455020000001</v>
      </c>
      <c r="U1192">
        <f t="shared" si="36"/>
        <v>0</v>
      </c>
      <c r="V1192">
        <f t="shared" si="37"/>
        <v>0</v>
      </c>
    </row>
    <row r="1193" spans="1:22" x14ac:dyDescent="0.2">
      <c r="A1193" t="s">
        <v>2021</v>
      </c>
      <c r="B1193" t="s">
        <v>28</v>
      </c>
      <c r="C1193" t="s">
        <v>76</v>
      </c>
      <c r="D1193" t="s">
        <v>77</v>
      </c>
      <c r="E1193" s="1" t="s">
        <v>155</v>
      </c>
      <c r="F1193" t="s">
        <v>156</v>
      </c>
      <c r="G1193" s="1" t="s">
        <v>82</v>
      </c>
      <c r="H1193">
        <v>241559241</v>
      </c>
      <c r="I1193">
        <v>89124120</v>
      </c>
      <c r="J1193">
        <v>2</v>
      </c>
      <c r="K1193">
        <v>9</v>
      </c>
      <c r="L1193">
        <v>-152435121</v>
      </c>
      <c r="M1193" s="1" t="s">
        <v>2093</v>
      </c>
      <c r="N1193" s="1" t="s">
        <v>2094</v>
      </c>
      <c r="O1193">
        <v>3.8723720107337401E-3</v>
      </c>
      <c r="P1193">
        <v>1</v>
      </c>
      <c r="Q1193">
        <v>0</v>
      </c>
      <c r="R1193">
        <v>1</v>
      </c>
      <c r="S1193">
        <v>1</v>
      </c>
      <c r="T1193">
        <v>348.91455020000001</v>
      </c>
      <c r="U1193">
        <f t="shared" si="36"/>
        <v>1</v>
      </c>
      <c r="V1193">
        <f t="shared" si="37"/>
        <v>1</v>
      </c>
    </row>
    <row r="1194" spans="1:22" x14ac:dyDescent="0.2">
      <c r="A1194" t="s">
        <v>2021</v>
      </c>
      <c r="B1194" t="s">
        <v>28</v>
      </c>
      <c r="C1194" t="s">
        <v>76</v>
      </c>
      <c r="D1194" t="s">
        <v>77</v>
      </c>
      <c r="E1194">
        <v>17</v>
      </c>
      <c r="F1194" t="s">
        <v>97</v>
      </c>
      <c r="G1194">
        <v>89</v>
      </c>
      <c r="H1194">
        <v>73416007</v>
      </c>
      <c r="I1194">
        <v>2367396</v>
      </c>
      <c r="J1194">
        <v>5</v>
      </c>
      <c r="K1194">
        <v>31</v>
      </c>
      <c r="L1194">
        <v>-71048611</v>
      </c>
      <c r="M1194" s="1" t="s">
        <v>2095</v>
      </c>
      <c r="N1194" s="1" t="s">
        <v>2096</v>
      </c>
      <c r="O1194" s="1" t="s">
        <v>2097</v>
      </c>
      <c r="P1194">
        <v>1</v>
      </c>
      <c r="Q1194">
        <v>0</v>
      </c>
      <c r="R1194">
        <v>1</v>
      </c>
      <c r="S1194">
        <v>0</v>
      </c>
      <c r="T1194">
        <v>348.91455020000001</v>
      </c>
      <c r="U1194">
        <f t="shared" si="36"/>
        <v>1</v>
      </c>
      <c r="V1194">
        <f t="shared" si="37"/>
        <v>1</v>
      </c>
    </row>
    <row r="1195" spans="1:22" x14ac:dyDescent="0.2">
      <c r="A1195" t="s">
        <v>2021</v>
      </c>
      <c r="B1195" t="s">
        <v>28</v>
      </c>
      <c r="C1195" t="s">
        <v>76</v>
      </c>
      <c r="D1195" t="s">
        <v>77</v>
      </c>
      <c r="E1195" s="1" t="s">
        <v>138</v>
      </c>
      <c r="F1195" t="s">
        <v>139</v>
      </c>
      <c r="G1195">
        <v>17</v>
      </c>
      <c r="H1195">
        <v>581642354</v>
      </c>
      <c r="I1195">
        <v>126350962</v>
      </c>
      <c r="J1195">
        <v>1</v>
      </c>
      <c r="K1195">
        <v>5</v>
      </c>
      <c r="L1195">
        <v>-455291392</v>
      </c>
      <c r="M1195" s="1" t="s">
        <v>2098</v>
      </c>
      <c r="N1195" s="1" t="s">
        <v>2099</v>
      </c>
      <c r="O1195">
        <v>8.2907512865909496E-3</v>
      </c>
      <c r="P1195">
        <v>1</v>
      </c>
      <c r="Q1195">
        <v>1</v>
      </c>
      <c r="R1195">
        <v>1</v>
      </c>
      <c r="S1195">
        <v>1</v>
      </c>
      <c r="T1195">
        <v>348.91455020000001</v>
      </c>
      <c r="U1195">
        <f t="shared" si="36"/>
        <v>1</v>
      </c>
      <c r="V1195">
        <f t="shared" si="37"/>
        <v>1</v>
      </c>
    </row>
    <row r="1196" spans="1:22" x14ac:dyDescent="0.2">
      <c r="A1196" t="s">
        <v>2021</v>
      </c>
      <c r="B1196" t="s">
        <v>28</v>
      </c>
      <c r="C1196" t="s">
        <v>76</v>
      </c>
      <c r="D1196" t="s">
        <v>77</v>
      </c>
      <c r="E1196">
        <v>99</v>
      </c>
      <c r="F1196" t="s">
        <v>78</v>
      </c>
      <c r="G1196">
        <v>99</v>
      </c>
      <c r="H1196">
        <v>93394494</v>
      </c>
      <c r="I1196">
        <v>1842532</v>
      </c>
      <c r="J1196">
        <v>21</v>
      </c>
      <c r="K1196">
        <v>46</v>
      </c>
      <c r="L1196">
        <v>-91551962</v>
      </c>
      <c r="M1196" s="1" t="s">
        <v>2100</v>
      </c>
      <c r="N1196">
        <v>1.9346803206559599E-2</v>
      </c>
      <c r="O1196">
        <v>1.1152456922920899E-3</v>
      </c>
      <c r="P1196">
        <v>0</v>
      </c>
      <c r="Q1196">
        <v>0</v>
      </c>
      <c r="R1196">
        <v>0</v>
      </c>
      <c r="S1196">
        <v>0</v>
      </c>
      <c r="T1196">
        <v>348.91455020000001</v>
      </c>
      <c r="U1196">
        <f t="shared" si="36"/>
        <v>0</v>
      </c>
      <c r="V1196">
        <f t="shared" si="37"/>
        <v>0</v>
      </c>
    </row>
    <row r="1197" spans="1:22" x14ac:dyDescent="0.2">
      <c r="A1197" t="s">
        <v>2021</v>
      </c>
      <c r="B1197" t="s">
        <v>28</v>
      </c>
      <c r="C1197" t="s">
        <v>76</v>
      </c>
      <c r="D1197" t="s">
        <v>77</v>
      </c>
      <c r="E1197">
        <v>11</v>
      </c>
      <c r="F1197" t="s">
        <v>127</v>
      </c>
      <c r="G1197">
        <v>62</v>
      </c>
      <c r="H1197">
        <v>483965525</v>
      </c>
      <c r="I1197">
        <v>31712531</v>
      </c>
      <c r="J1197">
        <v>1</v>
      </c>
      <c r="K1197">
        <v>28</v>
      </c>
      <c r="L1197">
        <v>-452252994</v>
      </c>
      <c r="M1197" s="1" t="s">
        <v>2101</v>
      </c>
      <c r="N1197">
        <v>6.1496762623538898E-2</v>
      </c>
      <c r="O1197">
        <v>6.0386989673907E-3</v>
      </c>
      <c r="P1197">
        <v>1</v>
      </c>
      <c r="Q1197">
        <v>0</v>
      </c>
      <c r="R1197">
        <v>1</v>
      </c>
      <c r="S1197">
        <v>0</v>
      </c>
      <c r="T1197">
        <v>348.91455020000001</v>
      </c>
      <c r="U1197">
        <f t="shared" si="36"/>
        <v>1</v>
      </c>
      <c r="V1197">
        <f t="shared" si="37"/>
        <v>1</v>
      </c>
    </row>
    <row r="1198" spans="1:22" x14ac:dyDescent="0.2">
      <c r="A1198" t="s">
        <v>2021</v>
      </c>
      <c r="B1198" t="s">
        <v>28</v>
      </c>
      <c r="C1198" t="s">
        <v>76</v>
      </c>
      <c r="D1198" t="s">
        <v>77</v>
      </c>
      <c r="E1198" s="1" t="s">
        <v>82</v>
      </c>
      <c r="F1198" t="s">
        <v>83</v>
      </c>
      <c r="G1198" s="1" t="s">
        <v>93</v>
      </c>
      <c r="H1198">
        <v>139600815</v>
      </c>
      <c r="I1198">
        <v>51701124</v>
      </c>
      <c r="J1198">
        <v>2</v>
      </c>
      <c r="K1198">
        <v>18</v>
      </c>
      <c r="L1198">
        <v>-87899691</v>
      </c>
      <c r="M1198">
        <v>0.72974072155118097</v>
      </c>
      <c r="N1198" s="1" t="s">
        <v>2102</v>
      </c>
      <c r="O1198">
        <v>2.2401861162367098E-3</v>
      </c>
      <c r="P1198">
        <v>1</v>
      </c>
      <c r="Q1198">
        <v>0</v>
      </c>
      <c r="R1198">
        <v>1</v>
      </c>
      <c r="S1198">
        <v>0</v>
      </c>
      <c r="T1198">
        <v>348.91455020000001</v>
      </c>
      <c r="U1198">
        <f t="shared" si="36"/>
        <v>1</v>
      </c>
      <c r="V1198">
        <f t="shared" si="37"/>
        <v>1</v>
      </c>
    </row>
    <row r="1199" spans="1:22" x14ac:dyDescent="0.2">
      <c r="A1199" t="s">
        <v>2021</v>
      </c>
      <c r="B1199" t="s">
        <v>28</v>
      </c>
      <c r="C1199" t="s">
        <v>76</v>
      </c>
      <c r="D1199" t="s">
        <v>77</v>
      </c>
      <c r="E1199" s="1" t="s">
        <v>85</v>
      </c>
      <c r="F1199" t="s">
        <v>86</v>
      </c>
      <c r="G1199">
        <v>25</v>
      </c>
      <c r="H1199">
        <v>339068441</v>
      </c>
      <c r="I1199">
        <v>600634093</v>
      </c>
      <c r="J1199">
        <v>7</v>
      </c>
      <c r="K1199">
        <v>2</v>
      </c>
      <c r="L1199">
        <v>261565652</v>
      </c>
      <c r="M1199" s="1" t="s">
        <v>2103</v>
      </c>
      <c r="N1199" s="1" t="s">
        <v>2104</v>
      </c>
      <c r="O1199" s="1" t="s">
        <v>2105</v>
      </c>
      <c r="P1199">
        <v>0</v>
      </c>
      <c r="Q1199">
        <v>1</v>
      </c>
      <c r="R1199">
        <v>1</v>
      </c>
      <c r="S1199">
        <v>1</v>
      </c>
      <c r="T1199">
        <v>348.91455020000001</v>
      </c>
      <c r="U1199">
        <f t="shared" si="36"/>
        <v>1</v>
      </c>
      <c r="V1199">
        <f t="shared" si="37"/>
        <v>1</v>
      </c>
    </row>
    <row r="1200" spans="1:22" x14ac:dyDescent="0.2">
      <c r="A1200" t="s">
        <v>2021</v>
      </c>
      <c r="B1200" t="s">
        <v>28</v>
      </c>
      <c r="C1200" t="s">
        <v>76</v>
      </c>
      <c r="D1200" t="s">
        <v>77</v>
      </c>
      <c r="E1200">
        <v>18</v>
      </c>
      <c r="F1200" t="s">
        <v>147</v>
      </c>
      <c r="G1200">
        <v>90</v>
      </c>
      <c r="H1200">
        <v>811650432</v>
      </c>
      <c r="I1200">
        <v>22784782</v>
      </c>
      <c r="J1200">
        <v>3</v>
      </c>
      <c r="K1200">
        <v>44</v>
      </c>
      <c r="L1200">
        <v>-788865650</v>
      </c>
      <c r="M1200" s="1" t="s">
        <v>2106</v>
      </c>
      <c r="N1200" s="1" t="s">
        <v>2107</v>
      </c>
      <c r="O1200">
        <v>9.7714126217079908E-3</v>
      </c>
      <c r="P1200">
        <v>1</v>
      </c>
      <c r="Q1200">
        <v>0</v>
      </c>
      <c r="R1200">
        <v>1</v>
      </c>
      <c r="S1200">
        <v>0</v>
      </c>
      <c r="T1200">
        <v>348.91455020000001</v>
      </c>
      <c r="U1200">
        <f t="shared" si="36"/>
        <v>1</v>
      </c>
      <c r="V1200">
        <f t="shared" si="37"/>
        <v>1</v>
      </c>
    </row>
    <row r="1201" spans="1:22" x14ac:dyDescent="0.2">
      <c r="A1201" t="s">
        <v>2021</v>
      </c>
      <c r="B1201" t="s">
        <v>28</v>
      </c>
      <c r="C1201" t="s">
        <v>76</v>
      </c>
      <c r="D1201" t="s">
        <v>77</v>
      </c>
      <c r="E1201">
        <v>10</v>
      </c>
      <c r="F1201" t="s">
        <v>119</v>
      </c>
      <c r="G1201">
        <v>49</v>
      </c>
      <c r="H1201">
        <v>155847753</v>
      </c>
      <c r="I1201">
        <v>1667635</v>
      </c>
      <c r="J1201">
        <v>2</v>
      </c>
      <c r="K1201">
        <v>35</v>
      </c>
      <c r="L1201">
        <v>-154180118</v>
      </c>
      <c r="M1201" s="1" t="s">
        <v>2108</v>
      </c>
      <c r="N1201" s="1" t="s">
        <v>2109</v>
      </c>
      <c r="O1201">
        <v>1.8445384669688999E-3</v>
      </c>
      <c r="P1201">
        <v>1</v>
      </c>
      <c r="Q1201">
        <v>0</v>
      </c>
      <c r="R1201">
        <v>1</v>
      </c>
      <c r="S1201">
        <v>0</v>
      </c>
      <c r="T1201">
        <v>348.91455020000001</v>
      </c>
      <c r="U1201">
        <f t="shared" si="36"/>
        <v>1</v>
      </c>
      <c r="V1201">
        <f t="shared" si="37"/>
        <v>1</v>
      </c>
    </row>
    <row r="1202" spans="1:22" x14ac:dyDescent="0.2">
      <c r="A1202" t="s">
        <v>2021</v>
      </c>
      <c r="B1202" t="s">
        <v>28</v>
      </c>
      <c r="C1202" t="s">
        <v>76</v>
      </c>
      <c r="D1202" t="s">
        <v>77</v>
      </c>
      <c r="E1202" s="1" t="s">
        <v>89</v>
      </c>
      <c r="F1202" t="s">
        <v>90</v>
      </c>
      <c r="G1202">
        <v>36</v>
      </c>
      <c r="H1202">
        <v>141025429</v>
      </c>
      <c r="I1202">
        <v>1027845</v>
      </c>
      <c r="J1202">
        <v>1</v>
      </c>
      <c r="K1202">
        <v>12</v>
      </c>
      <c r="L1202">
        <v>-139997584</v>
      </c>
      <c r="M1202" s="1" t="s">
        <v>2110</v>
      </c>
      <c r="N1202">
        <v>7.23563048606679E-3</v>
      </c>
      <c r="O1202">
        <v>1.66347384581799E-3</v>
      </c>
      <c r="P1202">
        <v>1</v>
      </c>
      <c r="Q1202">
        <v>0</v>
      </c>
      <c r="R1202">
        <v>1</v>
      </c>
      <c r="S1202">
        <v>0</v>
      </c>
      <c r="T1202">
        <v>348.91455020000001</v>
      </c>
      <c r="U1202">
        <f t="shared" si="36"/>
        <v>1</v>
      </c>
      <c r="V1202">
        <f t="shared" si="37"/>
        <v>1</v>
      </c>
    </row>
    <row r="1203" spans="1:22" x14ac:dyDescent="0.2">
      <c r="A1203" t="s">
        <v>2021</v>
      </c>
      <c r="B1203" t="s">
        <v>28</v>
      </c>
      <c r="C1203" t="s">
        <v>76</v>
      </c>
      <c r="D1203" t="s">
        <v>77</v>
      </c>
      <c r="E1203">
        <v>15</v>
      </c>
      <c r="F1203" t="s">
        <v>88</v>
      </c>
      <c r="G1203">
        <v>83</v>
      </c>
      <c r="H1203">
        <v>268915793</v>
      </c>
      <c r="I1203">
        <v>8326465</v>
      </c>
      <c r="J1203">
        <v>1</v>
      </c>
      <c r="K1203">
        <v>35</v>
      </c>
      <c r="L1203">
        <v>-260589328</v>
      </c>
      <c r="M1203" s="1" t="s">
        <v>2111</v>
      </c>
      <c r="N1203" s="1" t="s">
        <v>2112</v>
      </c>
      <c r="O1203">
        <v>3.2465654057260598E-3</v>
      </c>
      <c r="P1203">
        <v>1</v>
      </c>
      <c r="Q1203">
        <v>0</v>
      </c>
      <c r="R1203">
        <v>1</v>
      </c>
      <c r="S1203">
        <v>0</v>
      </c>
      <c r="T1203">
        <v>348.91455020000001</v>
      </c>
      <c r="U1203">
        <f t="shared" si="36"/>
        <v>1</v>
      </c>
      <c r="V1203">
        <f t="shared" si="37"/>
        <v>1</v>
      </c>
    </row>
    <row r="1204" spans="1:22" x14ac:dyDescent="0.2">
      <c r="A1204" t="s">
        <v>2021</v>
      </c>
      <c r="B1204" t="s">
        <v>28</v>
      </c>
      <c r="C1204" t="s">
        <v>76</v>
      </c>
      <c r="D1204" t="s">
        <v>77</v>
      </c>
      <c r="E1204">
        <v>11</v>
      </c>
      <c r="F1204" t="s">
        <v>127</v>
      </c>
      <c r="G1204">
        <v>56</v>
      </c>
      <c r="H1204">
        <v>174841952</v>
      </c>
      <c r="I1204">
        <v>3552606</v>
      </c>
      <c r="J1204">
        <v>1</v>
      </c>
      <c r="K1204">
        <v>43</v>
      </c>
      <c r="L1204">
        <v>-171289346</v>
      </c>
      <c r="M1204">
        <v>0.98008568176166</v>
      </c>
      <c r="N1204" s="1" t="s">
        <v>2113</v>
      </c>
      <c r="O1204">
        <v>2.0890379581765999E-3</v>
      </c>
      <c r="P1204">
        <v>1</v>
      </c>
      <c r="Q1204">
        <v>0</v>
      </c>
      <c r="R1204">
        <v>1</v>
      </c>
      <c r="S1204">
        <v>0</v>
      </c>
      <c r="T1204">
        <v>348.91455020000001</v>
      </c>
      <c r="U1204">
        <f t="shared" si="36"/>
        <v>1</v>
      </c>
      <c r="V1204">
        <f t="shared" si="37"/>
        <v>1</v>
      </c>
    </row>
    <row r="1205" spans="1:22" x14ac:dyDescent="0.2">
      <c r="A1205" t="s">
        <v>2021</v>
      </c>
      <c r="B1205" t="s">
        <v>28</v>
      </c>
      <c r="C1205" t="s">
        <v>76</v>
      </c>
      <c r="D1205" t="s">
        <v>77</v>
      </c>
      <c r="E1205" s="1" t="s">
        <v>82</v>
      </c>
      <c r="F1205" t="s">
        <v>83</v>
      </c>
      <c r="G1205">
        <v>12</v>
      </c>
      <c r="H1205">
        <v>155733163</v>
      </c>
      <c r="I1205">
        <v>117313224</v>
      </c>
      <c r="J1205">
        <v>7</v>
      </c>
      <c r="K1205">
        <v>15</v>
      </c>
      <c r="L1205">
        <v>-38419939</v>
      </c>
      <c r="M1205" s="1" t="s">
        <v>2114</v>
      </c>
      <c r="N1205" s="1" t="s">
        <v>2115</v>
      </c>
      <c r="O1205">
        <v>3.1974308699819101E-3</v>
      </c>
      <c r="P1205">
        <v>0</v>
      </c>
      <c r="Q1205">
        <v>0</v>
      </c>
      <c r="R1205">
        <v>1</v>
      </c>
      <c r="S1205">
        <v>0</v>
      </c>
      <c r="T1205">
        <v>348.91455020000001</v>
      </c>
      <c r="U1205">
        <f t="shared" si="36"/>
        <v>0</v>
      </c>
      <c r="V1205">
        <f t="shared" si="37"/>
        <v>1</v>
      </c>
    </row>
    <row r="1206" spans="1:22" x14ac:dyDescent="0.2">
      <c r="A1206" t="s">
        <v>2021</v>
      </c>
      <c r="B1206" t="s">
        <v>28</v>
      </c>
      <c r="C1206" t="s">
        <v>76</v>
      </c>
      <c r="D1206" t="s">
        <v>77</v>
      </c>
      <c r="E1206">
        <v>12</v>
      </c>
      <c r="F1206" t="s">
        <v>194</v>
      </c>
      <c r="G1206">
        <v>64</v>
      </c>
      <c r="H1206">
        <v>356079668</v>
      </c>
      <c r="I1206">
        <v>108489091</v>
      </c>
      <c r="J1206">
        <v>2</v>
      </c>
      <c r="K1206">
        <v>14</v>
      </c>
      <c r="L1206">
        <v>-247590577</v>
      </c>
      <c r="M1206" s="1" t="s">
        <v>2116</v>
      </c>
      <c r="N1206" s="1" t="s">
        <v>2117</v>
      </c>
      <c r="O1206">
        <v>5.4401983032128102E-3</v>
      </c>
      <c r="P1206">
        <v>1</v>
      </c>
      <c r="Q1206">
        <v>0</v>
      </c>
      <c r="R1206">
        <v>1</v>
      </c>
      <c r="S1206">
        <v>0</v>
      </c>
      <c r="T1206">
        <v>348.91455020000001</v>
      </c>
      <c r="U1206">
        <f t="shared" si="36"/>
        <v>1</v>
      </c>
      <c r="V1206">
        <f t="shared" si="37"/>
        <v>1</v>
      </c>
    </row>
    <row r="1207" spans="1:22" x14ac:dyDescent="0.2">
      <c r="A1207" t="s">
        <v>2021</v>
      </c>
      <c r="B1207" t="s">
        <v>28</v>
      </c>
      <c r="C1207" t="s">
        <v>76</v>
      </c>
      <c r="D1207" t="s">
        <v>77</v>
      </c>
      <c r="E1207">
        <v>15</v>
      </c>
      <c r="F1207" t="s">
        <v>88</v>
      </c>
      <c r="G1207">
        <v>82</v>
      </c>
      <c r="H1207">
        <v>247351964</v>
      </c>
      <c r="I1207">
        <v>7846161</v>
      </c>
      <c r="J1207">
        <v>1</v>
      </c>
      <c r="K1207">
        <v>36</v>
      </c>
      <c r="L1207">
        <v>-239505803</v>
      </c>
      <c r="M1207" s="1" t="s">
        <v>2118</v>
      </c>
      <c r="N1207">
        <v>3.07453708760595E-2</v>
      </c>
      <c r="O1207">
        <v>2.9884239517020302E-3</v>
      </c>
      <c r="P1207">
        <v>1</v>
      </c>
      <c r="Q1207">
        <v>0</v>
      </c>
      <c r="R1207">
        <v>1</v>
      </c>
      <c r="S1207">
        <v>0</v>
      </c>
      <c r="T1207">
        <v>348.91455020000001</v>
      </c>
      <c r="U1207">
        <f t="shared" si="36"/>
        <v>1</v>
      </c>
      <c r="V1207">
        <f t="shared" si="37"/>
        <v>1</v>
      </c>
    </row>
    <row r="1208" spans="1:22" x14ac:dyDescent="0.2">
      <c r="A1208" t="s">
        <v>2021</v>
      </c>
      <c r="B1208" t="s">
        <v>28</v>
      </c>
      <c r="C1208" t="s">
        <v>76</v>
      </c>
      <c r="D1208" t="s">
        <v>77</v>
      </c>
      <c r="E1208">
        <v>11</v>
      </c>
      <c r="F1208" t="s">
        <v>127</v>
      </c>
      <c r="G1208">
        <v>63</v>
      </c>
      <c r="H1208">
        <v>133344468</v>
      </c>
      <c r="I1208">
        <v>67606736</v>
      </c>
      <c r="J1208">
        <v>2</v>
      </c>
      <c r="K1208">
        <v>11</v>
      </c>
      <c r="L1208">
        <v>-65737732</v>
      </c>
      <c r="M1208" s="1" t="s">
        <v>2119</v>
      </c>
      <c r="N1208" s="1" t="s">
        <v>2120</v>
      </c>
      <c r="O1208">
        <v>2.35318104769367E-3</v>
      </c>
      <c r="P1208">
        <v>1</v>
      </c>
      <c r="Q1208">
        <v>0</v>
      </c>
      <c r="R1208">
        <v>1</v>
      </c>
      <c r="S1208">
        <v>0</v>
      </c>
      <c r="T1208">
        <v>348.91455020000001</v>
      </c>
      <c r="U1208">
        <f t="shared" si="36"/>
        <v>1</v>
      </c>
      <c r="V1208">
        <f t="shared" si="37"/>
        <v>1</v>
      </c>
    </row>
    <row r="1209" spans="1:22" x14ac:dyDescent="0.2">
      <c r="A1209" t="s">
        <v>2021</v>
      </c>
      <c r="B1209" t="s">
        <v>28</v>
      </c>
      <c r="C1209" t="s">
        <v>76</v>
      </c>
      <c r="D1209" t="s">
        <v>77</v>
      </c>
      <c r="E1209">
        <v>10</v>
      </c>
      <c r="F1209" t="s">
        <v>119</v>
      </c>
      <c r="G1209">
        <v>47</v>
      </c>
      <c r="H1209">
        <v>35676526</v>
      </c>
      <c r="I1209">
        <v>16322952</v>
      </c>
      <c r="J1209">
        <v>18</v>
      </c>
      <c r="K1209">
        <v>8</v>
      </c>
      <c r="L1209">
        <v>-19353574</v>
      </c>
      <c r="M1209" s="1" t="s">
        <v>2121</v>
      </c>
      <c r="N1209" s="1" t="s">
        <v>2122</v>
      </c>
      <c r="O1209" s="1" t="s">
        <v>2123</v>
      </c>
      <c r="P1209">
        <v>0</v>
      </c>
      <c r="Q1209">
        <v>0</v>
      </c>
      <c r="R1209">
        <v>0</v>
      </c>
      <c r="S1209">
        <v>1</v>
      </c>
      <c r="T1209">
        <v>348.91455020000001</v>
      </c>
      <c r="U1209">
        <f t="shared" si="36"/>
        <v>0</v>
      </c>
      <c r="V1209">
        <f t="shared" si="37"/>
        <v>1</v>
      </c>
    </row>
    <row r="1210" spans="1:22" x14ac:dyDescent="0.2">
      <c r="A1210" t="s">
        <v>2021</v>
      </c>
      <c r="B1210" t="s">
        <v>28</v>
      </c>
      <c r="C1210" t="s">
        <v>76</v>
      </c>
      <c r="D1210" t="s">
        <v>77</v>
      </c>
      <c r="E1210" s="1" t="s">
        <v>155</v>
      </c>
      <c r="F1210" t="s">
        <v>156</v>
      </c>
      <c r="G1210" s="1" t="s">
        <v>155</v>
      </c>
      <c r="H1210">
        <v>86102746</v>
      </c>
      <c r="I1210">
        <v>9369558</v>
      </c>
      <c r="J1210">
        <v>1</v>
      </c>
      <c r="K1210">
        <v>15</v>
      </c>
      <c r="L1210">
        <v>-76733188</v>
      </c>
      <c r="M1210" s="1" t="s">
        <v>2124</v>
      </c>
      <c r="N1210">
        <v>9.8139016316187294E-2</v>
      </c>
      <c r="O1210">
        <v>1.11800084737212E-3</v>
      </c>
      <c r="P1210">
        <v>1</v>
      </c>
      <c r="Q1210">
        <v>0</v>
      </c>
      <c r="R1210">
        <v>1</v>
      </c>
      <c r="S1210">
        <v>0</v>
      </c>
      <c r="T1210">
        <v>348.91455020000001</v>
      </c>
      <c r="U1210">
        <f t="shared" si="36"/>
        <v>1</v>
      </c>
      <c r="V1210">
        <f t="shared" si="37"/>
        <v>1</v>
      </c>
    </row>
    <row r="1211" spans="1:22" x14ac:dyDescent="0.2">
      <c r="A1211" t="s">
        <v>2021</v>
      </c>
      <c r="B1211" t="s">
        <v>28</v>
      </c>
      <c r="C1211" t="s">
        <v>76</v>
      </c>
      <c r="D1211" t="s">
        <v>77</v>
      </c>
      <c r="E1211">
        <v>11</v>
      </c>
      <c r="F1211" t="s">
        <v>127</v>
      </c>
      <c r="G1211">
        <v>59</v>
      </c>
      <c r="H1211">
        <v>99363065</v>
      </c>
      <c r="I1211">
        <v>2433332</v>
      </c>
      <c r="J1211">
        <v>1</v>
      </c>
      <c r="K1211">
        <v>32</v>
      </c>
      <c r="L1211">
        <v>-96929733</v>
      </c>
      <c r="M1211" s="1" t="s">
        <v>2125</v>
      </c>
      <c r="N1211" s="1" t="s">
        <v>2126</v>
      </c>
      <c r="O1211">
        <v>1.1920573123010501E-3</v>
      </c>
      <c r="P1211">
        <v>1</v>
      </c>
      <c r="Q1211">
        <v>0</v>
      </c>
      <c r="R1211">
        <v>1</v>
      </c>
      <c r="S1211">
        <v>0</v>
      </c>
      <c r="T1211">
        <v>348.91455020000001</v>
      </c>
      <c r="U1211">
        <f t="shared" si="36"/>
        <v>1</v>
      </c>
      <c r="V1211">
        <f t="shared" si="37"/>
        <v>1</v>
      </c>
    </row>
    <row r="1212" spans="1:22" x14ac:dyDescent="0.2">
      <c r="A1212" t="s">
        <v>2021</v>
      </c>
      <c r="B1212" t="s">
        <v>28</v>
      </c>
      <c r="C1212" t="s">
        <v>76</v>
      </c>
      <c r="D1212" t="s">
        <v>77</v>
      </c>
      <c r="E1212" s="1" t="s">
        <v>89</v>
      </c>
      <c r="F1212" t="s">
        <v>90</v>
      </c>
      <c r="G1212">
        <v>35</v>
      </c>
      <c r="H1212">
        <v>81188824</v>
      </c>
      <c r="I1212">
        <v>970571</v>
      </c>
      <c r="J1212">
        <v>1</v>
      </c>
      <c r="K1212">
        <v>48</v>
      </c>
      <c r="L1212">
        <v>-80218253</v>
      </c>
      <c r="M1212" s="1" t="s">
        <v>2127</v>
      </c>
      <c r="N1212" s="1" t="s">
        <v>2128</v>
      </c>
      <c r="O1212" s="1" t="s">
        <v>2129</v>
      </c>
      <c r="P1212">
        <v>1</v>
      </c>
      <c r="Q1212">
        <v>0</v>
      </c>
      <c r="R1212">
        <v>1</v>
      </c>
      <c r="S1212">
        <v>0</v>
      </c>
      <c r="T1212">
        <v>348.91455020000001</v>
      </c>
      <c r="U1212">
        <f t="shared" si="36"/>
        <v>1</v>
      </c>
      <c r="V1212">
        <f t="shared" si="37"/>
        <v>1</v>
      </c>
    </row>
    <row r="1213" spans="1:22" x14ac:dyDescent="0.2">
      <c r="A1213" t="s">
        <v>2021</v>
      </c>
      <c r="B1213" t="s">
        <v>28</v>
      </c>
      <c r="C1213" t="s">
        <v>76</v>
      </c>
      <c r="D1213" t="s">
        <v>77</v>
      </c>
      <c r="E1213">
        <v>15</v>
      </c>
      <c r="F1213" t="s">
        <v>88</v>
      </c>
      <c r="G1213">
        <v>80</v>
      </c>
      <c r="H1213">
        <v>15911071</v>
      </c>
      <c r="I1213">
        <v>5797</v>
      </c>
      <c r="J1213">
        <v>2</v>
      </c>
      <c r="K1213">
        <v>35</v>
      </c>
      <c r="L1213">
        <v>-15905274</v>
      </c>
      <c r="M1213" s="1" t="s">
        <v>2130</v>
      </c>
      <c r="N1213" s="1" t="s">
        <v>2131</v>
      </c>
      <c r="O1213" s="1" t="s">
        <v>2132</v>
      </c>
      <c r="P1213">
        <v>1</v>
      </c>
      <c r="Q1213">
        <v>0</v>
      </c>
      <c r="R1213">
        <v>1</v>
      </c>
      <c r="S1213">
        <v>0</v>
      </c>
      <c r="T1213">
        <v>348.91455020000001</v>
      </c>
      <c r="U1213">
        <f t="shared" si="36"/>
        <v>1</v>
      </c>
      <c r="V1213">
        <f t="shared" si="37"/>
        <v>1</v>
      </c>
    </row>
    <row r="1214" spans="1:22" x14ac:dyDescent="0.2">
      <c r="A1214" t="s">
        <v>2021</v>
      </c>
      <c r="B1214" t="s">
        <v>28</v>
      </c>
      <c r="C1214" t="s">
        <v>76</v>
      </c>
      <c r="D1214" t="s">
        <v>77</v>
      </c>
      <c r="E1214" s="1" t="s">
        <v>82</v>
      </c>
      <c r="F1214" t="s">
        <v>83</v>
      </c>
      <c r="G1214">
        <v>10</v>
      </c>
      <c r="H1214">
        <v>222309910</v>
      </c>
      <c r="I1214">
        <v>291994540</v>
      </c>
      <c r="J1214">
        <v>32</v>
      </c>
      <c r="K1214">
        <v>2</v>
      </c>
      <c r="L1214">
        <v>69684630</v>
      </c>
      <c r="M1214" s="1" t="s">
        <v>2133</v>
      </c>
      <c r="N1214" s="1" t="s">
        <v>2134</v>
      </c>
      <c r="O1214">
        <v>6.0226137509707097E-3</v>
      </c>
      <c r="P1214">
        <v>0</v>
      </c>
      <c r="Q1214">
        <v>1</v>
      </c>
      <c r="R1214">
        <v>0</v>
      </c>
      <c r="S1214">
        <v>1</v>
      </c>
      <c r="T1214">
        <v>348.91455020000001</v>
      </c>
      <c r="U1214">
        <f t="shared" si="36"/>
        <v>1</v>
      </c>
      <c r="V1214">
        <f t="shared" si="37"/>
        <v>1</v>
      </c>
    </row>
    <row r="1215" spans="1:22" x14ac:dyDescent="0.2">
      <c r="A1215" t="s">
        <v>2021</v>
      </c>
      <c r="B1215" t="s">
        <v>28</v>
      </c>
      <c r="C1215" t="s">
        <v>76</v>
      </c>
      <c r="D1215" t="s">
        <v>77</v>
      </c>
      <c r="E1215" s="1" t="s">
        <v>155</v>
      </c>
      <c r="F1215" t="s">
        <v>156</v>
      </c>
      <c r="G1215" s="1" t="s">
        <v>110</v>
      </c>
      <c r="H1215">
        <v>107766727</v>
      </c>
      <c r="I1215">
        <v>37471076</v>
      </c>
      <c r="J1215">
        <v>19</v>
      </c>
      <c r="K1215">
        <v>19</v>
      </c>
      <c r="L1215">
        <v>-70295651</v>
      </c>
      <c r="M1215" s="1" t="s">
        <v>2135</v>
      </c>
      <c r="N1215" s="1" t="s">
        <v>2136</v>
      </c>
      <c r="O1215">
        <v>1.70076535310665E-3</v>
      </c>
      <c r="P1215">
        <v>0</v>
      </c>
      <c r="Q1215">
        <v>0</v>
      </c>
      <c r="R1215">
        <v>0</v>
      </c>
      <c r="S1215">
        <v>0</v>
      </c>
      <c r="T1215">
        <v>348.91455020000001</v>
      </c>
      <c r="U1215">
        <f t="shared" si="36"/>
        <v>0</v>
      </c>
      <c r="V1215">
        <f t="shared" si="37"/>
        <v>0</v>
      </c>
    </row>
    <row r="1216" spans="1:22" x14ac:dyDescent="0.2">
      <c r="A1216" t="s">
        <v>2021</v>
      </c>
      <c r="B1216" t="s">
        <v>28</v>
      </c>
      <c r="C1216" t="s">
        <v>76</v>
      </c>
      <c r="D1216" t="s">
        <v>77</v>
      </c>
      <c r="E1216" s="1" t="s">
        <v>82</v>
      </c>
      <c r="F1216" t="s">
        <v>83</v>
      </c>
      <c r="G1216">
        <v>11</v>
      </c>
      <c r="H1216">
        <v>96575628</v>
      </c>
      <c r="I1216">
        <v>49576538</v>
      </c>
      <c r="J1216">
        <v>3</v>
      </c>
      <c r="K1216">
        <v>4</v>
      </c>
      <c r="L1216">
        <v>-46999090</v>
      </c>
      <c r="M1216" s="1" t="s">
        <v>2137</v>
      </c>
      <c r="N1216" s="1" t="s">
        <v>2138</v>
      </c>
      <c r="O1216">
        <v>1.7114727369863299E-3</v>
      </c>
      <c r="P1216">
        <v>1</v>
      </c>
      <c r="Q1216">
        <v>1</v>
      </c>
      <c r="R1216">
        <v>1</v>
      </c>
      <c r="S1216">
        <v>1</v>
      </c>
      <c r="T1216">
        <v>348.91455020000001</v>
      </c>
      <c r="U1216">
        <f t="shared" si="36"/>
        <v>1</v>
      </c>
      <c r="V1216">
        <f t="shared" si="37"/>
        <v>1</v>
      </c>
    </row>
    <row r="1217" spans="1:22" x14ac:dyDescent="0.2">
      <c r="A1217" t="s">
        <v>2021</v>
      </c>
      <c r="B1217" t="s">
        <v>28</v>
      </c>
      <c r="C1217" t="s">
        <v>76</v>
      </c>
      <c r="D1217" t="s">
        <v>77</v>
      </c>
      <c r="E1217">
        <v>11</v>
      </c>
      <c r="F1217" t="s">
        <v>127</v>
      </c>
      <c r="G1217">
        <v>61</v>
      </c>
      <c r="H1217">
        <v>297448396</v>
      </c>
      <c r="I1217">
        <v>25386506</v>
      </c>
      <c r="J1217">
        <v>1</v>
      </c>
      <c r="K1217">
        <v>31</v>
      </c>
      <c r="L1217">
        <v>-272061890</v>
      </c>
      <c r="M1217" s="1" t="s">
        <v>2139</v>
      </c>
      <c r="N1217">
        <v>7.8636187855549697E-2</v>
      </c>
      <c r="O1217">
        <v>3.7804648979383299E-3</v>
      </c>
      <c r="P1217">
        <v>1</v>
      </c>
      <c r="Q1217">
        <v>0</v>
      </c>
      <c r="R1217">
        <v>1</v>
      </c>
      <c r="S1217">
        <v>0</v>
      </c>
      <c r="T1217">
        <v>348.91455020000001</v>
      </c>
      <c r="U1217">
        <f t="shared" si="36"/>
        <v>1</v>
      </c>
      <c r="V1217">
        <f t="shared" si="37"/>
        <v>1</v>
      </c>
    </row>
    <row r="1218" spans="1:22" x14ac:dyDescent="0.2">
      <c r="A1218" t="s">
        <v>2021</v>
      </c>
      <c r="B1218" t="s">
        <v>28</v>
      </c>
      <c r="C1218" t="s">
        <v>76</v>
      </c>
      <c r="D1218" t="s">
        <v>77</v>
      </c>
      <c r="E1218">
        <v>15</v>
      </c>
      <c r="F1218" t="s">
        <v>88</v>
      </c>
      <c r="G1218">
        <v>74</v>
      </c>
      <c r="H1218">
        <v>111474573</v>
      </c>
      <c r="I1218">
        <v>463794514</v>
      </c>
      <c r="J1218">
        <v>22</v>
      </c>
      <c r="K1218">
        <v>3</v>
      </c>
      <c r="L1218">
        <v>352319941</v>
      </c>
      <c r="M1218" s="1" t="s">
        <v>2140</v>
      </c>
      <c r="N1218" s="1" t="s">
        <v>2141</v>
      </c>
      <c r="O1218">
        <v>6.7365225283867597E-3</v>
      </c>
      <c r="P1218">
        <v>0</v>
      </c>
      <c r="Q1218">
        <v>1</v>
      </c>
      <c r="R1218">
        <v>0</v>
      </c>
      <c r="S1218">
        <v>1</v>
      </c>
      <c r="T1218">
        <v>348.91455020000001</v>
      </c>
      <c r="U1218">
        <f t="shared" si="36"/>
        <v>1</v>
      </c>
      <c r="V1218">
        <f t="shared" si="37"/>
        <v>1</v>
      </c>
    </row>
    <row r="1219" spans="1:22" x14ac:dyDescent="0.2">
      <c r="A1219" t="s">
        <v>2021</v>
      </c>
      <c r="B1219" t="s">
        <v>28</v>
      </c>
      <c r="C1219" t="s">
        <v>76</v>
      </c>
      <c r="D1219" t="s">
        <v>77</v>
      </c>
      <c r="E1219" s="1" t="s">
        <v>163</v>
      </c>
      <c r="F1219" t="s">
        <v>224</v>
      </c>
      <c r="G1219">
        <v>42</v>
      </c>
      <c r="H1219">
        <v>46163598</v>
      </c>
      <c r="I1219">
        <v>5781338</v>
      </c>
      <c r="J1219">
        <v>2</v>
      </c>
      <c r="K1219">
        <v>30</v>
      </c>
      <c r="L1219">
        <v>-40382260</v>
      </c>
      <c r="M1219" s="1" t="s">
        <v>2142</v>
      </c>
      <c r="N1219" s="1" t="s">
        <v>2143</v>
      </c>
      <c r="O1219" s="1" t="s">
        <v>2144</v>
      </c>
      <c r="P1219">
        <v>1</v>
      </c>
      <c r="Q1219">
        <v>0</v>
      </c>
      <c r="R1219">
        <v>1</v>
      </c>
      <c r="S1219">
        <v>0</v>
      </c>
      <c r="T1219">
        <v>348.91455020000001</v>
      </c>
      <c r="U1219">
        <f t="shared" ref="U1219:U1282" si="38">IF(OR(P1219=1,Q1219=1),1,0)</f>
        <v>1</v>
      </c>
      <c r="V1219">
        <f t="shared" ref="V1219:V1282" si="39">IF(OR(R1219=1,S1219=1),1,0)</f>
        <v>1</v>
      </c>
    </row>
    <row r="1220" spans="1:22" x14ac:dyDescent="0.2">
      <c r="A1220" t="s">
        <v>2021</v>
      </c>
      <c r="B1220" t="s">
        <v>28</v>
      </c>
      <c r="C1220" t="s">
        <v>76</v>
      </c>
      <c r="D1220" t="s">
        <v>77</v>
      </c>
      <c r="E1220" s="1" t="s">
        <v>82</v>
      </c>
      <c r="F1220" t="s">
        <v>83</v>
      </c>
      <c r="G1220" s="1" t="s">
        <v>163</v>
      </c>
      <c r="H1220">
        <v>94472279</v>
      </c>
      <c r="I1220">
        <v>168535619</v>
      </c>
      <c r="J1220">
        <v>3</v>
      </c>
      <c r="K1220">
        <v>21</v>
      </c>
      <c r="L1220">
        <v>74063340</v>
      </c>
      <c r="M1220" s="1" t="s">
        <v>2145</v>
      </c>
      <c r="N1220" s="1" t="s">
        <v>2146</v>
      </c>
      <c r="O1220">
        <v>3.0798780432654202E-3</v>
      </c>
      <c r="P1220">
        <v>1</v>
      </c>
      <c r="Q1220">
        <v>0</v>
      </c>
      <c r="R1220">
        <v>1</v>
      </c>
      <c r="S1220">
        <v>0</v>
      </c>
      <c r="T1220">
        <v>348.91455020000001</v>
      </c>
      <c r="U1220">
        <f t="shared" si="38"/>
        <v>1</v>
      </c>
      <c r="V1220">
        <f t="shared" si="39"/>
        <v>1</v>
      </c>
    </row>
    <row r="1221" spans="1:22" x14ac:dyDescent="0.2">
      <c r="A1221" t="s">
        <v>2021</v>
      </c>
      <c r="B1221" t="s">
        <v>28</v>
      </c>
      <c r="C1221" t="s">
        <v>76</v>
      </c>
      <c r="D1221" t="s">
        <v>77</v>
      </c>
      <c r="E1221">
        <v>12</v>
      </c>
      <c r="F1221" t="s">
        <v>194</v>
      </c>
      <c r="G1221">
        <v>65</v>
      </c>
      <c r="H1221">
        <v>26562614</v>
      </c>
      <c r="I1221">
        <v>1483236</v>
      </c>
      <c r="J1221">
        <v>2</v>
      </c>
      <c r="K1221">
        <v>31</v>
      </c>
      <c r="L1221">
        <v>-25079378</v>
      </c>
      <c r="M1221" s="1" t="s">
        <v>2147</v>
      </c>
      <c r="N1221" s="1" t="s">
        <v>2148</v>
      </c>
      <c r="O1221" s="1" t="s">
        <v>2149</v>
      </c>
      <c r="P1221">
        <v>1</v>
      </c>
      <c r="Q1221">
        <v>0</v>
      </c>
      <c r="R1221">
        <v>1</v>
      </c>
      <c r="S1221">
        <v>0</v>
      </c>
      <c r="T1221">
        <v>348.91455020000001</v>
      </c>
      <c r="U1221">
        <f t="shared" si="38"/>
        <v>1</v>
      </c>
      <c r="V1221">
        <f t="shared" si="39"/>
        <v>1</v>
      </c>
    </row>
    <row r="1222" spans="1:22" x14ac:dyDescent="0.2">
      <c r="A1222" t="s">
        <v>2021</v>
      </c>
      <c r="B1222" t="s">
        <v>28</v>
      </c>
      <c r="C1222" t="s">
        <v>76</v>
      </c>
      <c r="D1222" t="s">
        <v>77</v>
      </c>
      <c r="E1222">
        <v>18</v>
      </c>
      <c r="F1222" t="s">
        <v>147</v>
      </c>
      <c r="G1222">
        <v>91</v>
      </c>
      <c r="H1222">
        <v>19002054</v>
      </c>
      <c r="I1222">
        <v>401936</v>
      </c>
      <c r="J1222">
        <v>2</v>
      </c>
      <c r="K1222">
        <v>34</v>
      </c>
      <c r="L1222">
        <v>-18600118</v>
      </c>
      <c r="M1222" s="1" t="s">
        <v>2150</v>
      </c>
      <c r="N1222">
        <v>2.0714090246387401E-2</v>
      </c>
      <c r="O1222" s="1" t="s">
        <v>2151</v>
      </c>
      <c r="P1222">
        <v>1</v>
      </c>
      <c r="Q1222">
        <v>0</v>
      </c>
      <c r="R1222">
        <v>1</v>
      </c>
      <c r="S1222">
        <v>0</v>
      </c>
      <c r="T1222">
        <v>348.91455020000001</v>
      </c>
      <c r="U1222">
        <f t="shared" si="38"/>
        <v>1</v>
      </c>
      <c r="V1222">
        <f t="shared" si="39"/>
        <v>1</v>
      </c>
    </row>
    <row r="1223" spans="1:22" x14ac:dyDescent="0.2">
      <c r="A1223" t="s">
        <v>2021</v>
      </c>
      <c r="B1223" t="s">
        <v>28</v>
      </c>
      <c r="C1223" t="s">
        <v>76</v>
      </c>
      <c r="D1223" t="s">
        <v>77</v>
      </c>
      <c r="E1223">
        <v>11</v>
      </c>
      <c r="F1223" t="s">
        <v>127</v>
      </c>
      <c r="G1223">
        <v>55</v>
      </c>
      <c r="H1223">
        <v>48291965</v>
      </c>
      <c r="I1223">
        <v>1205122</v>
      </c>
      <c r="J1223">
        <v>2</v>
      </c>
      <c r="K1223">
        <v>38</v>
      </c>
      <c r="L1223">
        <v>-47086843</v>
      </c>
      <c r="M1223" s="1" t="s">
        <v>2152</v>
      </c>
      <c r="N1223">
        <v>2.43473317934851E-2</v>
      </c>
      <c r="O1223" s="1" t="s">
        <v>2153</v>
      </c>
      <c r="P1223">
        <v>1</v>
      </c>
      <c r="Q1223">
        <v>0</v>
      </c>
      <c r="R1223">
        <v>1</v>
      </c>
      <c r="S1223">
        <v>0</v>
      </c>
      <c r="T1223">
        <v>348.91455020000001</v>
      </c>
      <c r="U1223">
        <f t="shared" si="38"/>
        <v>1</v>
      </c>
      <c r="V1223">
        <f t="shared" si="39"/>
        <v>1</v>
      </c>
    </row>
    <row r="1224" spans="1:22" x14ac:dyDescent="0.2">
      <c r="A1224" t="s">
        <v>2021</v>
      </c>
      <c r="B1224" t="s">
        <v>28</v>
      </c>
      <c r="C1224" t="s">
        <v>76</v>
      </c>
      <c r="D1224" t="s">
        <v>77</v>
      </c>
      <c r="E1224" s="1" t="s">
        <v>163</v>
      </c>
      <c r="F1224" t="s">
        <v>224</v>
      </c>
      <c r="G1224">
        <v>41</v>
      </c>
      <c r="H1224">
        <v>11952980</v>
      </c>
      <c r="I1224">
        <v>3618867</v>
      </c>
      <c r="J1224">
        <v>9</v>
      </c>
      <c r="K1224">
        <v>13</v>
      </c>
      <c r="L1224">
        <v>-8334113</v>
      </c>
      <c r="M1224" s="1" t="s">
        <v>2154</v>
      </c>
      <c r="N1224" s="1" t="s">
        <v>2155</v>
      </c>
      <c r="O1224" s="1" t="s">
        <v>2156</v>
      </c>
      <c r="P1224">
        <v>0</v>
      </c>
      <c r="Q1224">
        <v>0</v>
      </c>
      <c r="R1224">
        <v>1</v>
      </c>
      <c r="S1224">
        <v>0</v>
      </c>
      <c r="T1224">
        <v>348.91455020000001</v>
      </c>
      <c r="U1224">
        <f t="shared" si="38"/>
        <v>0</v>
      </c>
      <c r="V1224">
        <f t="shared" si="39"/>
        <v>1</v>
      </c>
    </row>
    <row r="1225" spans="1:22" x14ac:dyDescent="0.2">
      <c r="A1225" t="s">
        <v>2021</v>
      </c>
      <c r="B1225" t="s">
        <v>28</v>
      </c>
      <c r="C1225" t="s">
        <v>76</v>
      </c>
      <c r="D1225" t="s">
        <v>77</v>
      </c>
      <c r="E1225" s="1" t="s">
        <v>82</v>
      </c>
      <c r="F1225" t="s">
        <v>83</v>
      </c>
      <c r="G1225">
        <v>13</v>
      </c>
      <c r="H1225">
        <v>12856541</v>
      </c>
      <c r="I1225">
        <v>49749</v>
      </c>
      <c r="J1225">
        <v>2</v>
      </c>
      <c r="K1225">
        <v>47</v>
      </c>
      <c r="L1225">
        <v>-12806792</v>
      </c>
      <c r="M1225">
        <v>0.99614536787876296</v>
      </c>
      <c r="N1225">
        <v>3.8546321212369998E-3</v>
      </c>
      <c r="O1225" s="1" t="s">
        <v>2157</v>
      </c>
      <c r="P1225">
        <v>1</v>
      </c>
      <c r="Q1225">
        <v>0</v>
      </c>
      <c r="R1225">
        <v>1</v>
      </c>
      <c r="S1225">
        <v>0</v>
      </c>
      <c r="T1225">
        <v>348.91455020000001</v>
      </c>
      <c r="U1225">
        <f t="shared" si="38"/>
        <v>1</v>
      </c>
      <c r="V1225">
        <f t="shared" si="39"/>
        <v>1</v>
      </c>
    </row>
    <row r="1226" spans="1:22" x14ac:dyDescent="0.2">
      <c r="A1226" t="s">
        <v>2021</v>
      </c>
      <c r="B1226" t="s">
        <v>28</v>
      </c>
      <c r="C1226" t="s">
        <v>76</v>
      </c>
      <c r="D1226" t="s">
        <v>77</v>
      </c>
      <c r="E1226">
        <v>15</v>
      </c>
      <c r="F1226" t="s">
        <v>88</v>
      </c>
      <c r="G1226">
        <v>81</v>
      </c>
      <c r="H1226">
        <v>14261457</v>
      </c>
      <c r="I1226">
        <v>147000590</v>
      </c>
      <c r="J1226">
        <v>27</v>
      </c>
      <c r="K1226">
        <v>2</v>
      </c>
      <c r="L1226">
        <v>132739133</v>
      </c>
      <c r="M1226">
        <v>8.8436537085505307E-2</v>
      </c>
      <c r="N1226" s="1" t="s">
        <v>2158</v>
      </c>
      <c r="O1226">
        <v>1.8884126353016801E-3</v>
      </c>
      <c r="P1226">
        <v>0</v>
      </c>
      <c r="Q1226">
        <v>1</v>
      </c>
      <c r="R1226">
        <v>0</v>
      </c>
      <c r="S1226">
        <v>1</v>
      </c>
      <c r="T1226">
        <v>348.91455020000001</v>
      </c>
      <c r="U1226">
        <f t="shared" si="38"/>
        <v>1</v>
      </c>
      <c r="V1226">
        <f t="shared" si="39"/>
        <v>1</v>
      </c>
    </row>
    <row r="1227" spans="1:22" x14ac:dyDescent="0.2">
      <c r="A1227" t="s">
        <v>2021</v>
      </c>
      <c r="B1227" t="s">
        <v>28</v>
      </c>
      <c r="C1227" t="s">
        <v>76</v>
      </c>
      <c r="D1227" t="s">
        <v>77</v>
      </c>
      <c r="E1227">
        <v>11</v>
      </c>
      <c r="F1227" t="s">
        <v>127</v>
      </c>
      <c r="G1227">
        <v>51</v>
      </c>
      <c r="H1227">
        <v>6762466</v>
      </c>
      <c r="I1227">
        <v>1707078</v>
      </c>
      <c r="J1227">
        <v>4</v>
      </c>
      <c r="K1227">
        <v>19</v>
      </c>
      <c r="L1227">
        <v>-5055388</v>
      </c>
      <c r="M1227" s="1" t="s">
        <v>2159</v>
      </c>
      <c r="N1227" s="1" t="s">
        <v>2160</v>
      </c>
      <c r="O1227" s="1" t="s">
        <v>2161</v>
      </c>
      <c r="P1227">
        <v>1</v>
      </c>
      <c r="Q1227">
        <v>0</v>
      </c>
      <c r="R1227">
        <v>1</v>
      </c>
      <c r="S1227">
        <v>0</v>
      </c>
      <c r="T1227">
        <v>348.91455020000001</v>
      </c>
      <c r="U1227">
        <f t="shared" si="38"/>
        <v>1</v>
      </c>
      <c r="V1227">
        <f t="shared" si="39"/>
        <v>1</v>
      </c>
    </row>
    <row r="1228" spans="1:22" x14ac:dyDescent="0.2">
      <c r="A1228" t="s">
        <v>2021</v>
      </c>
      <c r="B1228" t="s">
        <v>28</v>
      </c>
      <c r="C1228" t="s">
        <v>76</v>
      </c>
      <c r="D1228" t="s">
        <v>77</v>
      </c>
      <c r="E1228" s="1" t="s">
        <v>82</v>
      </c>
      <c r="F1228" t="s">
        <v>83</v>
      </c>
      <c r="G1228" s="1" t="s">
        <v>99</v>
      </c>
      <c r="H1228">
        <v>38185246</v>
      </c>
      <c r="I1228">
        <v>149857052</v>
      </c>
      <c r="J1228">
        <v>13</v>
      </c>
      <c r="K1228">
        <v>11</v>
      </c>
      <c r="L1228">
        <v>111671806</v>
      </c>
      <c r="M1228" s="1" t="s">
        <v>2162</v>
      </c>
      <c r="N1228">
        <v>0.79693267734900797</v>
      </c>
      <c r="O1228">
        <v>2.20201503156142E-3</v>
      </c>
      <c r="P1228">
        <v>0</v>
      </c>
      <c r="Q1228">
        <v>0</v>
      </c>
      <c r="R1228">
        <v>0</v>
      </c>
      <c r="S1228">
        <v>0</v>
      </c>
      <c r="T1228">
        <v>348.91455020000001</v>
      </c>
      <c r="U1228">
        <f t="shared" si="38"/>
        <v>0</v>
      </c>
      <c r="V1228">
        <f t="shared" si="39"/>
        <v>0</v>
      </c>
    </row>
    <row r="1229" spans="1:22" x14ac:dyDescent="0.2">
      <c r="A1229" t="s">
        <v>2021</v>
      </c>
      <c r="B1229" t="s">
        <v>28</v>
      </c>
      <c r="C1229" t="s">
        <v>76</v>
      </c>
      <c r="D1229" t="s">
        <v>77</v>
      </c>
      <c r="E1229">
        <v>11</v>
      </c>
      <c r="F1229" t="s">
        <v>127</v>
      </c>
      <c r="G1229">
        <v>52</v>
      </c>
      <c r="H1229">
        <v>38690402</v>
      </c>
      <c r="I1229">
        <v>59920150</v>
      </c>
      <c r="J1229">
        <v>3</v>
      </c>
      <c r="K1229">
        <v>8</v>
      </c>
      <c r="L1229">
        <v>21229748</v>
      </c>
      <c r="M1229" s="1" t="s">
        <v>2163</v>
      </c>
      <c r="N1229" s="1" t="s">
        <v>2164</v>
      </c>
      <c r="O1229">
        <v>1.1547503943744001E-3</v>
      </c>
      <c r="P1229">
        <v>1</v>
      </c>
      <c r="Q1229">
        <v>0</v>
      </c>
      <c r="R1229">
        <v>1</v>
      </c>
      <c r="S1229">
        <v>1</v>
      </c>
      <c r="T1229">
        <v>348.91455020000001</v>
      </c>
      <c r="U1229">
        <f t="shared" si="38"/>
        <v>1</v>
      </c>
      <c r="V1229">
        <f t="shared" si="39"/>
        <v>1</v>
      </c>
    </row>
    <row r="1230" spans="1:22" x14ac:dyDescent="0.2">
      <c r="A1230" t="s">
        <v>2021</v>
      </c>
      <c r="B1230" t="s">
        <v>28</v>
      </c>
      <c r="C1230" t="s">
        <v>76</v>
      </c>
      <c r="D1230" t="s">
        <v>77</v>
      </c>
      <c r="E1230">
        <v>11</v>
      </c>
      <c r="F1230" t="s">
        <v>127</v>
      </c>
      <c r="G1230">
        <v>54</v>
      </c>
      <c r="H1230">
        <v>26600911</v>
      </c>
      <c r="I1230">
        <v>8009191</v>
      </c>
      <c r="J1230">
        <v>2</v>
      </c>
      <c r="K1230">
        <v>21</v>
      </c>
      <c r="L1230">
        <v>-18591720</v>
      </c>
      <c r="M1230" s="1" t="s">
        <v>2165</v>
      </c>
      <c r="N1230" s="1" t="s">
        <v>2166</v>
      </c>
      <c r="O1230" s="1" t="s">
        <v>2167</v>
      </c>
      <c r="P1230">
        <v>1</v>
      </c>
      <c r="Q1230">
        <v>0</v>
      </c>
      <c r="R1230">
        <v>1</v>
      </c>
      <c r="S1230">
        <v>0</v>
      </c>
      <c r="T1230">
        <v>348.91455020000001</v>
      </c>
      <c r="U1230">
        <f t="shared" si="38"/>
        <v>1</v>
      </c>
      <c r="V1230">
        <f t="shared" si="39"/>
        <v>1</v>
      </c>
    </row>
    <row r="1231" spans="1:22" x14ac:dyDescent="0.2">
      <c r="A1231" t="s">
        <v>2021</v>
      </c>
      <c r="B1231" t="s">
        <v>28</v>
      </c>
      <c r="C1231" t="s">
        <v>76</v>
      </c>
      <c r="D1231" t="s">
        <v>77</v>
      </c>
      <c r="E1231">
        <v>11</v>
      </c>
      <c r="F1231" t="s">
        <v>127</v>
      </c>
      <c r="G1231">
        <v>57</v>
      </c>
      <c r="H1231">
        <v>26992201</v>
      </c>
      <c r="I1231">
        <v>3709129</v>
      </c>
      <c r="J1231">
        <v>1</v>
      </c>
      <c r="K1231">
        <v>24</v>
      </c>
      <c r="L1231">
        <v>-23283072</v>
      </c>
      <c r="M1231" s="1" t="s">
        <v>2168</v>
      </c>
      <c r="N1231" s="1" t="s">
        <v>2169</v>
      </c>
      <c r="O1231" s="1" t="s">
        <v>2170</v>
      </c>
      <c r="P1231">
        <v>1</v>
      </c>
      <c r="Q1231">
        <v>0</v>
      </c>
      <c r="R1231">
        <v>1</v>
      </c>
      <c r="S1231">
        <v>0</v>
      </c>
      <c r="T1231">
        <v>348.91455020000001</v>
      </c>
      <c r="U1231">
        <f t="shared" si="38"/>
        <v>1</v>
      </c>
      <c r="V1231">
        <f t="shared" si="39"/>
        <v>1</v>
      </c>
    </row>
    <row r="1232" spans="1:22" x14ac:dyDescent="0.2">
      <c r="A1232" t="s">
        <v>2021</v>
      </c>
      <c r="B1232" t="s">
        <v>28</v>
      </c>
      <c r="C1232" t="s">
        <v>76</v>
      </c>
      <c r="D1232" t="s">
        <v>77</v>
      </c>
      <c r="E1232">
        <v>15</v>
      </c>
      <c r="F1232" t="s">
        <v>88</v>
      </c>
      <c r="G1232">
        <v>79</v>
      </c>
      <c r="H1232">
        <v>10965141</v>
      </c>
      <c r="I1232">
        <v>339288047</v>
      </c>
      <c r="J1232">
        <v>7</v>
      </c>
      <c r="K1232">
        <v>1</v>
      </c>
      <c r="L1232">
        <v>328322906</v>
      </c>
      <c r="M1232">
        <v>3.13063274673177E-2</v>
      </c>
      <c r="N1232" s="1" t="s">
        <v>2171</v>
      </c>
      <c r="O1232">
        <v>4.1015388188263297E-3</v>
      </c>
      <c r="P1232">
        <v>0</v>
      </c>
      <c r="Q1232">
        <v>1</v>
      </c>
      <c r="R1232">
        <v>1</v>
      </c>
      <c r="S1232">
        <v>1</v>
      </c>
      <c r="T1232">
        <v>348.91455020000001</v>
      </c>
      <c r="U1232">
        <f t="shared" si="38"/>
        <v>1</v>
      </c>
      <c r="V1232">
        <f t="shared" si="39"/>
        <v>1</v>
      </c>
    </row>
    <row r="1233" spans="1:22" x14ac:dyDescent="0.2">
      <c r="A1233" t="s">
        <v>2021</v>
      </c>
      <c r="B1233" t="s">
        <v>28</v>
      </c>
      <c r="C1233" t="s">
        <v>76</v>
      </c>
      <c r="D1233" t="s">
        <v>77</v>
      </c>
      <c r="E1233" s="1" t="s">
        <v>163</v>
      </c>
      <c r="F1233" t="s">
        <v>224</v>
      </c>
      <c r="G1233">
        <v>43</v>
      </c>
      <c r="H1233">
        <v>5778107</v>
      </c>
      <c r="I1233">
        <v>1563391</v>
      </c>
      <c r="J1233">
        <v>10</v>
      </c>
      <c r="K1233">
        <v>18</v>
      </c>
      <c r="L1233">
        <v>-4214716</v>
      </c>
      <c r="M1233" s="1" t="s">
        <v>2172</v>
      </c>
      <c r="N1233" s="1" t="s">
        <v>2173</v>
      </c>
      <c r="O1233" s="1" t="s">
        <v>2174</v>
      </c>
      <c r="P1233">
        <v>0</v>
      </c>
      <c r="Q1233">
        <v>0</v>
      </c>
      <c r="R1233">
        <v>1</v>
      </c>
      <c r="S1233">
        <v>0</v>
      </c>
      <c r="T1233">
        <v>348.91455020000001</v>
      </c>
      <c r="U1233">
        <f t="shared" si="38"/>
        <v>0</v>
      </c>
      <c r="V1233">
        <f t="shared" si="39"/>
        <v>1</v>
      </c>
    </row>
    <row r="1234" spans="1:22" x14ac:dyDescent="0.2">
      <c r="A1234" t="s">
        <v>2021</v>
      </c>
      <c r="B1234" t="s">
        <v>28</v>
      </c>
      <c r="C1234" t="s">
        <v>76</v>
      </c>
      <c r="D1234" t="s">
        <v>77</v>
      </c>
      <c r="E1234" s="1" t="s">
        <v>89</v>
      </c>
      <c r="F1234" t="s">
        <v>90</v>
      </c>
      <c r="G1234">
        <v>37</v>
      </c>
      <c r="H1234">
        <v>11505170</v>
      </c>
      <c r="I1234">
        <v>116659</v>
      </c>
      <c r="J1234">
        <v>2</v>
      </c>
      <c r="K1234">
        <v>28</v>
      </c>
      <c r="L1234">
        <v>-11388511</v>
      </c>
      <c r="M1234" s="1" t="s">
        <v>2175</v>
      </c>
      <c r="N1234">
        <v>1.00379208814722E-2</v>
      </c>
      <c r="O1234" s="1" t="s">
        <v>2176</v>
      </c>
      <c r="P1234">
        <v>1</v>
      </c>
      <c r="Q1234">
        <v>0</v>
      </c>
      <c r="R1234">
        <v>1</v>
      </c>
      <c r="S1234">
        <v>0</v>
      </c>
      <c r="T1234">
        <v>348.91455020000001</v>
      </c>
      <c r="U1234">
        <f t="shared" si="38"/>
        <v>1</v>
      </c>
      <c r="V1234">
        <f t="shared" si="39"/>
        <v>1</v>
      </c>
    </row>
    <row r="1235" spans="1:22" x14ac:dyDescent="0.2">
      <c r="A1235" t="s">
        <v>2021</v>
      </c>
      <c r="B1235" t="s">
        <v>28</v>
      </c>
      <c r="C1235" t="s">
        <v>76</v>
      </c>
      <c r="D1235" t="s">
        <v>77</v>
      </c>
      <c r="E1235">
        <v>11</v>
      </c>
      <c r="F1235" t="s">
        <v>127</v>
      </c>
      <c r="G1235">
        <v>58</v>
      </c>
      <c r="H1235">
        <v>14193943</v>
      </c>
      <c r="I1235">
        <v>814848</v>
      </c>
      <c r="J1235">
        <v>2</v>
      </c>
      <c r="K1235">
        <v>32</v>
      </c>
      <c r="L1235">
        <v>-13379095</v>
      </c>
      <c r="M1235" s="1" t="s">
        <v>2177</v>
      </c>
      <c r="N1235">
        <v>5.4291381630938801E-2</v>
      </c>
      <c r="O1235" s="1" t="s">
        <v>2178</v>
      </c>
      <c r="P1235">
        <v>1</v>
      </c>
      <c r="Q1235">
        <v>0</v>
      </c>
      <c r="R1235">
        <v>1</v>
      </c>
      <c r="S1235">
        <v>0</v>
      </c>
      <c r="T1235">
        <v>348.91455020000001</v>
      </c>
      <c r="U1235">
        <f t="shared" si="38"/>
        <v>1</v>
      </c>
      <c r="V1235">
        <f t="shared" si="39"/>
        <v>1</v>
      </c>
    </row>
    <row r="1236" spans="1:22" x14ac:dyDescent="0.2">
      <c r="A1236" t="s">
        <v>2021</v>
      </c>
      <c r="B1236" t="s">
        <v>28</v>
      </c>
      <c r="C1236" t="s">
        <v>76</v>
      </c>
      <c r="D1236" t="s">
        <v>77</v>
      </c>
      <c r="E1236" s="1" t="s">
        <v>155</v>
      </c>
      <c r="F1236" t="s">
        <v>156</v>
      </c>
      <c r="G1236" s="1" t="s">
        <v>85</v>
      </c>
      <c r="H1236">
        <v>6617461</v>
      </c>
      <c r="I1236">
        <v>1988539</v>
      </c>
      <c r="J1236">
        <v>15</v>
      </c>
      <c r="K1236">
        <v>19</v>
      </c>
      <c r="L1236">
        <v>-4628922</v>
      </c>
      <c r="M1236" s="1" t="s">
        <v>2179</v>
      </c>
      <c r="N1236" s="1" t="s">
        <v>2180</v>
      </c>
      <c r="O1236" s="1" t="s">
        <v>2181</v>
      </c>
      <c r="P1236">
        <v>0</v>
      </c>
      <c r="Q1236">
        <v>0</v>
      </c>
      <c r="R1236">
        <v>0</v>
      </c>
      <c r="S1236">
        <v>0</v>
      </c>
      <c r="T1236">
        <v>348.91455020000001</v>
      </c>
      <c r="U1236">
        <f t="shared" si="38"/>
        <v>0</v>
      </c>
      <c r="V1236">
        <f t="shared" si="39"/>
        <v>0</v>
      </c>
    </row>
    <row r="1237" spans="1:22" x14ac:dyDescent="0.2">
      <c r="A1237" t="s">
        <v>2021</v>
      </c>
      <c r="B1237" t="s">
        <v>28</v>
      </c>
      <c r="C1237" t="s">
        <v>76</v>
      </c>
      <c r="D1237" t="s">
        <v>77</v>
      </c>
      <c r="E1237" s="1" t="s">
        <v>82</v>
      </c>
      <c r="F1237" t="s">
        <v>83</v>
      </c>
      <c r="G1237" s="1" t="s">
        <v>89</v>
      </c>
      <c r="H1237">
        <v>7341154</v>
      </c>
      <c r="I1237">
        <v>45235411</v>
      </c>
      <c r="J1237">
        <v>1</v>
      </c>
      <c r="K1237">
        <v>11</v>
      </c>
      <c r="L1237">
        <v>37894257</v>
      </c>
      <c r="M1237" s="1" t="s">
        <v>2182</v>
      </c>
      <c r="N1237" s="1" t="s">
        <v>2183</v>
      </c>
      <c r="O1237" s="1" t="s">
        <v>2184</v>
      </c>
      <c r="P1237">
        <v>1</v>
      </c>
      <c r="Q1237">
        <v>0</v>
      </c>
      <c r="R1237">
        <v>1</v>
      </c>
      <c r="S1237">
        <v>0</v>
      </c>
      <c r="T1237">
        <v>348.91455020000001</v>
      </c>
      <c r="U1237">
        <f t="shared" si="38"/>
        <v>1</v>
      </c>
      <c r="V1237">
        <f t="shared" si="39"/>
        <v>1</v>
      </c>
    </row>
    <row r="1238" spans="1:22" x14ac:dyDescent="0.2">
      <c r="A1238" t="s">
        <v>2021</v>
      </c>
      <c r="B1238" t="s">
        <v>28</v>
      </c>
      <c r="C1238" t="s">
        <v>76</v>
      </c>
      <c r="D1238" t="s">
        <v>77</v>
      </c>
      <c r="E1238">
        <v>15</v>
      </c>
      <c r="F1238" t="s">
        <v>88</v>
      </c>
      <c r="G1238">
        <v>75</v>
      </c>
      <c r="H1238">
        <v>8538070</v>
      </c>
      <c r="I1238">
        <v>357892</v>
      </c>
      <c r="J1238">
        <v>27</v>
      </c>
      <c r="K1238">
        <v>28</v>
      </c>
      <c r="L1238">
        <v>-8180178</v>
      </c>
      <c r="M1238">
        <v>0.95976916268302404</v>
      </c>
      <c r="N1238">
        <v>4.0230837316975902E-2</v>
      </c>
      <c r="O1238" s="1" t="s">
        <v>2185</v>
      </c>
      <c r="P1238">
        <v>0</v>
      </c>
      <c r="Q1238">
        <v>0</v>
      </c>
      <c r="R1238">
        <v>0</v>
      </c>
      <c r="S1238">
        <v>0</v>
      </c>
      <c r="T1238">
        <v>348.91455020000001</v>
      </c>
      <c r="U1238">
        <f t="shared" si="38"/>
        <v>0</v>
      </c>
      <c r="V1238">
        <f t="shared" si="39"/>
        <v>0</v>
      </c>
    </row>
    <row r="1239" spans="1:22" x14ac:dyDescent="0.2">
      <c r="A1239" t="s">
        <v>2021</v>
      </c>
      <c r="B1239" t="s">
        <v>28</v>
      </c>
      <c r="C1239" t="s">
        <v>76</v>
      </c>
      <c r="D1239" t="s">
        <v>77</v>
      </c>
      <c r="E1239">
        <v>15</v>
      </c>
      <c r="F1239" t="s">
        <v>88</v>
      </c>
      <c r="G1239">
        <v>78</v>
      </c>
      <c r="H1239">
        <v>13428816</v>
      </c>
      <c r="I1239">
        <v>38915697</v>
      </c>
      <c r="J1239">
        <v>15</v>
      </c>
      <c r="K1239">
        <v>1</v>
      </c>
      <c r="L1239">
        <v>25486881</v>
      </c>
      <c r="M1239" s="1" t="s">
        <v>2186</v>
      </c>
      <c r="N1239" s="1" t="s">
        <v>2187</v>
      </c>
      <c r="O1239" s="1" t="s">
        <v>2188</v>
      </c>
      <c r="P1239">
        <v>0</v>
      </c>
      <c r="Q1239">
        <v>1</v>
      </c>
      <c r="R1239">
        <v>0</v>
      </c>
      <c r="S1239">
        <v>1</v>
      </c>
      <c r="T1239">
        <v>348.91455020000001</v>
      </c>
      <c r="U1239">
        <f t="shared" si="38"/>
        <v>1</v>
      </c>
      <c r="V1239">
        <f t="shared" si="39"/>
        <v>1</v>
      </c>
    </row>
    <row r="1240" spans="1:22" x14ac:dyDescent="0.2">
      <c r="A1240" t="s">
        <v>2021</v>
      </c>
      <c r="B1240" t="s">
        <v>28</v>
      </c>
      <c r="C1240" t="s">
        <v>76</v>
      </c>
      <c r="D1240" t="s">
        <v>77</v>
      </c>
      <c r="E1240">
        <v>11</v>
      </c>
      <c r="F1240" t="s">
        <v>127</v>
      </c>
      <c r="G1240">
        <v>60</v>
      </c>
      <c r="H1240">
        <v>6294441</v>
      </c>
      <c r="I1240">
        <v>356663</v>
      </c>
      <c r="J1240">
        <v>3</v>
      </c>
      <c r="K1240">
        <v>36</v>
      </c>
      <c r="L1240">
        <v>-5937778</v>
      </c>
      <c r="M1240" s="1" t="s">
        <v>2189</v>
      </c>
      <c r="N1240" s="1" t="s">
        <v>2190</v>
      </c>
      <c r="O1240" s="1" t="s">
        <v>2191</v>
      </c>
      <c r="P1240">
        <v>1</v>
      </c>
      <c r="Q1240">
        <v>0</v>
      </c>
      <c r="R1240">
        <v>1</v>
      </c>
      <c r="S1240">
        <v>0</v>
      </c>
      <c r="T1240">
        <v>348.91455020000001</v>
      </c>
      <c r="U1240">
        <f t="shared" si="38"/>
        <v>1</v>
      </c>
      <c r="V1240">
        <f t="shared" si="39"/>
        <v>1</v>
      </c>
    </row>
    <row r="1241" spans="1:22" x14ac:dyDescent="0.2">
      <c r="A1241" t="s">
        <v>2021</v>
      </c>
      <c r="B1241" t="s">
        <v>28</v>
      </c>
      <c r="C1241" t="s">
        <v>76</v>
      </c>
      <c r="D1241" t="s">
        <v>77</v>
      </c>
      <c r="E1241" s="1" t="s">
        <v>93</v>
      </c>
      <c r="F1241" t="s">
        <v>94</v>
      </c>
      <c r="G1241">
        <v>45</v>
      </c>
      <c r="H1241">
        <v>1720574</v>
      </c>
      <c r="I1241">
        <v>6503</v>
      </c>
      <c r="J1241">
        <v>2</v>
      </c>
      <c r="K1241">
        <v>32</v>
      </c>
      <c r="L1241">
        <v>-1714071</v>
      </c>
      <c r="M1241">
        <v>0.99623467859279002</v>
      </c>
      <c r="N1241">
        <v>3.76532140720998E-3</v>
      </c>
      <c r="O1241" s="1" t="s">
        <v>2192</v>
      </c>
      <c r="P1241">
        <v>1</v>
      </c>
      <c r="Q1241">
        <v>0</v>
      </c>
      <c r="R1241">
        <v>1</v>
      </c>
      <c r="S1241">
        <v>0</v>
      </c>
      <c r="T1241">
        <v>348.91455020000001</v>
      </c>
      <c r="U1241">
        <f t="shared" si="38"/>
        <v>1</v>
      </c>
      <c r="V1241">
        <f t="shared" si="39"/>
        <v>1</v>
      </c>
    </row>
    <row r="1242" spans="1:22" x14ac:dyDescent="0.2">
      <c r="A1242" t="s">
        <v>2021</v>
      </c>
      <c r="B1242" t="s">
        <v>28</v>
      </c>
      <c r="C1242" t="s">
        <v>76</v>
      </c>
      <c r="D1242" t="s">
        <v>77</v>
      </c>
      <c r="E1242">
        <v>11</v>
      </c>
      <c r="F1242" t="s">
        <v>127</v>
      </c>
      <c r="G1242">
        <v>53</v>
      </c>
      <c r="H1242">
        <v>2714279</v>
      </c>
      <c r="I1242">
        <v>43292</v>
      </c>
      <c r="J1242">
        <v>9</v>
      </c>
      <c r="K1242">
        <v>31</v>
      </c>
      <c r="L1242">
        <v>-2670987</v>
      </c>
      <c r="M1242" s="1" t="s">
        <v>2193</v>
      </c>
      <c r="N1242" s="1" t="s">
        <v>2194</v>
      </c>
      <c r="O1242" s="1" t="s">
        <v>2195</v>
      </c>
      <c r="P1242">
        <v>0</v>
      </c>
      <c r="Q1242">
        <v>0</v>
      </c>
      <c r="R1242">
        <v>1</v>
      </c>
      <c r="S1242">
        <v>0</v>
      </c>
      <c r="T1242">
        <v>348.91455020000001</v>
      </c>
      <c r="U1242">
        <f t="shared" si="38"/>
        <v>0</v>
      </c>
      <c r="V1242">
        <f t="shared" si="39"/>
        <v>1</v>
      </c>
    </row>
    <row r="1243" spans="1:22" x14ac:dyDescent="0.2">
      <c r="A1243" t="s">
        <v>2021</v>
      </c>
      <c r="B1243" t="s">
        <v>28</v>
      </c>
      <c r="C1243" t="s">
        <v>76</v>
      </c>
      <c r="D1243" t="s">
        <v>77</v>
      </c>
      <c r="E1243" s="1" t="s">
        <v>82</v>
      </c>
      <c r="F1243" t="s">
        <v>83</v>
      </c>
      <c r="G1243">
        <v>14</v>
      </c>
      <c r="H1243">
        <v>1216806</v>
      </c>
      <c r="I1243">
        <v>78530</v>
      </c>
      <c r="J1243">
        <v>10</v>
      </c>
      <c r="K1243">
        <v>16</v>
      </c>
      <c r="L1243">
        <v>-1138276</v>
      </c>
      <c r="M1243" s="1" t="s">
        <v>2196</v>
      </c>
      <c r="N1243">
        <v>6.06251968601196E-2</v>
      </c>
      <c r="O1243" s="1" t="s">
        <v>2197</v>
      </c>
      <c r="P1243">
        <v>0</v>
      </c>
      <c r="Q1243">
        <v>0</v>
      </c>
      <c r="R1243">
        <v>1</v>
      </c>
      <c r="S1243">
        <v>0</v>
      </c>
      <c r="T1243">
        <v>348.91455020000001</v>
      </c>
      <c r="U1243">
        <f t="shared" si="38"/>
        <v>0</v>
      </c>
      <c r="V1243">
        <f t="shared" si="39"/>
        <v>1</v>
      </c>
    </row>
    <row r="1244" spans="1:22" x14ac:dyDescent="0.2">
      <c r="A1244" t="s">
        <v>2021</v>
      </c>
      <c r="B1244" t="s">
        <v>28</v>
      </c>
      <c r="C1244" t="s">
        <v>76</v>
      </c>
      <c r="D1244" t="s">
        <v>77</v>
      </c>
      <c r="E1244">
        <v>21</v>
      </c>
      <c r="F1244" t="s">
        <v>212</v>
      </c>
      <c r="G1244">
        <v>97</v>
      </c>
      <c r="H1244">
        <v>734029</v>
      </c>
      <c r="I1244">
        <v>1747</v>
      </c>
      <c r="J1244">
        <v>20</v>
      </c>
      <c r="K1244">
        <v>72</v>
      </c>
      <c r="L1244">
        <v>-732282</v>
      </c>
      <c r="M1244" s="1" t="s">
        <v>2198</v>
      </c>
      <c r="N1244">
        <v>2.3743639368503399E-3</v>
      </c>
      <c r="O1244" s="1" t="s">
        <v>2199</v>
      </c>
      <c r="P1244">
        <v>0</v>
      </c>
      <c r="Q1244">
        <v>0</v>
      </c>
      <c r="R1244">
        <v>0</v>
      </c>
      <c r="S1244">
        <v>0</v>
      </c>
      <c r="T1244">
        <v>348.91455020000001</v>
      </c>
      <c r="U1244">
        <f t="shared" si="38"/>
        <v>0</v>
      </c>
      <c r="V1244">
        <f t="shared" si="39"/>
        <v>0</v>
      </c>
    </row>
    <row r="1245" spans="1:22" x14ac:dyDescent="0.2">
      <c r="A1245" t="s">
        <v>2021</v>
      </c>
      <c r="B1245" t="s">
        <v>28</v>
      </c>
      <c r="C1245" t="s">
        <v>76</v>
      </c>
      <c r="D1245" t="s">
        <v>77</v>
      </c>
      <c r="E1245">
        <v>12</v>
      </c>
      <c r="F1245" t="s">
        <v>194</v>
      </c>
      <c r="G1245">
        <v>67</v>
      </c>
      <c r="H1245">
        <v>1193851</v>
      </c>
      <c r="I1245">
        <v>297939</v>
      </c>
      <c r="J1245">
        <v>4</v>
      </c>
      <c r="K1245">
        <v>21</v>
      </c>
      <c r="L1245">
        <v>-895912</v>
      </c>
      <c r="M1245" s="1" t="s">
        <v>2200</v>
      </c>
      <c r="N1245" s="1" t="s">
        <v>2201</v>
      </c>
      <c r="O1245" s="1" t="s">
        <v>2202</v>
      </c>
      <c r="P1245">
        <v>1</v>
      </c>
      <c r="Q1245">
        <v>0</v>
      </c>
      <c r="R1245">
        <v>1</v>
      </c>
      <c r="S1245">
        <v>0</v>
      </c>
      <c r="T1245">
        <v>348.91455020000001</v>
      </c>
      <c r="U1245">
        <f t="shared" si="38"/>
        <v>1</v>
      </c>
      <c r="V1245">
        <f t="shared" si="39"/>
        <v>1</v>
      </c>
    </row>
    <row r="1246" spans="1:22" x14ac:dyDescent="0.2">
      <c r="A1246" t="s">
        <v>2021</v>
      </c>
      <c r="B1246" t="s">
        <v>28</v>
      </c>
      <c r="C1246" t="s">
        <v>76</v>
      </c>
      <c r="D1246" t="s">
        <v>77</v>
      </c>
      <c r="E1246">
        <v>18</v>
      </c>
      <c r="F1246" t="s">
        <v>147</v>
      </c>
      <c r="G1246">
        <v>92</v>
      </c>
      <c r="H1246">
        <v>9580270</v>
      </c>
      <c r="I1246">
        <v>25732</v>
      </c>
      <c r="J1246">
        <v>1</v>
      </c>
      <c r="K1246">
        <v>42</v>
      </c>
      <c r="L1246">
        <v>-9554538</v>
      </c>
      <c r="M1246" s="1" t="s">
        <v>2203</v>
      </c>
      <c r="N1246">
        <v>2.6787418949111102E-3</v>
      </c>
      <c r="O1246" s="1" t="s">
        <v>2204</v>
      </c>
      <c r="P1246">
        <v>1</v>
      </c>
      <c r="Q1246">
        <v>0</v>
      </c>
      <c r="R1246">
        <v>1</v>
      </c>
      <c r="S1246">
        <v>0</v>
      </c>
      <c r="T1246">
        <v>348.91455020000001</v>
      </c>
      <c r="U1246">
        <f t="shared" si="38"/>
        <v>1</v>
      </c>
      <c r="V1246">
        <f t="shared" si="39"/>
        <v>1</v>
      </c>
    </row>
    <row r="1247" spans="1:22" x14ac:dyDescent="0.2">
      <c r="A1247" t="s">
        <v>2021</v>
      </c>
      <c r="B1247" t="s">
        <v>28</v>
      </c>
      <c r="C1247" t="s">
        <v>76</v>
      </c>
      <c r="D1247" t="s">
        <v>77</v>
      </c>
      <c r="E1247">
        <v>12</v>
      </c>
      <c r="F1247" t="s">
        <v>194</v>
      </c>
      <c r="G1247">
        <v>66</v>
      </c>
      <c r="H1247">
        <v>1811630</v>
      </c>
      <c r="I1247">
        <v>189244</v>
      </c>
      <c r="J1247">
        <v>2</v>
      </c>
      <c r="K1247">
        <v>23</v>
      </c>
      <c r="L1247">
        <v>-1622386</v>
      </c>
      <c r="M1247" s="1" t="s">
        <v>2205</v>
      </c>
      <c r="N1247">
        <v>9.4580668247975605E-2</v>
      </c>
      <c r="O1247" s="1" t="s">
        <v>2206</v>
      </c>
      <c r="P1247">
        <v>1</v>
      </c>
      <c r="Q1247">
        <v>0</v>
      </c>
      <c r="R1247">
        <v>1</v>
      </c>
      <c r="S1247">
        <v>0</v>
      </c>
      <c r="T1247">
        <v>348.91455020000001</v>
      </c>
      <c r="U1247">
        <f t="shared" si="38"/>
        <v>1</v>
      </c>
      <c r="V1247">
        <f t="shared" si="39"/>
        <v>1</v>
      </c>
    </row>
    <row r="1248" spans="1:22" x14ac:dyDescent="0.2">
      <c r="A1248" t="s">
        <v>2021</v>
      </c>
      <c r="B1248" t="s">
        <v>28</v>
      </c>
      <c r="C1248" t="s">
        <v>76</v>
      </c>
      <c r="D1248" t="s">
        <v>77</v>
      </c>
      <c r="E1248" s="1" t="s">
        <v>93</v>
      </c>
      <c r="F1248" t="s">
        <v>94</v>
      </c>
      <c r="G1248">
        <v>46</v>
      </c>
      <c r="H1248">
        <v>1000569</v>
      </c>
      <c r="I1248">
        <v>105255</v>
      </c>
      <c r="J1248">
        <v>2</v>
      </c>
      <c r="K1248">
        <v>19</v>
      </c>
      <c r="L1248">
        <v>-895314</v>
      </c>
      <c r="M1248" s="1" t="s">
        <v>2207</v>
      </c>
      <c r="N1248">
        <v>9.5182416008334006E-2</v>
      </c>
      <c r="O1248" s="1" t="s">
        <v>2208</v>
      </c>
      <c r="P1248">
        <v>1</v>
      </c>
      <c r="Q1248">
        <v>0</v>
      </c>
      <c r="R1248">
        <v>1</v>
      </c>
      <c r="S1248">
        <v>0</v>
      </c>
      <c r="T1248">
        <v>348.91455020000001</v>
      </c>
      <c r="U1248">
        <f t="shared" si="38"/>
        <v>1</v>
      </c>
      <c r="V1248">
        <f t="shared" si="39"/>
        <v>1</v>
      </c>
    </row>
    <row r="1249" spans="1:22" x14ac:dyDescent="0.2">
      <c r="A1249" t="s">
        <v>2021</v>
      </c>
      <c r="B1249" t="s">
        <v>28</v>
      </c>
      <c r="C1249" t="s">
        <v>76</v>
      </c>
      <c r="D1249" t="s">
        <v>77</v>
      </c>
      <c r="E1249">
        <v>11</v>
      </c>
      <c r="F1249" t="s">
        <v>127</v>
      </c>
      <c r="G1249">
        <v>50</v>
      </c>
      <c r="H1249">
        <v>125124</v>
      </c>
      <c r="I1249">
        <v>191883</v>
      </c>
      <c r="J1249">
        <v>4</v>
      </c>
      <c r="K1249">
        <v>14</v>
      </c>
      <c r="L1249">
        <v>66759</v>
      </c>
      <c r="M1249" s="1" t="s">
        <v>2209</v>
      </c>
      <c r="N1249" s="1" t="s">
        <v>2210</v>
      </c>
      <c r="O1249" s="1" t="s">
        <v>2211</v>
      </c>
      <c r="P1249">
        <v>1</v>
      </c>
      <c r="Q1249">
        <v>0</v>
      </c>
      <c r="R1249">
        <v>1</v>
      </c>
      <c r="S1249">
        <v>0</v>
      </c>
      <c r="T1249">
        <v>348.91455020000001</v>
      </c>
      <c r="U1249">
        <f t="shared" si="38"/>
        <v>1</v>
      </c>
      <c r="V1249">
        <f t="shared" si="39"/>
        <v>1</v>
      </c>
    </row>
    <row r="1250" spans="1:22" x14ac:dyDescent="0.2">
      <c r="A1250" t="s">
        <v>2212</v>
      </c>
      <c r="B1250" t="s">
        <v>29</v>
      </c>
      <c r="C1250" t="s">
        <v>76</v>
      </c>
      <c r="D1250" t="s">
        <v>77</v>
      </c>
      <c r="E1250" s="1" t="s">
        <v>82</v>
      </c>
      <c r="F1250" t="s">
        <v>83</v>
      </c>
      <c r="G1250">
        <v>10</v>
      </c>
      <c r="H1250">
        <v>679510806</v>
      </c>
      <c r="I1250">
        <v>0</v>
      </c>
      <c r="J1250">
        <v>11</v>
      </c>
      <c r="K1250">
        <v>65</v>
      </c>
      <c r="L1250">
        <v>-679510806</v>
      </c>
      <c r="M1250">
        <v>1</v>
      </c>
      <c r="N1250">
        <v>0</v>
      </c>
      <c r="O1250" s="1" t="s">
        <v>2213</v>
      </c>
      <c r="P1250">
        <v>0</v>
      </c>
      <c r="Q1250">
        <v>0</v>
      </c>
      <c r="R1250">
        <v>0</v>
      </c>
      <c r="S1250">
        <v>0</v>
      </c>
      <c r="T1250">
        <v>25.232029140000002</v>
      </c>
      <c r="U1250">
        <f t="shared" si="38"/>
        <v>0</v>
      </c>
      <c r="V1250">
        <f t="shared" si="39"/>
        <v>0</v>
      </c>
    </row>
    <row r="1251" spans="1:22" x14ac:dyDescent="0.2">
      <c r="A1251" t="s">
        <v>2212</v>
      </c>
      <c r="B1251" t="s">
        <v>29</v>
      </c>
      <c r="C1251" t="s">
        <v>76</v>
      </c>
      <c r="D1251" t="s">
        <v>77</v>
      </c>
      <c r="E1251">
        <v>15</v>
      </c>
      <c r="F1251" t="s">
        <v>88</v>
      </c>
      <c r="G1251">
        <v>72</v>
      </c>
      <c r="H1251">
        <v>444972096</v>
      </c>
      <c r="I1251">
        <v>0</v>
      </c>
      <c r="J1251">
        <v>33</v>
      </c>
      <c r="K1251">
        <v>74</v>
      </c>
      <c r="L1251">
        <v>-444972096</v>
      </c>
      <c r="M1251">
        <v>1</v>
      </c>
      <c r="N1251">
        <v>0</v>
      </c>
      <c r="O1251" s="1" t="s">
        <v>2214</v>
      </c>
      <c r="P1251">
        <v>0</v>
      </c>
      <c r="Q1251">
        <v>0</v>
      </c>
      <c r="R1251">
        <v>0</v>
      </c>
      <c r="S1251">
        <v>0</v>
      </c>
      <c r="T1251">
        <v>25.232029140000002</v>
      </c>
      <c r="U1251">
        <f t="shared" si="38"/>
        <v>0</v>
      </c>
      <c r="V1251">
        <f t="shared" si="39"/>
        <v>0</v>
      </c>
    </row>
    <row r="1252" spans="1:22" x14ac:dyDescent="0.2">
      <c r="A1252" t="s">
        <v>2212</v>
      </c>
      <c r="B1252" t="s">
        <v>29</v>
      </c>
      <c r="C1252" t="s">
        <v>76</v>
      </c>
      <c r="D1252" t="s">
        <v>77</v>
      </c>
      <c r="E1252" s="1" t="s">
        <v>89</v>
      </c>
      <c r="F1252" t="s">
        <v>90</v>
      </c>
      <c r="G1252">
        <v>31</v>
      </c>
      <c r="H1252">
        <v>243845138</v>
      </c>
      <c r="I1252">
        <v>0</v>
      </c>
      <c r="J1252">
        <v>38</v>
      </c>
      <c r="K1252">
        <v>51</v>
      </c>
      <c r="L1252">
        <v>-243845138</v>
      </c>
      <c r="M1252">
        <v>1</v>
      </c>
      <c r="N1252">
        <v>0</v>
      </c>
      <c r="O1252" s="1" t="s">
        <v>2215</v>
      </c>
      <c r="P1252">
        <v>0</v>
      </c>
      <c r="Q1252">
        <v>0</v>
      </c>
      <c r="R1252">
        <v>0</v>
      </c>
      <c r="S1252">
        <v>0</v>
      </c>
      <c r="T1252">
        <v>25.232029140000002</v>
      </c>
      <c r="U1252">
        <f t="shared" si="38"/>
        <v>0</v>
      </c>
      <c r="V1252">
        <f t="shared" si="39"/>
        <v>0</v>
      </c>
    </row>
    <row r="1253" spans="1:22" x14ac:dyDescent="0.2">
      <c r="A1253" t="s">
        <v>2212</v>
      </c>
      <c r="B1253" t="s">
        <v>29</v>
      </c>
      <c r="C1253" t="s">
        <v>76</v>
      </c>
      <c r="D1253" t="s">
        <v>77</v>
      </c>
      <c r="E1253">
        <v>10</v>
      </c>
      <c r="F1253" t="s">
        <v>119</v>
      </c>
      <c r="G1253">
        <v>48</v>
      </c>
      <c r="H1253">
        <v>73919896</v>
      </c>
      <c r="I1253">
        <v>345494</v>
      </c>
      <c r="J1253">
        <v>30</v>
      </c>
      <c r="K1253">
        <v>59</v>
      </c>
      <c r="L1253">
        <v>-73574402</v>
      </c>
      <c r="M1253" s="1" t="s">
        <v>2216</v>
      </c>
      <c r="N1253">
        <v>4.6521535805575101E-3</v>
      </c>
      <c r="O1253">
        <v>3.8282198596899901E-2</v>
      </c>
      <c r="P1253">
        <v>0</v>
      </c>
      <c r="Q1253">
        <v>0</v>
      </c>
      <c r="R1253">
        <v>0</v>
      </c>
      <c r="S1253">
        <v>0</v>
      </c>
      <c r="T1253">
        <v>25.232029140000002</v>
      </c>
      <c r="U1253">
        <f t="shared" si="38"/>
        <v>0</v>
      </c>
      <c r="V1253">
        <f t="shared" si="39"/>
        <v>0</v>
      </c>
    </row>
    <row r="1254" spans="1:22" x14ac:dyDescent="0.2">
      <c r="A1254" t="s">
        <v>2212</v>
      </c>
      <c r="B1254" t="s">
        <v>29</v>
      </c>
      <c r="C1254" t="s">
        <v>76</v>
      </c>
      <c r="D1254" t="s">
        <v>77</v>
      </c>
      <c r="E1254" s="1" t="s">
        <v>85</v>
      </c>
      <c r="F1254" t="s">
        <v>86</v>
      </c>
      <c r="G1254">
        <v>27</v>
      </c>
      <c r="H1254">
        <v>7468124</v>
      </c>
      <c r="I1254">
        <v>271455</v>
      </c>
      <c r="J1254">
        <v>102</v>
      </c>
      <c r="K1254">
        <v>65</v>
      </c>
      <c r="L1254">
        <v>-7196669</v>
      </c>
      <c r="M1254" s="1" t="s">
        <v>2217</v>
      </c>
      <c r="N1254">
        <v>3.5073613177150798E-2</v>
      </c>
      <c r="O1254">
        <v>3.9895851935120297E-3</v>
      </c>
      <c r="P1254">
        <v>0</v>
      </c>
      <c r="Q1254">
        <v>0</v>
      </c>
      <c r="R1254">
        <v>0</v>
      </c>
      <c r="S1254">
        <v>0</v>
      </c>
      <c r="T1254">
        <v>25.232029140000002</v>
      </c>
      <c r="U1254">
        <f t="shared" si="38"/>
        <v>0</v>
      </c>
      <c r="V1254">
        <f t="shared" si="39"/>
        <v>0</v>
      </c>
    </row>
    <row r="1255" spans="1:22" x14ac:dyDescent="0.2">
      <c r="A1255" t="s">
        <v>2212</v>
      </c>
      <c r="B1255" t="s">
        <v>29</v>
      </c>
      <c r="C1255" t="s">
        <v>76</v>
      </c>
      <c r="D1255" t="s">
        <v>77</v>
      </c>
      <c r="E1255">
        <v>15</v>
      </c>
      <c r="F1255" t="s">
        <v>88</v>
      </c>
      <c r="G1255">
        <v>74</v>
      </c>
      <c r="H1255">
        <v>51586021</v>
      </c>
      <c r="I1255">
        <v>0</v>
      </c>
      <c r="J1255">
        <v>30</v>
      </c>
      <c r="K1255">
        <v>84</v>
      </c>
      <c r="L1255">
        <v>-51586021</v>
      </c>
      <c r="M1255">
        <v>1</v>
      </c>
      <c r="N1255">
        <v>0</v>
      </c>
      <c r="O1255" s="1" t="s">
        <v>2218</v>
      </c>
      <c r="P1255">
        <v>0</v>
      </c>
      <c r="Q1255">
        <v>0</v>
      </c>
      <c r="R1255">
        <v>0</v>
      </c>
      <c r="S1255">
        <v>0</v>
      </c>
      <c r="T1255">
        <v>25.232029140000002</v>
      </c>
      <c r="U1255">
        <f t="shared" si="38"/>
        <v>0</v>
      </c>
      <c r="V1255">
        <f t="shared" si="39"/>
        <v>0</v>
      </c>
    </row>
    <row r="1256" spans="1:22" x14ac:dyDescent="0.2">
      <c r="A1256" t="s">
        <v>2212</v>
      </c>
      <c r="B1256" t="s">
        <v>29</v>
      </c>
      <c r="C1256" t="s">
        <v>76</v>
      </c>
      <c r="D1256" t="s">
        <v>77</v>
      </c>
      <c r="E1256">
        <v>15</v>
      </c>
      <c r="F1256" t="s">
        <v>88</v>
      </c>
      <c r="G1256">
        <v>76</v>
      </c>
      <c r="H1256">
        <v>23199558</v>
      </c>
      <c r="I1256">
        <v>0</v>
      </c>
      <c r="J1256">
        <v>52</v>
      </c>
      <c r="K1256">
        <v>92</v>
      </c>
      <c r="L1256">
        <v>-23199558</v>
      </c>
      <c r="M1256">
        <v>1</v>
      </c>
      <c r="N1256">
        <v>0</v>
      </c>
      <c r="O1256">
        <v>1.1958869221804299E-2</v>
      </c>
      <c r="P1256">
        <v>0</v>
      </c>
      <c r="Q1256">
        <v>0</v>
      </c>
      <c r="R1256">
        <v>0</v>
      </c>
      <c r="S1256">
        <v>0</v>
      </c>
      <c r="T1256">
        <v>25.232029140000002</v>
      </c>
      <c r="U1256">
        <f t="shared" si="38"/>
        <v>0</v>
      </c>
      <c r="V1256">
        <f t="shared" si="39"/>
        <v>0</v>
      </c>
    </row>
    <row r="1257" spans="1:22" x14ac:dyDescent="0.2">
      <c r="A1257" t="s">
        <v>2212</v>
      </c>
      <c r="B1257" t="s">
        <v>29</v>
      </c>
      <c r="C1257" t="s">
        <v>76</v>
      </c>
      <c r="D1257" t="s">
        <v>77</v>
      </c>
      <c r="E1257" s="1" t="s">
        <v>93</v>
      </c>
      <c r="F1257" t="s">
        <v>94</v>
      </c>
      <c r="G1257">
        <v>44</v>
      </c>
      <c r="H1257">
        <v>12096216</v>
      </c>
      <c r="I1257">
        <v>3089</v>
      </c>
      <c r="J1257">
        <v>68</v>
      </c>
      <c r="K1257">
        <v>87</v>
      </c>
      <c r="L1257">
        <v>-12093127</v>
      </c>
      <c r="M1257" s="1" t="s">
        <v>2219</v>
      </c>
      <c r="N1257" s="1" t="s">
        <v>2220</v>
      </c>
      <c r="O1257">
        <v>6.2369294350230198E-3</v>
      </c>
      <c r="P1257">
        <v>0</v>
      </c>
      <c r="Q1257">
        <v>0</v>
      </c>
      <c r="R1257">
        <v>0</v>
      </c>
      <c r="S1257">
        <v>0</v>
      </c>
      <c r="T1257">
        <v>25.232029140000002</v>
      </c>
      <c r="U1257">
        <f t="shared" si="38"/>
        <v>0</v>
      </c>
      <c r="V1257">
        <f t="shared" si="39"/>
        <v>0</v>
      </c>
    </row>
    <row r="1258" spans="1:22" x14ac:dyDescent="0.2">
      <c r="A1258" t="s">
        <v>2212</v>
      </c>
      <c r="B1258" t="s">
        <v>29</v>
      </c>
      <c r="C1258" t="s">
        <v>76</v>
      </c>
      <c r="D1258" t="s">
        <v>77</v>
      </c>
      <c r="E1258" s="1" t="s">
        <v>82</v>
      </c>
      <c r="F1258" t="s">
        <v>83</v>
      </c>
      <c r="G1258" s="1" t="s">
        <v>99</v>
      </c>
      <c r="H1258">
        <v>4866875</v>
      </c>
      <c r="I1258">
        <v>831594</v>
      </c>
      <c r="J1258">
        <v>43</v>
      </c>
      <c r="K1258">
        <v>44</v>
      </c>
      <c r="L1258">
        <v>-4035281</v>
      </c>
      <c r="M1258" s="1" t="s">
        <v>2221</v>
      </c>
      <c r="N1258" s="1" t="s">
        <v>2222</v>
      </c>
      <c r="O1258">
        <v>2.93743723632607E-3</v>
      </c>
      <c r="P1258">
        <v>0</v>
      </c>
      <c r="Q1258">
        <v>0</v>
      </c>
      <c r="R1258">
        <v>0</v>
      </c>
      <c r="S1258">
        <v>0</v>
      </c>
      <c r="T1258">
        <v>25.232029140000002</v>
      </c>
      <c r="U1258">
        <f t="shared" si="38"/>
        <v>0</v>
      </c>
      <c r="V1258">
        <f t="shared" si="39"/>
        <v>0</v>
      </c>
    </row>
    <row r="1259" spans="1:22" x14ac:dyDescent="0.2">
      <c r="A1259" t="s">
        <v>2212</v>
      </c>
      <c r="B1259" t="s">
        <v>29</v>
      </c>
      <c r="C1259" t="s">
        <v>76</v>
      </c>
      <c r="D1259" t="s">
        <v>77</v>
      </c>
      <c r="E1259" s="1" t="s">
        <v>85</v>
      </c>
      <c r="F1259" t="s">
        <v>86</v>
      </c>
      <c r="G1259">
        <v>25</v>
      </c>
      <c r="H1259">
        <v>5535324</v>
      </c>
      <c r="I1259">
        <v>0</v>
      </c>
      <c r="J1259">
        <v>45</v>
      </c>
      <c r="K1259">
        <v>95</v>
      </c>
      <c r="L1259">
        <v>-5535324</v>
      </c>
      <c r="M1259">
        <v>1</v>
      </c>
      <c r="N1259">
        <v>0</v>
      </c>
      <c r="O1259">
        <v>2.8533395255338498E-3</v>
      </c>
      <c r="P1259">
        <v>0</v>
      </c>
      <c r="Q1259">
        <v>0</v>
      </c>
      <c r="R1259">
        <v>0</v>
      </c>
      <c r="S1259">
        <v>0</v>
      </c>
      <c r="T1259">
        <v>25.232029140000002</v>
      </c>
      <c r="U1259">
        <f t="shared" si="38"/>
        <v>0</v>
      </c>
      <c r="V1259">
        <f t="shared" si="39"/>
        <v>0</v>
      </c>
    </row>
    <row r="1260" spans="1:22" x14ac:dyDescent="0.2">
      <c r="A1260" t="s">
        <v>2212</v>
      </c>
      <c r="B1260" t="s">
        <v>29</v>
      </c>
      <c r="C1260" t="s">
        <v>76</v>
      </c>
      <c r="D1260" t="s">
        <v>77</v>
      </c>
      <c r="E1260">
        <v>15</v>
      </c>
      <c r="F1260" t="s">
        <v>88</v>
      </c>
      <c r="G1260">
        <v>82</v>
      </c>
      <c r="H1260">
        <v>1149329</v>
      </c>
      <c r="I1260">
        <v>49</v>
      </c>
      <c r="J1260">
        <v>60</v>
      </c>
      <c r="K1260">
        <v>92</v>
      </c>
      <c r="L1260">
        <v>-1149280</v>
      </c>
      <c r="M1260" s="1" t="s">
        <v>2223</v>
      </c>
      <c r="N1260" s="1" t="s">
        <v>2224</v>
      </c>
      <c r="O1260">
        <v>5.9247944242812997E-4</v>
      </c>
      <c r="P1260">
        <v>0</v>
      </c>
      <c r="Q1260">
        <v>0</v>
      </c>
      <c r="R1260">
        <v>0</v>
      </c>
      <c r="S1260">
        <v>0</v>
      </c>
      <c r="T1260">
        <v>25.232029140000002</v>
      </c>
      <c r="U1260">
        <f t="shared" si="38"/>
        <v>0</v>
      </c>
      <c r="V1260">
        <f t="shared" si="39"/>
        <v>0</v>
      </c>
    </row>
    <row r="1261" spans="1:22" x14ac:dyDescent="0.2">
      <c r="A1261" t="s">
        <v>2212</v>
      </c>
      <c r="B1261" t="s">
        <v>29</v>
      </c>
      <c r="C1261" t="s">
        <v>76</v>
      </c>
      <c r="D1261" t="s">
        <v>77</v>
      </c>
      <c r="E1261">
        <v>16</v>
      </c>
      <c r="F1261" t="s">
        <v>95</v>
      </c>
      <c r="G1261">
        <v>84</v>
      </c>
      <c r="H1261">
        <v>2824705</v>
      </c>
      <c r="I1261">
        <v>3801</v>
      </c>
      <c r="J1261">
        <v>88</v>
      </c>
      <c r="K1261">
        <v>104</v>
      </c>
      <c r="L1261">
        <v>-2820904</v>
      </c>
      <c r="M1261" s="1" t="s">
        <v>2225</v>
      </c>
      <c r="N1261">
        <v>1.3438189630851E-3</v>
      </c>
      <c r="O1261">
        <v>1.4580335257718699E-3</v>
      </c>
      <c r="P1261">
        <v>0</v>
      </c>
      <c r="Q1261">
        <v>0</v>
      </c>
      <c r="R1261">
        <v>0</v>
      </c>
      <c r="S1261">
        <v>0</v>
      </c>
      <c r="T1261">
        <v>25.232029140000002</v>
      </c>
      <c r="U1261">
        <f t="shared" si="38"/>
        <v>0</v>
      </c>
      <c r="V1261">
        <f t="shared" si="39"/>
        <v>0</v>
      </c>
    </row>
    <row r="1262" spans="1:22" x14ac:dyDescent="0.2">
      <c r="A1262" t="s">
        <v>2212</v>
      </c>
      <c r="B1262" t="s">
        <v>29</v>
      </c>
      <c r="C1262" t="s">
        <v>76</v>
      </c>
      <c r="D1262" t="s">
        <v>77</v>
      </c>
      <c r="E1262" s="1" t="s">
        <v>89</v>
      </c>
      <c r="F1262" t="s">
        <v>90</v>
      </c>
      <c r="G1262">
        <v>28</v>
      </c>
      <c r="H1262">
        <v>4711793</v>
      </c>
      <c r="I1262">
        <v>0</v>
      </c>
      <c r="J1262">
        <v>90</v>
      </c>
      <c r="K1262">
        <v>85</v>
      </c>
      <c r="L1262">
        <v>-4711793</v>
      </c>
      <c r="M1262">
        <v>1</v>
      </c>
      <c r="N1262">
        <v>0</v>
      </c>
      <c r="O1262">
        <v>2.4288271477936499E-3</v>
      </c>
      <c r="P1262">
        <v>0</v>
      </c>
      <c r="Q1262">
        <v>0</v>
      </c>
      <c r="R1262">
        <v>0</v>
      </c>
      <c r="S1262">
        <v>0</v>
      </c>
      <c r="T1262">
        <v>25.232029140000002</v>
      </c>
      <c r="U1262">
        <f t="shared" si="38"/>
        <v>0</v>
      </c>
      <c r="V1262">
        <f t="shared" si="39"/>
        <v>0</v>
      </c>
    </row>
    <row r="1263" spans="1:22" x14ac:dyDescent="0.2">
      <c r="A1263" t="s">
        <v>2212</v>
      </c>
      <c r="B1263" t="s">
        <v>29</v>
      </c>
      <c r="C1263" t="s">
        <v>76</v>
      </c>
      <c r="D1263" t="s">
        <v>77</v>
      </c>
      <c r="E1263" s="1" t="s">
        <v>82</v>
      </c>
      <c r="F1263" t="s">
        <v>83</v>
      </c>
      <c r="G1263">
        <v>13</v>
      </c>
      <c r="H1263">
        <v>205347</v>
      </c>
      <c r="I1263">
        <v>0</v>
      </c>
      <c r="J1263">
        <v>15</v>
      </c>
      <c r="K1263">
        <v>59</v>
      </c>
      <c r="L1263">
        <v>-205347</v>
      </c>
      <c r="M1263">
        <v>1</v>
      </c>
      <c r="N1263">
        <v>0</v>
      </c>
      <c r="O1263" s="1" t="s">
        <v>2226</v>
      </c>
      <c r="P1263">
        <v>0</v>
      </c>
      <c r="Q1263">
        <v>0</v>
      </c>
      <c r="R1263">
        <v>0</v>
      </c>
      <c r="S1263">
        <v>0</v>
      </c>
      <c r="T1263">
        <v>25.232029140000002</v>
      </c>
      <c r="U1263">
        <f t="shared" si="38"/>
        <v>0</v>
      </c>
      <c r="V1263">
        <f t="shared" si="39"/>
        <v>0</v>
      </c>
    </row>
    <row r="1264" spans="1:22" x14ac:dyDescent="0.2">
      <c r="A1264" t="s">
        <v>2212</v>
      </c>
      <c r="B1264" t="s">
        <v>29</v>
      </c>
      <c r="C1264" t="s">
        <v>76</v>
      </c>
      <c r="D1264" t="s">
        <v>77</v>
      </c>
      <c r="E1264" s="1" t="s">
        <v>99</v>
      </c>
      <c r="F1264" t="s">
        <v>100</v>
      </c>
      <c r="G1264">
        <v>40</v>
      </c>
      <c r="H1264">
        <v>2481195</v>
      </c>
      <c r="I1264">
        <v>0</v>
      </c>
      <c r="J1264">
        <v>71</v>
      </c>
      <c r="K1264">
        <v>97</v>
      </c>
      <c r="L1264">
        <v>-2481195</v>
      </c>
      <c r="M1264">
        <v>1</v>
      </c>
      <c r="N1264">
        <v>0</v>
      </c>
      <c r="O1264">
        <v>1.27900223438717E-3</v>
      </c>
      <c r="P1264">
        <v>0</v>
      </c>
      <c r="Q1264">
        <v>0</v>
      </c>
      <c r="R1264">
        <v>0</v>
      </c>
      <c r="S1264">
        <v>0</v>
      </c>
      <c r="T1264">
        <v>25.232029140000002</v>
      </c>
      <c r="U1264">
        <f t="shared" si="38"/>
        <v>0</v>
      </c>
      <c r="V1264">
        <f t="shared" si="39"/>
        <v>0</v>
      </c>
    </row>
    <row r="1265" spans="1:22" x14ac:dyDescent="0.2">
      <c r="A1265" t="s">
        <v>2212</v>
      </c>
      <c r="B1265" t="s">
        <v>29</v>
      </c>
      <c r="C1265" t="s">
        <v>76</v>
      </c>
      <c r="D1265" t="s">
        <v>77</v>
      </c>
      <c r="E1265" s="1" t="s">
        <v>89</v>
      </c>
      <c r="F1265" t="s">
        <v>90</v>
      </c>
      <c r="G1265">
        <v>29</v>
      </c>
      <c r="H1265">
        <v>2075148</v>
      </c>
      <c r="I1265">
        <v>0</v>
      </c>
      <c r="J1265">
        <v>80</v>
      </c>
      <c r="K1265">
        <v>81</v>
      </c>
      <c r="L1265">
        <v>-2075148</v>
      </c>
      <c r="M1265">
        <v>1</v>
      </c>
      <c r="N1265">
        <v>0</v>
      </c>
      <c r="O1265">
        <v>1.0696938082996601E-3</v>
      </c>
      <c r="P1265">
        <v>0</v>
      </c>
      <c r="Q1265">
        <v>0</v>
      </c>
      <c r="R1265">
        <v>0</v>
      </c>
      <c r="S1265">
        <v>0</v>
      </c>
      <c r="T1265">
        <v>25.232029140000002</v>
      </c>
      <c r="U1265">
        <f t="shared" si="38"/>
        <v>0</v>
      </c>
      <c r="V1265">
        <f t="shared" si="39"/>
        <v>0</v>
      </c>
    </row>
    <row r="1266" spans="1:22" x14ac:dyDescent="0.2">
      <c r="A1266" t="s">
        <v>2212</v>
      </c>
      <c r="B1266" t="s">
        <v>29</v>
      </c>
      <c r="C1266" t="s">
        <v>76</v>
      </c>
      <c r="D1266" t="s">
        <v>77</v>
      </c>
      <c r="E1266">
        <v>17</v>
      </c>
      <c r="F1266" t="s">
        <v>97</v>
      </c>
      <c r="G1266">
        <v>88</v>
      </c>
      <c r="H1266">
        <v>1419886</v>
      </c>
      <c r="I1266">
        <v>16840</v>
      </c>
      <c r="J1266">
        <v>63</v>
      </c>
      <c r="K1266">
        <v>73</v>
      </c>
      <c r="L1266">
        <v>-1403046</v>
      </c>
      <c r="M1266" s="1" t="s">
        <v>2227</v>
      </c>
      <c r="N1266" s="1" t="s">
        <v>2228</v>
      </c>
      <c r="O1266" s="1" t="s">
        <v>2229</v>
      </c>
      <c r="P1266">
        <v>0</v>
      </c>
      <c r="Q1266">
        <v>0</v>
      </c>
      <c r="R1266">
        <v>0</v>
      </c>
      <c r="S1266">
        <v>0</v>
      </c>
      <c r="T1266">
        <v>25.232029140000002</v>
      </c>
      <c r="U1266">
        <f t="shared" si="38"/>
        <v>0</v>
      </c>
      <c r="V1266">
        <f t="shared" si="39"/>
        <v>0</v>
      </c>
    </row>
    <row r="1267" spans="1:22" x14ac:dyDescent="0.2">
      <c r="A1267" t="s">
        <v>2212</v>
      </c>
      <c r="B1267" t="s">
        <v>29</v>
      </c>
      <c r="C1267" t="s">
        <v>76</v>
      </c>
      <c r="D1267" t="s">
        <v>77</v>
      </c>
      <c r="E1267" s="1" t="s">
        <v>89</v>
      </c>
      <c r="F1267" t="s">
        <v>90</v>
      </c>
      <c r="G1267">
        <v>34</v>
      </c>
      <c r="H1267">
        <v>552160</v>
      </c>
      <c r="I1267">
        <v>0</v>
      </c>
      <c r="J1267">
        <v>56</v>
      </c>
      <c r="K1267">
        <v>87</v>
      </c>
      <c r="L1267">
        <v>-552160</v>
      </c>
      <c r="M1267">
        <v>1</v>
      </c>
      <c r="N1267">
        <v>0</v>
      </c>
      <c r="O1267" s="1" t="s">
        <v>2230</v>
      </c>
      <c r="P1267">
        <v>0</v>
      </c>
      <c r="Q1267">
        <v>0</v>
      </c>
      <c r="R1267">
        <v>0</v>
      </c>
      <c r="S1267">
        <v>0</v>
      </c>
      <c r="T1267">
        <v>25.232029140000002</v>
      </c>
      <c r="U1267">
        <f t="shared" si="38"/>
        <v>0</v>
      </c>
      <c r="V1267">
        <f t="shared" si="39"/>
        <v>0</v>
      </c>
    </row>
    <row r="1268" spans="1:22" x14ac:dyDescent="0.2">
      <c r="A1268" t="s">
        <v>2212</v>
      </c>
      <c r="B1268" t="s">
        <v>29</v>
      </c>
      <c r="C1268" t="s">
        <v>76</v>
      </c>
      <c r="D1268" t="s">
        <v>77</v>
      </c>
      <c r="E1268">
        <v>16</v>
      </c>
      <c r="F1268" t="s">
        <v>95</v>
      </c>
      <c r="G1268">
        <v>85</v>
      </c>
      <c r="H1268">
        <v>866554</v>
      </c>
      <c r="I1268">
        <v>8478</v>
      </c>
      <c r="J1268">
        <v>102</v>
      </c>
      <c r="K1268">
        <v>99</v>
      </c>
      <c r="L1268">
        <v>-858076</v>
      </c>
      <c r="M1268" s="1" t="s">
        <v>2231</v>
      </c>
      <c r="N1268">
        <v>9.6887885243053893E-3</v>
      </c>
      <c r="O1268" s="1" t="s">
        <v>2232</v>
      </c>
      <c r="P1268">
        <v>0</v>
      </c>
      <c r="Q1268">
        <v>0</v>
      </c>
      <c r="R1268">
        <v>0</v>
      </c>
      <c r="S1268">
        <v>0</v>
      </c>
      <c r="T1268">
        <v>25.232029140000002</v>
      </c>
      <c r="U1268">
        <f t="shared" si="38"/>
        <v>0</v>
      </c>
      <c r="V1268">
        <f t="shared" si="39"/>
        <v>0</v>
      </c>
    </row>
    <row r="1269" spans="1:22" x14ac:dyDescent="0.2">
      <c r="A1269" t="s">
        <v>2212</v>
      </c>
      <c r="B1269" t="s">
        <v>29</v>
      </c>
      <c r="C1269" t="s">
        <v>76</v>
      </c>
      <c r="D1269" t="s">
        <v>77</v>
      </c>
      <c r="E1269">
        <v>18</v>
      </c>
      <c r="F1269" t="s">
        <v>147</v>
      </c>
      <c r="G1269">
        <v>90</v>
      </c>
      <c r="H1269">
        <v>311201</v>
      </c>
      <c r="I1269">
        <v>179582</v>
      </c>
      <c r="J1269">
        <v>98</v>
      </c>
      <c r="K1269">
        <v>82</v>
      </c>
      <c r="L1269">
        <v>-131619</v>
      </c>
      <c r="M1269">
        <v>0.63409083036698499</v>
      </c>
      <c r="N1269">
        <v>0.36590916963301501</v>
      </c>
      <c r="O1269" s="1" t="s">
        <v>2233</v>
      </c>
      <c r="P1269">
        <v>0</v>
      </c>
      <c r="Q1269">
        <v>0</v>
      </c>
      <c r="R1269">
        <v>0</v>
      </c>
      <c r="S1269">
        <v>0</v>
      </c>
      <c r="T1269">
        <v>25.232029140000002</v>
      </c>
      <c r="U1269">
        <f t="shared" si="38"/>
        <v>0</v>
      </c>
      <c r="V1269">
        <f t="shared" si="39"/>
        <v>0</v>
      </c>
    </row>
    <row r="1270" spans="1:22" x14ac:dyDescent="0.2">
      <c r="A1270" t="s">
        <v>2212</v>
      </c>
      <c r="B1270" t="s">
        <v>29</v>
      </c>
      <c r="C1270" t="s">
        <v>76</v>
      </c>
      <c r="D1270" t="s">
        <v>77</v>
      </c>
      <c r="E1270">
        <v>15</v>
      </c>
      <c r="F1270" t="s">
        <v>88</v>
      </c>
      <c r="G1270">
        <v>83</v>
      </c>
      <c r="H1270">
        <v>34190</v>
      </c>
      <c r="I1270">
        <v>0</v>
      </c>
      <c r="J1270">
        <v>79</v>
      </c>
      <c r="K1270">
        <v>85</v>
      </c>
      <c r="L1270">
        <v>-34190</v>
      </c>
      <c r="M1270">
        <v>1</v>
      </c>
      <c r="N1270">
        <v>0</v>
      </c>
      <c r="O1270" s="1" t="s">
        <v>2234</v>
      </c>
      <c r="P1270">
        <v>0</v>
      </c>
      <c r="Q1270">
        <v>0</v>
      </c>
      <c r="R1270">
        <v>0</v>
      </c>
      <c r="S1270">
        <v>0</v>
      </c>
      <c r="T1270">
        <v>25.232029140000002</v>
      </c>
      <c r="U1270">
        <f t="shared" si="38"/>
        <v>0</v>
      </c>
      <c r="V1270">
        <f t="shared" si="39"/>
        <v>0</v>
      </c>
    </row>
    <row r="1271" spans="1:22" x14ac:dyDescent="0.2">
      <c r="A1271" t="s">
        <v>2212</v>
      </c>
      <c r="B1271" t="s">
        <v>29</v>
      </c>
      <c r="C1271" t="s">
        <v>76</v>
      </c>
      <c r="D1271" t="s">
        <v>77</v>
      </c>
      <c r="E1271" s="1" t="s">
        <v>89</v>
      </c>
      <c r="F1271" t="s">
        <v>90</v>
      </c>
      <c r="G1271">
        <v>38</v>
      </c>
      <c r="H1271">
        <v>202747</v>
      </c>
      <c r="I1271">
        <v>0</v>
      </c>
      <c r="J1271">
        <v>91</v>
      </c>
      <c r="K1271">
        <v>87</v>
      </c>
      <c r="L1271">
        <v>-202747</v>
      </c>
      <c r="M1271">
        <v>1</v>
      </c>
      <c r="N1271">
        <v>0</v>
      </c>
      <c r="O1271" s="1" t="s">
        <v>2235</v>
      </c>
      <c r="P1271">
        <v>0</v>
      </c>
      <c r="Q1271">
        <v>0</v>
      </c>
      <c r="R1271">
        <v>0</v>
      </c>
      <c r="S1271">
        <v>0</v>
      </c>
      <c r="T1271">
        <v>25.232029140000002</v>
      </c>
      <c r="U1271">
        <f t="shared" si="38"/>
        <v>0</v>
      </c>
      <c r="V1271">
        <f t="shared" si="39"/>
        <v>0</v>
      </c>
    </row>
    <row r="1272" spans="1:22" x14ac:dyDescent="0.2">
      <c r="A1272" t="s">
        <v>2212</v>
      </c>
      <c r="B1272" t="s">
        <v>29</v>
      </c>
      <c r="C1272" t="s">
        <v>76</v>
      </c>
      <c r="D1272" t="s">
        <v>77</v>
      </c>
      <c r="E1272">
        <v>13</v>
      </c>
      <c r="F1272" t="s">
        <v>91</v>
      </c>
      <c r="G1272">
        <v>68</v>
      </c>
      <c r="H1272">
        <v>128093</v>
      </c>
      <c r="I1272">
        <v>532</v>
      </c>
      <c r="J1272">
        <v>82</v>
      </c>
      <c r="K1272">
        <v>80</v>
      </c>
      <c r="L1272">
        <v>-127561</v>
      </c>
      <c r="M1272" s="1" t="s">
        <v>2236</v>
      </c>
      <c r="N1272">
        <v>4.1360544217686999E-3</v>
      </c>
      <c r="O1272" s="1" t="s">
        <v>2237</v>
      </c>
      <c r="P1272">
        <v>0</v>
      </c>
      <c r="Q1272">
        <v>0</v>
      </c>
      <c r="R1272">
        <v>0</v>
      </c>
      <c r="S1272">
        <v>0</v>
      </c>
      <c r="T1272">
        <v>25.232029140000002</v>
      </c>
      <c r="U1272">
        <f t="shared" si="38"/>
        <v>0</v>
      </c>
      <c r="V1272">
        <f t="shared" si="39"/>
        <v>0</v>
      </c>
    </row>
    <row r="1273" spans="1:22" x14ac:dyDescent="0.2">
      <c r="A1273" t="s">
        <v>2212</v>
      </c>
      <c r="B1273" t="s">
        <v>29</v>
      </c>
      <c r="C1273" t="s">
        <v>76</v>
      </c>
      <c r="D1273" t="s">
        <v>77</v>
      </c>
      <c r="E1273" s="1" t="s">
        <v>138</v>
      </c>
      <c r="F1273" t="s">
        <v>139</v>
      </c>
      <c r="G1273">
        <v>22</v>
      </c>
      <c r="H1273">
        <v>3035383</v>
      </c>
      <c r="I1273">
        <v>0</v>
      </c>
      <c r="J1273">
        <v>50</v>
      </c>
      <c r="K1273">
        <v>98</v>
      </c>
      <c r="L1273">
        <v>-3035383</v>
      </c>
      <c r="M1273">
        <v>1</v>
      </c>
      <c r="N1273">
        <v>0</v>
      </c>
      <c r="O1273">
        <v>1.5646741345282599E-3</v>
      </c>
      <c r="P1273">
        <v>0</v>
      </c>
      <c r="Q1273">
        <v>0</v>
      </c>
      <c r="R1273">
        <v>0</v>
      </c>
      <c r="S1273">
        <v>0</v>
      </c>
      <c r="T1273">
        <v>25.232029140000002</v>
      </c>
      <c r="U1273">
        <f t="shared" si="38"/>
        <v>0</v>
      </c>
      <c r="V1273">
        <f t="shared" si="39"/>
        <v>0</v>
      </c>
    </row>
    <row r="1274" spans="1:22" x14ac:dyDescent="0.2">
      <c r="A1274" t="s">
        <v>2212</v>
      </c>
      <c r="B1274" t="s">
        <v>29</v>
      </c>
      <c r="C1274" t="s">
        <v>76</v>
      </c>
      <c r="D1274" t="s">
        <v>77</v>
      </c>
      <c r="E1274" s="1" t="s">
        <v>138</v>
      </c>
      <c r="F1274" t="s">
        <v>139</v>
      </c>
      <c r="G1274">
        <v>19</v>
      </c>
      <c r="H1274">
        <v>47285</v>
      </c>
      <c r="I1274">
        <v>0</v>
      </c>
      <c r="J1274">
        <v>67</v>
      </c>
      <c r="K1274">
        <v>86</v>
      </c>
      <c r="L1274">
        <v>-47285</v>
      </c>
      <c r="M1274">
        <v>1</v>
      </c>
      <c r="N1274">
        <v>0</v>
      </c>
      <c r="O1274" s="1" t="s">
        <v>2238</v>
      </c>
      <c r="P1274">
        <v>0</v>
      </c>
      <c r="Q1274">
        <v>0</v>
      </c>
      <c r="R1274">
        <v>0</v>
      </c>
      <c r="S1274">
        <v>0</v>
      </c>
      <c r="T1274">
        <v>25.232029140000002</v>
      </c>
      <c r="U1274">
        <f t="shared" si="38"/>
        <v>0</v>
      </c>
      <c r="V1274">
        <f t="shared" si="39"/>
        <v>0</v>
      </c>
    </row>
    <row r="1275" spans="1:22" x14ac:dyDescent="0.2">
      <c r="A1275" t="s">
        <v>2212</v>
      </c>
      <c r="B1275" t="s">
        <v>29</v>
      </c>
      <c r="C1275" t="s">
        <v>76</v>
      </c>
      <c r="D1275" t="s">
        <v>77</v>
      </c>
      <c r="E1275">
        <v>11</v>
      </c>
      <c r="F1275" t="s">
        <v>127</v>
      </c>
      <c r="G1275">
        <v>63</v>
      </c>
      <c r="H1275">
        <v>38167</v>
      </c>
      <c r="I1275">
        <v>5363</v>
      </c>
      <c r="J1275">
        <v>82</v>
      </c>
      <c r="K1275">
        <v>86</v>
      </c>
      <c r="L1275">
        <v>-32804</v>
      </c>
      <c r="M1275" s="1" t="s">
        <v>2239</v>
      </c>
      <c r="N1275" s="1" t="s">
        <v>2240</v>
      </c>
      <c r="O1275" s="1" t="s">
        <v>2241</v>
      </c>
      <c r="P1275">
        <v>0</v>
      </c>
      <c r="Q1275">
        <v>0</v>
      </c>
      <c r="R1275">
        <v>0</v>
      </c>
      <c r="S1275">
        <v>0</v>
      </c>
      <c r="T1275">
        <v>25.232029140000002</v>
      </c>
      <c r="U1275">
        <f t="shared" si="38"/>
        <v>0</v>
      </c>
      <c r="V1275">
        <f t="shared" si="39"/>
        <v>0</v>
      </c>
    </row>
    <row r="1276" spans="1:22" x14ac:dyDescent="0.2">
      <c r="A1276" t="s">
        <v>2212</v>
      </c>
      <c r="B1276" t="s">
        <v>29</v>
      </c>
      <c r="C1276" t="s">
        <v>76</v>
      </c>
      <c r="D1276" t="s">
        <v>77</v>
      </c>
      <c r="E1276" s="1" t="s">
        <v>138</v>
      </c>
      <c r="F1276" t="s">
        <v>139</v>
      </c>
      <c r="G1276">
        <v>21</v>
      </c>
      <c r="H1276">
        <v>122251</v>
      </c>
      <c r="I1276">
        <v>19164</v>
      </c>
      <c r="J1276">
        <v>86</v>
      </c>
      <c r="K1276">
        <v>88</v>
      </c>
      <c r="L1276">
        <v>-103087</v>
      </c>
      <c r="M1276" s="1" t="s">
        <v>2242</v>
      </c>
      <c r="N1276" s="1" t="s">
        <v>2243</v>
      </c>
      <c r="O1276" s="1" t="s">
        <v>2244</v>
      </c>
      <c r="P1276">
        <v>0</v>
      </c>
      <c r="Q1276">
        <v>0</v>
      </c>
      <c r="R1276">
        <v>0</v>
      </c>
      <c r="S1276">
        <v>0</v>
      </c>
      <c r="T1276">
        <v>25.232029140000002</v>
      </c>
      <c r="U1276">
        <f t="shared" si="38"/>
        <v>0</v>
      </c>
      <c r="V1276">
        <f t="shared" si="39"/>
        <v>0</v>
      </c>
    </row>
    <row r="1277" spans="1:22" x14ac:dyDescent="0.2">
      <c r="A1277" t="s">
        <v>2212</v>
      </c>
      <c r="B1277" t="s">
        <v>29</v>
      </c>
      <c r="C1277" t="s">
        <v>76</v>
      </c>
      <c r="D1277" t="s">
        <v>77</v>
      </c>
      <c r="E1277" s="1" t="s">
        <v>138</v>
      </c>
      <c r="F1277" t="s">
        <v>139</v>
      </c>
      <c r="G1277">
        <v>18</v>
      </c>
      <c r="H1277">
        <v>25716</v>
      </c>
      <c r="I1277">
        <v>88</v>
      </c>
      <c r="J1277">
        <v>77</v>
      </c>
      <c r="K1277">
        <v>81</v>
      </c>
      <c r="L1277">
        <v>-25628</v>
      </c>
      <c r="M1277" s="1" t="s">
        <v>2245</v>
      </c>
      <c r="N1277">
        <v>3.4103239807781699E-3</v>
      </c>
      <c r="O1277" s="1" t="s">
        <v>2246</v>
      </c>
      <c r="P1277">
        <v>0</v>
      </c>
      <c r="Q1277">
        <v>0</v>
      </c>
      <c r="R1277">
        <v>0</v>
      </c>
      <c r="S1277">
        <v>0</v>
      </c>
      <c r="T1277">
        <v>25.232029140000002</v>
      </c>
      <c r="U1277">
        <f t="shared" si="38"/>
        <v>0</v>
      </c>
      <c r="V1277">
        <f t="shared" si="39"/>
        <v>0</v>
      </c>
    </row>
    <row r="1278" spans="1:22" x14ac:dyDescent="0.2">
      <c r="A1278" t="s">
        <v>2212</v>
      </c>
      <c r="B1278" t="s">
        <v>29</v>
      </c>
      <c r="C1278" t="s">
        <v>76</v>
      </c>
      <c r="D1278" t="s">
        <v>77</v>
      </c>
      <c r="E1278" s="1" t="s">
        <v>89</v>
      </c>
      <c r="F1278" t="s">
        <v>90</v>
      </c>
      <c r="G1278">
        <v>30</v>
      </c>
      <c r="H1278">
        <v>43729</v>
      </c>
      <c r="I1278">
        <v>1</v>
      </c>
      <c r="J1278">
        <v>107</v>
      </c>
      <c r="K1278">
        <v>90</v>
      </c>
      <c r="L1278">
        <v>-43728</v>
      </c>
      <c r="M1278" s="1" t="s">
        <v>2247</v>
      </c>
      <c r="N1278" s="1" t="s">
        <v>2248</v>
      </c>
      <c r="O1278" s="1" t="s">
        <v>2249</v>
      </c>
      <c r="P1278">
        <v>0</v>
      </c>
      <c r="Q1278">
        <v>0</v>
      </c>
      <c r="R1278">
        <v>0</v>
      </c>
      <c r="S1278">
        <v>0</v>
      </c>
      <c r="T1278">
        <v>25.232029140000002</v>
      </c>
      <c r="U1278">
        <f t="shared" si="38"/>
        <v>0</v>
      </c>
      <c r="V1278">
        <f t="shared" si="39"/>
        <v>0</v>
      </c>
    </row>
    <row r="1279" spans="1:22" x14ac:dyDescent="0.2">
      <c r="A1279" t="s">
        <v>2212</v>
      </c>
      <c r="B1279" t="s">
        <v>29</v>
      </c>
      <c r="C1279" t="s">
        <v>76</v>
      </c>
      <c r="D1279" t="s">
        <v>77</v>
      </c>
      <c r="E1279">
        <v>20</v>
      </c>
      <c r="F1279" t="s">
        <v>104</v>
      </c>
      <c r="G1279">
        <v>94</v>
      </c>
      <c r="H1279">
        <v>96330</v>
      </c>
      <c r="I1279">
        <v>24705</v>
      </c>
      <c r="J1279">
        <v>86</v>
      </c>
      <c r="K1279">
        <v>76</v>
      </c>
      <c r="L1279">
        <v>-71625</v>
      </c>
      <c r="M1279" s="1" t="s">
        <v>2250</v>
      </c>
      <c r="N1279" s="1" t="s">
        <v>2251</v>
      </c>
      <c r="O1279" s="1" t="s">
        <v>2252</v>
      </c>
      <c r="P1279">
        <v>0</v>
      </c>
      <c r="Q1279">
        <v>0</v>
      </c>
      <c r="R1279">
        <v>0</v>
      </c>
      <c r="S1279">
        <v>0</v>
      </c>
      <c r="T1279">
        <v>25.232029140000002</v>
      </c>
      <c r="U1279">
        <f t="shared" si="38"/>
        <v>0</v>
      </c>
      <c r="V1279">
        <f t="shared" si="39"/>
        <v>0</v>
      </c>
    </row>
    <row r="1280" spans="1:22" x14ac:dyDescent="0.2">
      <c r="A1280" t="s">
        <v>2212</v>
      </c>
      <c r="B1280" t="s">
        <v>29</v>
      </c>
      <c r="C1280" t="s">
        <v>76</v>
      </c>
      <c r="D1280" t="s">
        <v>77</v>
      </c>
      <c r="E1280">
        <v>19</v>
      </c>
      <c r="F1280" t="s">
        <v>838</v>
      </c>
      <c r="G1280">
        <v>93</v>
      </c>
      <c r="H1280">
        <v>7582</v>
      </c>
      <c r="I1280">
        <v>0</v>
      </c>
      <c r="J1280">
        <v>73</v>
      </c>
      <c r="K1280">
        <v>36</v>
      </c>
      <c r="L1280">
        <v>-7582</v>
      </c>
      <c r="M1280">
        <v>1</v>
      </c>
      <c r="N1280">
        <v>0</v>
      </c>
      <c r="O1280" s="1" t="s">
        <v>2253</v>
      </c>
      <c r="P1280">
        <v>0</v>
      </c>
      <c r="Q1280">
        <v>0</v>
      </c>
      <c r="R1280">
        <v>0</v>
      </c>
      <c r="S1280">
        <v>0</v>
      </c>
      <c r="T1280">
        <v>25.232029140000002</v>
      </c>
      <c r="U1280">
        <f t="shared" si="38"/>
        <v>0</v>
      </c>
      <c r="V1280">
        <f t="shared" si="39"/>
        <v>0</v>
      </c>
    </row>
    <row r="1281" spans="1:22" x14ac:dyDescent="0.2">
      <c r="A1281" t="s">
        <v>2212</v>
      </c>
      <c r="B1281" t="s">
        <v>29</v>
      </c>
      <c r="C1281" t="s">
        <v>76</v>
      </c>
      <c r="D1281" t="s">
        <v>77</v>
      </c>
      <c r="E1281" s="1" t="s">
        <v>89</v>
      </c>
      <c r="F1281" t="s">
        <v>90</v>
      </c>
      <c r="G1281">
        <v>33</v>
      </c>
      <c r="H1281">
        <v>42710</v>
      </c>
      <c r="I1281">
        <v>0</v>
      </c>
      <c r="J1281">
        <v>102</v>
      </c>
      <c r="K1281">
        <v>95</v>
      </c>
      <c r="L1281">
        <v>-42710</v>
      </c>
      <c r="M1281">
        <v>1</v>
      </c>
      <c r="N1281">
        <v>0</v>
      </c>
      <c r="O1281" s="1" t="s">
        <v>2254</v>
      </c>
      <c r="P1281">
        <v>0</v>
      </c>
      <c r="Q1281">
        <v>0</v>
      </c>
      <c r="R1281">
        <v>0</v>
      </c>
      <c r="S1281">
        <v>0</v>
      </c>
      <c r="T1281">
        <v>25.232029140000002</v>
      </c>
      <c r="U1281">
        <f t="shared" si="38"/>
        <v>0</v>
      </c>
      <c r="V1281">
        <f t="shared" si="39"/>
        <v>0</v>
      </c>
    </row>
    <row r="1282" spans="1:22" x14ac:dyDescent="0.2">
      <c r="A1282" t="s">
        <v>2212</v>
      </c>
      <c r="B1282" t="s">
        <v>29</v>
      </c>
      <c r="C1282" t="s">
        <v>76</v>
      </c>
      <c r="D1282" t="s">
        <v>77</v>
      </c>
      <c r="E1282">
        <v>20</v>
      </c>
      <c r="F1282" t="s">
        <v>104</v>
      </c>
      <c r="G1282">
        <v>95</v>
      </c>
      <c r="H1282">
        <v>1731</v>
      </c>
      <c r="I1282">
        <v>0</v>
      </c>
      <c r="J1282">
        <v>112</v>
      </c>
      <c r="K1282">
        <v>91</v>
      </c>
      <c r="L1282">
        <v>-1731</v>
      </c>
      <c r="M1282">
        <v>1</v>
      </c>
      <c r="N1282">
        <v>0</v>
      </c>
      <c r="O1282" s="1" t="s">
        <v>2255</v>
      </c>
      <c r="P1282">
        <v>0</v>
      </c>
      <c r="Q1282">
        <v>0</v>
      </c>
      <c r="R1282">
        <v>0</v>
      </c>
      <c r="S1282">
        <v>0</v>
      </c>
      <c r="T1282">
        <v>25.232029140000002</v>
      </c>
      <c r="U1282">
        <f t="shared" si="38"/>
        <v>0</v>
      </c>
      <c r="V1282">
        <f t="shared" si="39"/>
        <v>0</v>
      </c>
    </row>
    <row r="1283" spans="1:22" x14ac:dyDescent="0.2">
      <c r="A1283" t="s">
        <v>2212</v>
      </c>
      <c r="B1283" t="s">
        <v>29</v>
      </c>
      <c r="C1283" t="s">
        <v>76</v>
      </c>
      <c r="D1283" t="s">
        <v>77</v>
      </c>
      <c r="E1283">
        <v>15</v>
      </c>
      <c r="F1283" t="s">
        <v>88</v>
      </c>
      <c r="G1283">
        <v>73</v>
      </c>
      <c r="H1283">
        <v>3796</v>
      </c>
      <c r="I1283">
        <v>339</v>
      </c>
      <c r="J1283">
        <v>134</v>
      </c>
      <c r="K1283">
        <v>96</v>
      </c>
      <c r="L1283">
        <v>-3457</v>
      </c>
      <c r="M1283" s="1" t="s">
        <v>2256</v>
      </c>
      <c r="N1283">
        <v>8.1983071342200703E-2</v>
      </c>
      <c r="O1283" s="1" t="s">
        <v>2257</v>
      </c>
      <c r="P1283">
        <v>0</v>
      </c>
      <c r="Q1283">
        <v>0</v>
      </c>
      <c r="R1283">
        <v>0</v>
      </c>
      <c r="S1283">
        <v>0</v>
      </c>
      <c r="T1283">
        <v>25.232029140000002</v>
      </c>
      <c r="U1283">
        <f t="shared" ref="U1283:U1346" si="40">IF(OR(P1283=1,Q1283=1),1,0)</f>
        <v>0</v>
      </c>
      <c r="V1283">
        <f t="shared" ref="V1283:V1346" si="41">IF(OR(R1283=1,S1283=1),1,0)</f>
        <v>0</v>
      </c>
    </row>
    <row r="1284" spans="1:22" x14ac:dyDescent="0.2">
      <c r="A1284" t="s">
        <v>2212</v>
      </c>
      <c r="B1284" t="s">
        <v>29</v>
      </c>
      <c r="C1284" t="s">
        <v>76</v>
      </c>
      <c r="D1284" t="s">
        <v>77</v>
      </c>
      <c r="E1284">
        <v>17</v>
      </c>
      <c r="F1284" t="s">
        <v>97</v>
      </c>
      <c r="G1284">
        <v>87</v>
      </c>
      <c r="H1284">
        <v>24815</v>
      </c>
      <c r="I1284">
        <v>0</v>
      </c>
      <c r="J1284">
        <v>134</v>
      </c>
      <c r="K1284">
        <v>96</v>
      </c>
      <c r="L1284">
        <v>-24815</v>
      </c>
      <c r="M1284">
        <v>1</v>
      </c>
      <c r="N1284">
        <v>0</v>
      </c>
      <c r="O1284" s="1" t="s">
        <v>2258</v>
      </c>
      <c r="P1284">
        <v>0</v>
      </c>
      <c r="Q1284">
        <v>0</v>
      </c>
      <c r="R1284">
        <v>0</v>
      </c>
      <c r="S1284">
        <v>0</v>
      </c>
      <c r="T1284">
        <v>25.232029140000002</v>
      </c>
      <c r="U1284">
        <f t="shared" si="40"/>
        <v>0</v>
      </c>
      <c r="V1284">
        <f t="shared" si="41"/>
        <v>0</v>
      </c>
    </row>
    <row r="1285" spans="1:22" x14ac:dyDescent="0.2">
      <c r="A1285" t="s">
        <v>2212</v>
      </c>
      <c r="B1285" t="s">
        <v>29</v>
      </c>
      <c r="C1285" t="s">
        <v>76</v>
      </c>
      <c r="D1285" t="s">
        <v>77</v>
      </c>
      <c r="E1285">
        <v>10</v>
      </c>
      <c r="F1285" t="s">
        <v>119</v>
      </c>
      <c r="G1285">
        <v>49</v>
      </c>
      <c r="H1285">
        <v>3622</v>
      </c>
      <c r="I1285">
        <v>394</v>
      </c>
      <c r="J1285">
        <v>103</v>
      </c>
      <c r="K1285">
        <v>89</v>
      </c>
      <c r="L1285">
        <v>-3228</v>
      </c>
      <c r="M1285" s="1" t="s">
        <v>2259</v>
      </c>
      <c r="N1285">
        <v>9.8107569721115506E-2</v>
      </c>
      <c r="O1285" s="1" t="s">
        <v>2260</v>
      </c>
      <c r="P1285">
        <v>0</v>
      </c>
      <c r="Q1285">
        <v>0</v>
      </c>
      <c r="R1285">
        <v>0</v>
      </c>
      <c r="S1285">
        <v>0</v>
      </c>
      <c r="T1285">
        <v>25.232029140000002</v>
      </c>
      <c r="U1285">
        <f t="shared" si="40"/>
        <v>0</v>
      </c>
      <c r="V1285">
        <f t="shared" si="41"/>
        <v>0</v>
      </c>
    </row>
    <row r="1286" spans="1:22" x14ac:dyDescent="0.2">
      <c r="A1286" t="s">
        <v>2212</v>
      </c>
      <c r="B1286" t="s">
        <v>29</v>
      </c>
      <c r="C1286" t="s">
        <v>76</v>
      </c>
      <c r="D1286" t="s">
        <v>77</v>
      </c>
      <c r="E1286">
        <v>18</v>
      </c>
      <c r="F1286" t="s">
        <v>147</v>
      </c>
      <c r="G1286">
        <v>92</v>
      </c>
      <c r="H1286">
        <v>3652</v>
      </c>
      <c r="I1286">
        <v>0</v>
      </c>
      <c r="J1286">
        <v>66</v>
      </c>
      <c r="K1286">
        <v>66</v>
      </c>
      <c r="L1286">
        <v>-3652</v>
      </c>
      <c r="M1286">
        <v>1</v>
      </c>
      <c r="N1286">
        <v>0</v>
      </c>
      <c r="O1286" s="1" t="s">
        <v>2261</v>
      </c>
      <c r="P1286">
        <v>0</v>
      </c>
      <c r="Q1286">
        <v>0</v>
      </c>
      <c r="R1286">
        <v>0</v>
      </c>
      <c r="S1286">
        <v>0</v>
      </c>
      <c r="T1286">
        <v>25.232029140000002</v>
      </c>
      <c r="U1286">
        <f t="shared" si="40"/>
        <v>0</v>
      </c>
      <c r="V1286">
        <f t="shared" si="41"/>
        <v>0</v>
      </c>
    </row>
    <row r="1287" spans="1:22" x14ac:dyDescent="0.2">
      <c r="A1287" t="s">
        <v>2212</v>
      </c>
      <c r="B1287" t="s">
        <v>29</v>
      </c>
      <c r="C1287" t="s">
        <v>76</v>
      </c>
      <c r="D1287" t="s">
        <v>77</v>
      </c>
      <c r="E1287">
        <v>13</v>
      </c>
      <c r="F1287" t="s">
        <v>91</v>
      </c>
      <c r="G1287">
        <v>70</v>
      </c>
      <c r="H1287">
        <v>2622</v>
      </c>
      <c r="I1287">
        <v>411</v>
      </c>
      <c r="J1287">
        <v>113</v>
      </c>
      <c r="K1287">
        <v>79</v>
      </c>
      <c r="L1287">
        <v>-2211</v>
      </c>
      <c r="M1287" s="1" t="s">
        <v>2262</v>
      </c>
      <c r="N1287" s="1" t="s">
        <v>2263</v>
      </c>
      <c r="O1287" s="1" t="s">
        <v>2264</v>
      </c>
      <c r="P1287">
        <v>0</v>
      </c>
      <c r="Q1287">
        <v>0</v>
      </c>
      <c r="R1287">
        <v>0</v>
      </c>
      <c r="S1287">
        <v>0</v>
      </c>
      <c r="T1287">
        <v>25.232029140000002</v>
      </c>
      <c r="U1287">
        <f t="shared" si="40"/>
        <v>0</v>
      </c>
      <c r="V1287">
        <f t="shared" si="41"/>
        <v>0</v>
      </c>
    </row>
    <row r="1288" spans="1:22" x14ac:dyDescent="0.2">
      <c r="A1288" t="s">
        <v>2212</v>
      </c>
      <c r="B1288" t="s">
        <v>29</v>
      </c>
      <c r="C1288" t="s">
        <v>76</v>
      </c>
      <c r="D1288" t="s">
        <v>77</v>
      </c>
      <c r="E1288">
        <v>12</v>
      </c>
      <c r="F1288" t="s">
        <v>194</v>
      </c>
      <c r="G1288">
        <v>64</v>
      </c>
      <c r="H1288">
        <v>549</v>
      </c>
      <c r="I1288">
        <v>38</v>
      </c>
      <c r="J1288">
        <v>107</v>
      </c>
      <c r="K1288">
        <v>92</v>
      </c>
      <c r="L1288">
        <v>-511</v>
      </c>
      <c r="M1288" s="1" t="s">
        <v>2265</v>
      </c>
      <c r="N1288">
        <v>6.4735945485519503E-2</v>
      </c>
      <c r="O1288" s="1" t="s">
        <v>2266</v>
      </c>
      <c r="P1288">
        <v>0</v>
      </c>
      <c r="Q1288">
        <v>0</v>
      </c>
      <c r="R1288">
        <v>0</v>
      </c>
      <c r="S1288">
        <v>0</v>
      </c>
      <c r="T1288">
        <v>25.232029140000002</v>
      </c>
      <c r="U1288">
        <f t="shared" si="40"/>
        <v>0</v>
      </c>
      <c r="V1288">
        <f t="shared" si="41"/>
        <v>0</v>
      </c>
    </row>
    <row r="1289" spans="1:22" x14ac:dyDescent="0.2">
      <c r="A1289" t="s">
        <v>2212</v>
      </c>
      <c r="B1289" t="s">
        <v>29</v>
      </c>
      <c r="C1289" t="s">
        <v>76</v>
      </c>
      <c r="D1289" t="s">
        <v>77</v>
      </c>
      <c r="E1289" s="1" t="s">
        <v>93</v>
      </c>
      <c r="F1289" t="s">
        <v>94</v>
      </c>
      <c r="G1289">
        <v>46</v>
      </c>
      <c r="H1289">
        <v>18</v>
      </c>
      <c r="I1289">
        <v>0</v>
      </c>
      <c r="J1289">
        <v>46</v>
      </c>
      <c r="K1289">
        <v>58</v>
      </c>
      <c r="L1289">
        <v>-18</v>
      </c>
      <c r="M1289">
        <v>1</v>
      </c>
      <c r="N1289">
        <v>0</v>
      </c>
      <c r="O1289" s="1" t="s">
        <v>2267</v>
      </c>
      <c r="P1289">
        <v>0</v>
      </c>
      <c r="Q1289">
        <v>0</v>
      </c>
      <c r="R1289">
        <v>0</v>
      </c>
      <c r="S1289">
        <v>0</v>
      </c>
      <c r="T1289">
        <v>25.232029140000002</v>
      </c>
      <c r="U1289">
        <f t="shared" si="40"/>
        <v>0</v>
      </c>
      <c r="V1289">
        <f t="shared" si="41"/>
        <v>0</v>
      </c>
    </row>
    <row r="1290" spans="1:22" x14ac:dyDescent="0.2">
      <c r="A1290" t="s">
        <v>2212</v>
      </c>
      <c r="B1290" t="s">
        <v>29</v>
      </c>
      <c r="C1290" t="s">
        <v>76</v>
      </c>
      <c r="D1290" t="s">
        <v>77</v>
      </c>
      <c r="E1290" s="1" t="s">
        <v>163</v>
      </c>
      <c r="F1290" t="s">
        <v>224</v>
      </c>
      <c r="G1290">
        <v>42</v>
      </c>
      <c r="H1290">
        <v>1210</v>
      </c>
      <c r="I1290">
        <v>50</v>
      </c>
      <c r="J1290">
        <v>97</v>
      </c>
      <c r="K1290">
        <v>95</v>
      </c>
      <c r="L1290">
        <v>-1160</v>
      </c>
      <c r="M1290" s="1" t="s">
        <v>2268</v>
      </c>
      <c r="N1290">
        <v>3.9682539682539597E-2</v>
      </c>
      <c r="O1290" s="1" t="s">
        <v>2269</v>
      </c>
      <c r="P1290">
        <v>0</v>
      </c>
      <c r="Q1290">
        <v>0</v>
      </c>
      <c r="R1290">
        <v>0</v>
      </c>
      <c r="S1290">
        <v>0</v>
      </c>
      <c r="T1290">
        <v>25.232029140000002</v>
      </c>
      <c r="U1290">
        <f t="shared" si="40"/>
        <v>0</v>
      </c>
      <c r="V1290">
        <f t="shared" si="41"/>
        <v>0</v>
      </c>
    </row>
    <row r="1291" spans="1:22" x14ac:dyDescent="0.2">
      <c r="A1291" t="s">
        <v>2212</v>
      </c>
      <c r="B1291" t="s">
        <v>29</v>
      </c>
      <c r="C1291" t="s">
        <v>76</v>
      </c>
      <c r="D1291" t="s">
        <v>77</v>
      </c>
      <c r="E1291" s="1" t="s">
        <v>89</v>
      </c>
      <c r="F1291" t="s">
        <v>90</v>
      </c>
      <c r="G1291">
        <v>32</v>
      </c>
      <c r="H1291">
        <v>675823</v>
      </c>
      <c r="I1291">
        <v>0</v>
      </c>
      <c r="J1291">
        <v>58</v>
      </c>
      <c r="K1291">
        <v>80</v>
      </c>
      <c r="L1291">
        <v>-675823</v>
      </c>
      <c r="M1291">
        <v>1</v>
      </c>
      <c r="N1291">
        <v>0</v>
      </c>
      <c r="O1291" s="1" t="s">
        <v>2270</v>
      </c>
      <c r="P1291">
        <v>0</v>
      </c>
      <c r="Q1291">
        <v>0</v>
      </c>
      <c r="R1291">
        <v>0</v>
      </c>
      <c r="S1291">
        <v>0</v>
      </c>
      <c r="T1291">
        <v>25.232029140000002</v>
      </c>
      <c r="U1291">
        <f t="shared" si="40"/>
        <v>0</v>
      </c>
      <c r="V1291">
        <f t="shared" si="41"/>
        <v>0</v>
      </c>
    </row>
    <row r="1292" spans="1:22" x14ac:dyDescent="0.2">
      <c r="A1292" t="s">
        <v>2212</v>
      </c>
      <c r="B1292" t="s">
        <v>29</v>
      </c>
      <c r="C1292" t="s">
        <v>76</v>
      </c>
      <c r="D1292" t="s">
        <v>77</v>
      </c>
      <c r="E1292" s="1" t="s">
        <v>99</v>
      </c>
      <c r="F1292" t="s">
        <v>100</v>
      </c>
      <c r="G1292">
        <v>39</v>
      </c>
      <c r="H1292">
        <v>508615</v>
      </c>
      <c r="I1292">
        <v>0</v>
      </c>
      <c r="J1292">
        <v>98</v>
      </c>
      <c r="K1292">
        <v>109</v>
      </c>
      <c r="L1292">
        <v>-508615</v>
      </c>
      <c r="M1292">
        <v>1</v>
      </c>
      <c r="N1292">
        <v>0</v>
      </c>
      <c r="O1292" s="1" t="s">
        <v>2271</v>
      </c>
      <c r="P1292">
        <v>0</v>
      </c>
      <c r="Q1292">
        <v>0</v>
      </c>
      <c r="R1292">
        <v>0</v>
      </c>
      <c r="S1292">
        <v>0</v>
      </c>
      <c r="T1292">
        <v>25.232029140000002</v>
      </c>
      <c r="U1292">
        <f t="shared" si="40"/>
        <v>0</v>
      </c>
      <c r="V1292">
        <f t="shared" si="41"/>
        <v>0</v>
      </c>
    </row>
    <row r="1293" spans="1:22" x14ac:dyDescent="0.2">
      <c r="A1293" t="s">
        <v>2212</v>
      </c>
      <c r="B1293" t="s">
        <v>29</v>
      </c>
      <c r="C1293" t="s">
        <v>76</v>
      </c>
      <c r="D1293" t="s">
        <v>77</v>
      </c>
      <c r="E1293" s="1" t="s">
        <v>82</v>
      </c>
      <c r="F1293" t="s">
        <v>83</v>
      </c>
      <c r="G1293" s="1" t="s">
        <v>93</v>
      </c>
      <c r="H1293">
        <v>36386</v>
      </c>
      <c r="I1293">
        <v>220059795</v>
      </c>
      <c r="J1293">
        <v>73</v>
      </c>
      <c r="K1293">
        <v>9</v>
      </c>
      <c r="L1293">
        <v>220023409</v>
      </c>
      <c r="M1293" s="1" t="s">
        <v>2272</v>
      </c>
      <c r="N1293" s="1" t="s">
        <v>2273</v>
      </c>
      <c r="O1293" s="1" t="s">
        <v>2274</v>
      </c>
      <c r="P1293">
        <v>0</v>
      </c>
      <c r="Q1293">
        <v>0</v>
      </c>
      <c r="R1293">
        <v>0</v>
      </c>
      <c r="S1293">
        <v>1</v>
      </c>
      <c r="T1293">
        <v>25.232029140000002</v>
      </c>
      <c r="U1293">
        <f t="shared" si="40"/>
        <v>0</v>
      </c>
      <c r="V1293">
        <f t="shared" si="41"/>
        <v>1</v>
      </c>
    </row>
    <row r="1294" spans="1:22" x14ac:dyDescent="0.2">
      <c r="A1294" t="s">
        <v>2212</v>
      </c>
      <c r="B1294" t="s">
        <v>29</v>
      </c>
      <c r="C1294" t="s">
        <v>76</v>
      </c>
      <c r="D1294" t="s">
        <v>77</v>
      </c>
      <c r="E1294">
        <v>13</v>
      </c>
      <c r="F1294" t="s">
        <v>91</v>
      </c>
      <c r="G1294">
        <v>69</v>
      </c>
      <c r="H1294">
        <v>7788</v>
      </c>
      <c r="I1294">
        <v>246</v>
      </c>
      <c r="J1294">
        <v>89</v>
      </c>
      <c r="K1294">
        <v>83</v>
      </c>
      <c r="L1294">
        <v>-7542</v>
      </c>
      <c r="M1294" s="1" t="s">
        <v>2275</v>
      </c>
      <c r="N1294" s="1" t="s">
        <v>2276</v>
      </c>
      <c r="O1294" s="1" t="s">
        <v>2277</v>
      </c>
      <c r="P1294">
        <v>0</v>
      </c>
      <c r="Q1294">
        <v>0</v>
      </c>
      <c r="R1294">
        <v>0</v>
      </c>
      <c r="S1294">
        <v>0</v>
      </c>
      <c r="T1294">
        <v>25.232029140000002</v>
      </c>
      <c r="U1294">
        <f t="shared" si="40"/>
        <v>0</v>
      </c>
      <c r="V1294">
        <f t="shared" si="41"/>
        <v>0</v>
      </c>
    </row>
    <row r="1295" spans="1:22" x14ac:dyDescent="0.2">
      <c r="A1295" t="s">
        <v>2212</v>
      </c>
      <c r="B1295" t="s">
        <v>29</v>
      </c>
      <c r="C1295" t="s">
        <v>76</v>
      </c>
      <c r="D1295" t="s">
        <v>77</v>
      </c>
      <c r="E1295">
        <v>21</v>
      </c>
      <c r="F1295" t="s">
        <v>212</v>
      </c>
      <c r="G1295">
        <v>97</v>
      </c>
      <c r="H1295">
        <v>0</v>
      </c>
      <c r="I1295">
        <v>1478</v>
      </c>
      <c r="J1295">
        <v>97</v>
      </c>
      <c r="K1295">
        <v>73</v>
      </c>
      <c r="L1295">
        <v>1478</v>
      </c>
      <c r="M1295">
        <v>0</v>
      </c>
      <c r="N1295">
        <v>1</v>
      </c>
      <c r="O1295" s="1" t="s">
        <v>2278</v>
      </c>
      <c r="P1295">
        <v>0</v>
      </c>
      <c r="Q1295">
        <v>0</v>
      </c>
      <c r="R1295">
        <v>0</v>
      </c>
      <c r="S1295">
        <v>0</v>
      </c>
      <c r="T1295">
        <v>25.232029140000002</v>
      </c>
      <c r="U1295">
        <f t="shared" si="40"/>
        <v>0</v>
      </c>
      <c r="V1295">
        <f t="shared" si="41"/>
        <v>0</v>
      </c>
    </row>
    <row r="1296" spans="1:22" x14ac:dyDescent="0.2">
      <c r="A1296" t="s">
        <v>2212</v>
      </c>
      <c r="B1296" t="s">
        <v>29</v>
      </c>
      <c r="C1296" t="s">
        <v>76</v>
      </c>
      <c r="D1296" t="s">
        <v>77</v>
      </c>
      <c r="E1296" s="1" t="s">
        <v>82</v>
      </c>
      <c r="F1296" t="s">
        <v>83</v>
      </c>
      <c r="G1296">
        <v>12</v>
      </c>
      <c r="H1296">
        <v>9107</v>
      </c>
      <c r="I1296">
        <v>33688</v>
      </c>
      <c r="J1296">
        <v>81</v>
      </c>
      <c r="K1296">
        <v>79</v>
      </c>
      <c r="L1296">
        <v>24581</v>
      </c>
      <c r="M1296" s="1" t="s">
        <v>2279</v>
      </c>
      <c r="N1296" s="1" t="s">
        <v>2280</v>
      </c>
      <c r="O1296" s="1" t="s">
        <v>2281</v>
      </c>
      <c r="P1296">
        <v>0</v>
      </c>
      <c r="Q1296">
        <v>0</v>
      </c>
      <c r="R1296">
        <v>0</v>
      </c>
      <c r="S1296">
        <v>0</v>
      </c>
      <c r="T1296">
        <v>25.232029140000002</v>
      </c>
      <c r="U1296">
        <f t="shared" si="40"/>
        <v>0</v>
      </c>
      <c r="V1296">
        <f t="shared" si="41"/>
        <v>0</v>
      </c>
    </row>
    <row r="1297" spans="1:22" x14ac:dyDescent="0.2">
      <c r="A1297" t="s">
        <v>2212</v>
      </c>
      <c r="B1297" t="s">
        <v>29</v>
      </c>
      <c r="C1297" t="s">
        <v>76</v>
      </c>
      <c r="D1297" t="s">
        <v>77</v>
      </c>
      <c r="E1297">
        <v>11</v>
      </c>
      <c r="F1297" t="s">
        <v>127</v>
      </c>
      <c r="G1297">
        <v>62</v>
      </c>
      <c r="H1297">
        <v>1087</v>
      </c>
      <c r="I1297">
        <v>418</v>
      </c>
      <c r="J1297">
        <v>110</v>
      </c>
      <c r="K1297">
        <v>94</v>
      </c>
      <c r="L1297">
        <v>-669</v>
      </c>
      <c r="M1297" s="1" t="s">
        <v>2282</v>
      </c>
      <c r="N1297" s="1" t="s">
        <v>2283</v>
      </c>
      <c r="O1297" s="1" t="s">
        <v>2284</v>
      </c>
      <c r="P1297">
        <v>0</v>
      </c>
      <c r="Q1297">
        <v>0</v>
      </c>
      <c r="R1297">
        <v>0</v>
      </c>
      <c r="S1297">
        <v>0</v>
      </c>
      <c r="T1297">
        <v>25.232029140000002</v>
      </c>
      <c r="U1297">
        <f t="shared" si="40"/>
        <v>0</v>
      </c>
      <c r="V1297">
        <f t="shared" si="41"/>
        <v>0</v>
      </c>
    </row>
    <row r="1298" spans="1:22" x14ac:dyDescent="0.2">
      <c r="A1298" t="s">
        <v>2212</v>
      </c>
      <c r="B1298" t="s">
        <v>29</v>
      </c>
      <c r="C1298" t="s">
        <v>76</v>
      </c>
      <c r="D1298" t="s">
        <v>77</v>
      </c>
      <c r="E1298">
        <v>11</v>
      </c>
      <c r="F1298" t="s">
        <v>127</v>
      </c>
      <c r="G1298">
        <v>57</v>
      </c>
      <c r="H1298">
        <v>133</v>
      </c>
      <c r="I1298">
        <v>400</v>
      </c>
      <c r="J1298">
        <v>84</v>
      </c>
      <c r="K1298">
        <v>69</v>
      </c>
      <c r="L1298">
        <v>267</v>
      </c>
      <c r="M1298">
        <v>0.24953095684803001</v>
      </c>
      <c r="N1298" s="1" t="s">
        <v>2285</v>
      </c>
      <c r="O1298" s="1" t="s">
        <v>2286</v>
      </c>
      <c r="P1298">
        <v>0</v>
      </c>
      <c r="Q1298">
        <v>0</v>
      </c>
      <c r="R1298">
        <v>0</v>
      </c>
      <c r="S1298">
        <v>0</v>
      </c>
      <c r="T1298">
        <v>25.232029140000002</v>
      </c>
      <c r="U1298">
        <f t="shared" si="40"/>
        <v>0</v>
      </c>
      <c r="V1298">
        <f t="shared" si="41"/>
        <v>0</v>
      </c>
    </row>
    <row r="1299" spans="1:22" x14ac:dyDescent="0.2">
      <c r="A1299" t="s">
        <v>2212</v>
      </c>
      <c r="B1299" t="s">
        <v>29</v>
      </c>
      <c r="C1299" t="s">
        <v>76</v>
      </c>
      <c r="D1299" t="s">
        <v>77</v>
      </c>
      <c r="E1299" s="1" t="s">
        <v>155</v>
      </c>
      <c r="F1299" t="s">
        <v>156</v>
      </c>
      <c r="G1299" s="1" t="s">
        <v>110</v>
      </c>
      <c r="H1299">
        <v>390</v>
      </c>
      <c r="I1299">
        <v>12392</v>
      </c>
      <c r="J1299">
        <v>105</v>
      </c>
      <c r="K1299">
        <v>62</v>
      </c>
      <c r="L1299">
        <v>12002</v>
      </c>
      <c r="M1299" s="1" t="s">
        <v>2287</v>
      </c>
      <c r="N1299" s="1" t="s">
        <v>2288</v>
      </c>
      <c r="O1299" s="1" t="s">
        <v>2289</v>
      </c>
      <c r="P1299">
        <v>0</v>
      </c>
      <c r="Q1299">
        <v>0</v>
      </c>
      <c r="R1299">
        <v>0</v>
      </c>
      <c r="S1299">
        <v>0</v>
      </c>
      <c r="T1299">
        <v>25.232029140000002</v>
      </c>
      <c r="U1299">
        <f t="shared" si="40"/>
        <v>0</v>
      </c>
      <c r="V1299">
        <f t="shared" si="41"/>
        <v>0</v>
      </c>
    </row>
    <row r="1300" spans="1:22" x14ac:dyDescent="0.2">
      <c r="A1300" t="s">
        <v>2212</v>
      </c>
      <c r="B1300" t="s">
        <v>29</v>
      </c>
      <c r="C1300" t="s">
        <v>76</v>
      </c>
      <c r="D1300" t="s">
        <v>77</v>
      </c>
      <c r="E1300">
        <v>11</v>
      </c>
      <c r="F1300" t="s">
        <v>127</v>
      </c>
      <c r="G1300">
        <v>61</v>
      </c>
      <c r="H1300">
        <v>502</v>
      </c>
      <c r="I1300">
        <v>32567</v>
      </c>
      <c r="J1300">
        <v>114</v>
      </c>
      <c r="K1300">
        <v>78</v>
      </c>
      <c r="L1300">
        <v>32065</v>
      </c>
      <c r="M1300" s="1" t="s">
        <v>2290</v>
      </c>
      <c r="N1300" s="1" t="s">
        <v>2291</v>
      </c>
      <c r="O1300" s="1" t="s">
        <v>2292</v>
      </c>
      <c r="P1300">
        <v>0</v>
      </c>
      <c r="Q1300">
        <v>0</v>
      </c>
      <c r="R1300">
        <v>0</v>
      </c>
      <c r="S1300">
        <v>0</v>
      </c>
      <c r="T1300">
        <v>25.232029140000002</v>
      </c>
      <c r="U1300">
        <f t="shared" si="40"/>
        <v>0</v>
      </c>
      <c r="V1300">
        <f t="shared" si="41"/>
        <v>0</v>
      </c>
    </row>
    <row r="1301" spans="1:22" x14ac:dyDescent="0.2">
      <c r="A1301" t="s">
        <v>2212</v>
      </c>
      <c r="B1301" t="s">
        <v>29</v>
      </c>
      <c r="C1301" t="s">
        <v>76</v>
      </c>
      <c r="D1301" t="s">
        <v>77</v>
      </c>
      <c r="E1301" s="1" t="s">
        <v>82</v>
      </c>
      <c r="F1301" t="s">
        <v>83</v>
      </c>
      <c r="G1301" s="1" t="s">
        <v>89</v>
      </c>
      <c r="H1301">
        <v>69</v>
      </c>
      <c r="I1301">
        <v>99463008</v>
      </c>
      <c r="J1301">
        <v>44</v>
      </c>
      <c r="K1301">
        <v>8</v>
      </c>
      <c r="L1301">
        <v>99462939</v>
      </c>
      <c r="M1301" s="1" t="s">
        <v>2293</v>
      </c>
      <c r="N1301" s="1" t="s">
        <v>2294</v>
      </c>
      <c r="O1301">
        <v>5.1271060002145701E-2</v>
      </c>
      <c r="P1301">
        <v>0</v>
      </c>
      <c r="Q1301">
        <v>0</v>
      </c>
      <c r="R1301">
        <v>0</v>
      </c>
      <c r="S1301">
        <v>1</v>
      </c>
      <c r="T1301">
        <v>25.232029140000002</v>
      </c>
      <c r="U1301">
        <f t="shared" si="40"/>
        <v>0</v>
      </c>
      <c r="V1301">
        <f t="shared" si="41"/>
        <v>1</v>
      </c>
    </row>
    <row r="1302" spans="1:22" x14ac:dyDescent="0.2">
      <c r="A1302" t="s">
        <v>2212</v>
      </c>
      <c r="B1302" t="s">
        <v>29</v>
      </c>
      <c r="C1302" t="s">
        <v>76</v>
      </c>
      <c r="D1302" t="s">
        <v>77</v>
      </c>
      <c r="E1302" s="1" t="s">
        <v>82</v>
      </c>
      <c r="F1302" t="s">
        <v>83</v>
      </c>
      <c r="G1302" s="1" t="s">
        <v>163</v>
      </c>
      <c r="H1302">
        <v>0</v>
      </c>
      <c r="I1302">
        <v>29736473</v>
      </c>
      <c r="J1302">
        <v>74</v>
      </c>
      <c r="K1302">
        <v>37</v>
      </c>
      <c r="L1302">
        <v>29736473</v>
      </c>
      <c r="M1302">
        <v>0</v>
      </c>
      <c r="N1302">
        <v>1</v>
      </c>
      <c r="O1302" s="1" t="s">
        <v>2295</v>
      </c>
      <c r="P1302">
        <v>0</v>
      </c>
      <c r="Q1302">
        <v>0</v>
      </c>
      <c r="R1302">
        <v>0</v>
      </c>
      <c r="S1302">
        <v>0</v>
      </c>
      <c r="T1302">
        <v>25.232029140000002</v>
      </c>
      <c r="U1302">
        <f t="shared" si="40"/>
        <v>0</v>
      </c>
      <c r="V1302">
        <f t="shared" si="41"/>
        <v>0</v>
      </c>
    </row>
    <row r="1303" spans="1:22" x14ac:dyDescent="0.2">
      <c r="A1303" t="s">
        <v>2212</v>
      </c>
      <c r="B1303" t="s">
        <v>29</v>
      </c>
      <c r="C1303" t="s">
        <v>76</v>
      </c>
      <c r="D1303" t="s">
        <v>77</v>
      </c>
      <c r="E1303">
        <v>14</v>
      </c>
      <c r="F1303" t="s">
        <v>261</v>
      </c>
      <c r="G1303">
        <v>71</v>
      </c>
      <c r="H1303">
        <v>0</v>
      </c>
      <c r="I1303">
        <v>19973</v>
      </c>
      <c r="J1303">
        <v>98</v>
      </c>
      <c r="K1303">
        <v>59</v>
      </c>
      <c r="L1303">
        <v>19973</v>
      </c>
      <c r="M1303">
        <v>0</v>
      </c>
      <c r="N1303">
        <v>1</v>
      </c>
      <c r="O1303" s="1" t="s">
        <v>2296</v>
      </c>
      <c r="P1303">
        <v>0</v>
      </c>
      <c r="Q1303">
        <v>0</v>
      </c>
      <c r="R1303">
        <v>0</v>
      </c>
      <c r="S1303">
        <v>0</v>
      </c>
      <c r="T1303">
        <v>25.232029140000002</v>
      </c>
      <c r="U1303">
        <f t="shared" si="40"/>
        <v>0</v>
      </c>
      <c r="V1303">
        <f t="shared" si="41"/>
        <v>0</v>
      </c>
    </row>
    <row r="1304" spans="1:22" x14ac:dyDescent="0.2">
      <c r="A1304" t="s">
        <v>2212</v>
      </c>
      <c r="B1304" t="s">
        <v>29</v>
      </c>
      <c r="C1304" t="s">
        <v>76</v>
      </c>
      <c r="D1304" t="s">
        <v>77</v>
      </c>
      <c r="E1304" s="1" t="s">
        <v>138</v>
      </c>
      <c r="F1304" t="s">
        <v>139</v>
      </c>
      <c r="G1304">
        <v>24</v>
      </c>
      <c r="H1304">
        <v>0</v>
      </c>
      <c r="I1304">
        <v>10110615</v>
      </c>
      <c r="J1304">
        <v>98</v>
      </c>
      <c r="K1304">
        <v>29</v>
      </c>
      <c r="L1304">
        <v>10110615</v>
      </c>
      <c r="M1304">
        <v>0</v>
      </c>
      <c r="N1304">
        <v>1</v>
      </c>
      <c r="O1304">
        <v>5.2118028514600897E-3</v>
      </c>
      <c r="P1304">
        <v>0</v>
      </c>
      <c r="Q1304">
        <v>0</v>
      </c>
      <c r="R1304">
        <v>0</v>
      </c>
      <c r="S1304">
        <v>0</v>
      </c>
      <c r="T1304">
        <v>25.232029140000002</v>
      </c>
      <c r="U1304">
        <f t="shared" si="40"/>
        <v>0</v>
      </c>
      <c r="V1304">
        <f t="shared" si="41"/>
        <v>0</v>
      </c>
    </row>
    <row r="1305" spans="1:22" x14ac:dyDescent="0.2">
      <c r="A1305" t="s">
        <v>2212</v>
      </c>
      <c r="B1305" t="s">
        <v>29</v>
      </c>
      <c r="C1305" t="s">
        <v>76</v>
      </c>
      <c r="D1305" t="s">
        <v>77</v>
      </c>
      <c r="E1305" s="1" t="s">
        <v>138</v>
      </c>
      <c r="F1305" t="s">
        <v>139</v>
      </c>
      <c r="G1305">
        <v>20</v>
      </c>
      <c r="H1305">
        <v>944</v>
      </c>
      <c r="I1305">
        <v>6166206</v>
      </c>
      <c r="J1305">
        <v>75</v>
      </c>
      <c r="K1305">
        <v>46</v>
      </c>
      <c r="L1305">
        <v>6165262</v>
      </c>
      <c r="M1305" s="1" t="s">
        <v>2297</v>
      </c>
      <c r="N1305" s="1" t="s">
        <v>2298</v>
      </c>
      <c r="O1305">
        <v>3.1790321316143501E-3</v>
      </c>
      <c r="P1305">
        <v>0</v>
      </c>
      <c r="Q1305">
        <v>0</v>
      </c>
      <c r="R1305">
        <v>0</v>
      </c>
      <c r="S1305">
        <v>0</v>
      </c>
      <c r="T1305">
        <v>25.232029140000002</v>
      </c>
      <c r="U1305">
        <f t="shared" si="40"/>
        <v>0</v>
      </c>
      <c r="V1305">
        <f t="shared" si="41"/>
        <v>0</v>
      </c>
    </row>
    <row r="1306" spans="1:22" x14ac:dyDescent="0.2">
      <c r="A1306" t="s">
        <v>2299</v>
      </c>
      <c r="B1306" t="s">
        <v>30</v>
      </c>
      <c r="C1306" t="s">
        <v>76</v>
      </c>
      <c r="D1306" t="s">
        <v>77</v>
      </c>
      <c r="E1306" s="1" t="s">
        <v>85</v>
      </c>
      <c r="F1306" t="s">
        <v>86</v>
      </c>
      <c r="G1306">
        <v>27</v>
      </c>
      <c r="H1306">
        <v>2462930306</v>
      </c>
      <c r="I1306">
        <v>15069666</v>
      </c>
      <c r="J1306">
        <v>41</v>
      </c>
      <c r="K1306">
        <v>37</v>
      </c>
      <c r="L1306">
        <v>-2447860640</v>
      </c>
      <c r="M1306" s="1" t="s">
        <v>2300</v>
      </c>
      <c r="N1306">
        <v>6.0813826353021396E-3</v>
      </c>
      <c r="O1306" s="1" t="s">
        <v>2301</v>
      </c>
      <c r="P1306">
        <v>0</v>
      </c>
      <c r="Q1306">
        <v>0</v>
      </c>
      <c r="R1306">
        <v>0</v>
      </c>
      <c r="S1306">
        <v>0</v>
      </c>
      <c r="T1306">
        <v>215.2532736</v>
      </c>
      <c r="U1306">
        <f t="shared" si="40"/>
        <v>0</v>
      </c>
      <c r="V1306">
        <f t="shared" si="41"/>
        <v>0</v>
      </c>
    </row>
    <row r="1307" spans="1:22" x14ac:dyDescent="0.2">
      <c r="A1307" t="s">
        <v>2299</v>
      </c>
      <c r="B1307" t="s">
        <v>30</v>
      </c>
      <c r="C1307" t="s">
        <v>76</v>
      </c>
      <c r="D1307" t="s">
        <v>77</v>
      </c>
      <c r="E1307" s="1" t="s">
        <v>93</v>
      </c>
      <c r="F1307" t="s">
        <v>94</v>
      </c>
      <c r="G1307">
        <v>44</v>
      </c>
      <c r="H1307">
        <v>238005364</v>
      </c>
      <c r="I1307">
        <v>56676</v>
      </c>
      <c r="J1307">
        <v>26</v>
      </c>
      <c r="K1307">
        <v>64</v>
      </c>
      <c r="L1307">
        <v>-237948688</v>
      </c>
      <c r="M1307" s="1" t="s">
        <v>2302</v>
      </c>
      <c r="N1307" s="1" t="s">
        <v>2303</v>
      </c>
      <c r="O1307">
        <v>3.2599452434978901E-2</v>
      </c>
      <c r="P1307">
        <v>0</v>
      </c>
      <c r="Q1307">
        <v>0</v>
      </c>
      <c r="R1307">
        <v>0</v>
      </c>
      <c r="S1307">
        <v>0</v>
      </c>
      <c r="T1307">
        <v>215.2532736</v>
      </c>
      <c r="U1307">
        <f t="shared" si="40"/>
        <v>0</v>
      </c>
      <c r="V1307">
        <f t="shared" si="41"/>
        <v>0</v>
      </c>
    </row>
    <row r="1308" spans="1:22" x14ac:dyDescent="0.2">
      <c r="A1308" t="s">
        <v>2299</v>
      </c>
      <c r="B1308" t="s">
        <v>30</v>
      </c>
      <c r="C1308" t="s">
        <v>76</v>
      </c>
      <c r="D1308" t="s">
        <v>77</v>
      </c>
      <c r="E1308" s="1" t="s">
        <v>110</v>
      </c>
      <c r="F1308" t="s">
        <v>111</v>
      </c>
      <c r="G1308">
        <v>15</v>
      </c>
      <c r="H1308">
        <v>158388954</v>
      </c>
      <c r="I1308">
        <v>46569</v>
      </c>
      <c r="J1308">
        <v>18</v>
      </c>
      <c r="K1308">
        <v>62</v>
      </c>
      <c r="L1308">
        <v>-158342385</v>
      </c>
      <c r="M1308" s="1" t="s">
        <v>2304</v>
      </c>
      <c r="N1308" s="1" t="s">
        <v>2305</v>
      </c>
      <c r="O1308" s="1" t="s">
        <v>2306</v>
      </c>
      <c r="P1308">
        <v>0</v>
      </c>
      <c r="Q1308">
        <v>0</v>
      </c>
      <c r="R1308">
        <v>0</v>
      </c>
      <c r="S1308">
        <v>0</v>
      </c>
      <c r="T1308">
        <v>215.2532736</v>
      </c>
      <c r="U1308">
        <f t="shared" si="40"/>
        <v>0</v>
      </c>
      <c r="V1308">
        <f t="shared" si="41"/>
        <v>0</v>
      </c>
    </row>
    <row r="1309" spans="1:22" x14ac:dyDescent="0.2">
      <c r="A1309" t="s">
        <v>2299</v>
      </c>
      <c r="B1309" t="s">
        <v>30</v>
      </c>
      <c r="C1309" t="s">
        <v>76</v>
      </c>
      <c r="D1309" t="s">
        <v>77</v>
      </c>
      <c r="E1309" s="1" t="s">
        <v>138</v>
      </c>
      <c r="F1309" t="s">
        <v>139</v>
      </c>
      <c r="G1309">
        <v>18</v>
      </c>
      <c r="H1309">
        <v>133459741</v>
      </c>
      <c r="I1309">
        <v>243444</v>
      </c>
      <c r="J1309">
        <v>8</v>
      </c>
      <c r="K1309">
        <v>53</v>
      </c>
      <c r="L1309">
        <v>-133216297</v>
      </c>
      <c r="M1309">
        <v>0.99817922063711495</v>
      </c>
      <c r="N1309">
        <v>1.82077936288503E-3</v>
      </c>
      <c r="O1309">
        <v>1.8308885447729E-2</v>
      </c>
      <c r="P1309">
        <v>0</v>
      </c>
      <c r="Q1309">
        <v>0</v>
      </c>
      <c r="R1309">
        <v>1</v>
      </c>
      <c r="S1309">
        <v>0</v>
      </c>
      <c r="T1309">
        <v>215.2532736</v>
      </c>
      <c r="U1309">
        <f t="shared" si="40"/>
        <v>0</v>
      </c>
      <c r="V1309">
        <f t="shared" si="41"/>
        <v>1</v>
      </c>
    </row>
    <row r="1310" spans="1:22" x14ac:dyDescent="0.2">
      <c r="A1310" t="s">
        <v>2299</v>
      </c>
      <c r="B1310" t="s">
        <v>30</v>
      </c>
      <c r="C1310" t="s">
        <v>76</v>
      </c>
      <c r="D1310" t="s">
        <v>77</v>
      </c>
      <c r="E1310">
        <v>15</v>
      </c>
      <c r="F1310" t="s">
        <v>88</v>
      </c>
      <c r="G1310">
        <v>72</v>
      </c>
      <c r="H1310">
        <v>512848071</v>
      </c>
      <c r="I1310">
        <v>16018630</v>
      </c>
      <c r="J1310">
        <v>30</v>
      </c>
      <c r="K1310">
        <v>39</v>
      </c>
      <c r="L1310">
        <v>-496829441</v>
      </c>
      <c r="M1310" s="1" t="s">
        <v>2307</v>
      </c>
      <c r="N1310" s="1" t="s">
        <v>2308</v>
      </c>
      <c r="O1310">
        <v>7.2421310275647993E-2</v>
      </c>
      <c r="P1310">
        <v>0</v>
      </c>
      <c r="Q1310">
        <v>0</v>
      </c>
      <c r="R1310">
        <v>0</v>
      </c>
      <c r="S1310">
        <v>0</v>
      </c>
      <c r="T1310">
        <v>215.2532736</v>
      </c>
      <c r="U1310">
        <f t="shared" si="40"/>
        <v>0</v>
      </c>
      <c r="V1310">
        <f t="shared" si="41"/>
        <v>0</v>
      </c>
    </row>
    <row r="1311" spans="1:22" x14ac:dyDescent="0.2">
      <c r="A1311" t="s">
        <v>2299</v>
      </c>
      <c r="B1311" t="s">
        <v>30</v>
      </c>
      <c r="C1311" t="s">
        <v>76</v>
      </c>
      <c r="D1311" t="s">
        <v>77</v>
      </c>
      <c r="E1311" s="1" t="s">
        <v>138</v>
      </c>
      <c r="F1311" t="s">
        <v>139</v>
      </c>
      <c r="G1311">
        <v>17</v>
      </c>
      <c r="H1311">
        <v>61690280</v>
      </c>
      <c r="I1311">
        <v>670247</v>
      </c>
      <c r="J1311">
        <v>10</v>
      </c>
      <c r="K1311">
        <v>50</v>
      </c>
      <c r="L1311">
        <v>-61020033</v>
      </c>
      <c r="M1311" s="1" t="s">
        <v>2309</v>
      </c>
      <c r="N1311" s="1" t="s">
        <v>2310</v>
      </c>
      <c r="O1311">
        <v>8.5394506144562902E-3</v>
      </c>
      <c r="P1311">
        <v>0</v>
      </c>
      <c r="Q1311">
        <v>0</v>
      </c>
      <c r="R1311">
        <v>1</v>
      </c>
      <c r="S1311">
        <v>0</v>
      </c>
      <c r="T1311">
        <v>215.2532736</v>
      </c>
      <c r="U1311">
        <f t="shared" si="40"/>
        <v>0</v>
      </c>
      <c r="V1311">
        <f t="shared" si="41"/>
        <v>1</v>
      </c>
    </row>
    <row r="1312" spans="1:22" x14ac:dyDescent="0.2">
      <c r="A1312" t="s">
        <v>2299</v>
      </c>
      <c r="B1312" t="s">
        <v>30</v>
      </c>
      <c r="C1312" t="s">
        <v>76</v>
      </c>
      <c r="D1312" t="s">
        <v>77</v>
      </c>
      <c r="E1312" s="1" t="s">
        <v>99</v>
      </c>
      <c r="F1312" t="s">
        <v>100</v>
      </c>
      <c r="G1312">
        <v>39</v>
      </c>
      <c r="H1312">
        <v>138382131</v>
      </c>
      <c r="I1312">
        <v>5393529</v>
      </c>
      <c r="J1312">
        <v>15</v>
      </c>
      <c r="K1312">
        <v>61</v>
      </c>
      <c r="L1312">
        <v>-132988602</v>
      </c>
      <c r="M1312" s="1" t="s">
        <v>2311</v>
      </c>
      <c r="N1312">
        <v>3.75135054153116E-2</v>
      </c>
      <c r="O1312" s="1" t="s">
        <v>2312</v>
      </c>
      <c r="P1312">
        <v>0</v>
      </c>
      <c r="Q1312">
        <v>0</v>
      </c>
      <c r="R1312">
        <v>0</v>
      </c>
      <c r="S1312">
        <v>0</v>
      </c>
      <c r="T1312">
        <v>215.2532736</v>
      </c>
      <c r="U1312">
        <f t="shared" si="40"/>
        <v>0</v>
      </c>
      <c r="V1312">
        <f t="shared" si="41"/>
        <v>0</v>
      </c>
    </row>
    <row r="1313" spans="1:22" x14ac:dyDescent="0.2">
      <c r="A1313" t="s">
        <v>2299</v>
      </c>
      <c r="B1313" t="s">
        <v>30</v>
      </c>
      <c r="C1313" t="s">
        <v>76</v>
      </c>
      <c r="D1313" t="s">
        <v>77</v>
      </c>
      <c r="E1313" s="1" t="s">
        <v>138</v>
      </c>
      <c r="F1313" t="s">
        <v>139</v>
      </c>
      <c r="G1313">
        <v>24</v>
      </c>
      <c r="H1313">
        <v>42662711</v>
      </c>
      <c r="I1313">
        <v>2457835</v>
      </c>
      <c r="J1313">
        <v>15</v>
      </c>
      <c r="K1313">
        <v>45</v>
      </c>
      <c r="L1313">
        <v>-40204876</v>
      </c>
      <c r="M1313" s="1" t="s">
        <v>2313</v>
      </c>
      <c r="N1313">
        <v>5.4472634262892103E-2</v>
      </c>
      <c r="O1313">
        <v>6.1786628946272903E-3</v>
      </c>
      <c r="P1313">
        <v>0</v>
      </c>
      <c r="Q1313">
        <v>0</v>
      </c>
      <c r="R1313">
        <v>0</v>
      </c>
      <c r="S1313">
        <v>0</v>
      </c>
      <c r="T1313">
        <v>215.2532736</v>
      </c>
      <c r="U1313">
        <f t="shared" si="40"/>
        <v>0</v>
      </c>
      <c r="V1313">
        <f t="shared" si="41"/>
        <v>0</v>
      </c>
    </row>
    <row r="1314" spans="1:22" x14ac:dyDescent="0.2">
      <c r="A1314" t="s">
        <v>2299</v>
      </c>
      <c r="B1314" t="s">
        <v>30</v>
      </c>
      <c r="C1314" t="s">
        <v>76</v>
      </c>
      <c r="D1314" t="s">
        <v>77</v>
      </c>
      <c r="E1314" s="1" t="s">
        <v>89</v>
      </c>
      <c r="F1314" t="s">
        <v>90</v>
      </c>
      <c r="G1314">
        <v>30</v>
      </c>
      <c r="H1314">
        <v>120940731</v>
      </c>
      <c r="I1314">
        <v>2737056</v>
      </c>
      <c r="J1314">
        <v>4</v>
      </c>
      <c r="K1314">
        <v>53</v>
      </c>
      <c r="L1314">
        <v>-118203675</v>
      </c>
      <c r="M1314" s="1" t="s">
        <v>2314</v>
      </c>
      <c r="N1314" s="1" t="s">
        <v>2315</v>
      </c>
      <c r="O1314" s="1" t="s">
        <v>2316</v>
      </c>
      <c r="P1314">
        <v>1</v>
      </c>
      <c r="Q1314">
        <v>0</v>
      </c>
      <c r="R1314">
        <v>1</v>
      </c>
      <c r="S1314">
        <v>0</v>
      </c>
      <c r="T1314">
        <v>215.2532736</v>
      </c>
      <c r="U1314">
        <f t="shared" si="40"/>
        <v>1</v>
      </c>
      <c r="V1314">
        <f t="shared" si="41"/>
        <v>1</v>
      </c>
    </row>
    <row r="1315" spans="1:22" x14ac:dyDescent="0.2">
      <c r="A1315" t="s">
        <v>2299</v>
      </c>
      <c r="B1315" t="s">
        <v>30</v>
      </c>
      <c r="C1315" t="s">
        <v>76</v>
      </c>
      <c r="D1315" t="s">
        <v>77</v>
      </c>
      <c r="E1315">
        <v>15</v>
      </c>
      <c r="F1315" t="s">
        <v>88</v>
      </c>
      <c r="G1315">
        <v>73</v>
      </c>
      <c r="H1315">
        <v>259220155</v>
      </c>
      <c r="I1315">
        <v>1028289</v>
      </c>
      <c r="J1315">
        <v>12</v>
      </c>
      <c r="K1315">
        <v>63</v>
      </c>
      <c r="L1315">
        <v>-258191866</v>
      </c>
      <c r="M1315" s="1" t="s">
        <v>2317</v>
      </c>
      <c r="N1315">
        <v>3.9511821250312598E-3</v>
      </c>
      <c r="O1315">
        <v>3.5637587460206899E-2</v>
      </c>
      <c r="P1315">
        <v>0</v>
      </c>
      <c r="Q1315">
        <v>0</v>
      </c>
      <c r="R1315">
        <v>0</v>
      </c>
      <c r="S1315">
        <v>0</v>
      </c>
      <c r="T1315">
        <v>215.2532736</v>
      </c>
      <c r="U1315">
        <f t="shared" si="40"/>
        <v>0</v>
      </c>
      <c r="V1315">
        <f t="shared" si="41"/>
        <v>0</v>
      </c>
    </row>
    <row r="1316" spans="1:22" x14ac:dyDescent="0.2">
      <c r="A1316" t="s">
        <v>2299</v>
      </c>
      <c r="B1316" t="s">
        <v>30</v>
      </c>
      <c r="C1316" t="s">
        <v>76</v>
      </c>
      <c r="D1316" t="s">
        <v>77</v>
      </c>
      <c r="E1316" s="1" t="s">
        <v>89</v>
      </c>
      <c r="F1316" t="s">
        <v>90</v>
      </c>
      <c r="G1316">
        <v>34</v>
      </c>
      <c r="H1316">
        <v>71390218</v>
      </c>
      <c r="I1316">
        <v>246011</v>
      </c>
      <c r="J1316">
        <v>6</v>
      </c>
      <c r="K1316">
        <v>56</v>
      </c>
      <c r="L1316">
        <v>-71144207</v>
      </c>
      <c r="M1316" s="1" t="s">
        <v>2318</v>
      </c>
      <c r="N1316">
        <v>3.4341701599060999E-3</v>
      </c>
      <c r="O1316">
        <v>9.8096355047060692E-3</v>
      </c>
      <c r="P1316">
        <v>0</v>
      </c>
      <c r="Q1316">
        <v>0</v>
      </c>
      <c r="R1316">
        <v>1</v>
      </c>
      <c r="S1316">
        <v>0</v>
      </c>
      <c r="T1316">
        <v>215.2532736</v>
      </c>
      <c r="U1316">
        <f t="shared" si="40"/>
        <v>0</v>
      </c>
      <c r="V1316">
        <f t="shared" si="41"/>
        <v>1</v>
      </c>
    </row>
    <row r="1317" spans="1:22" x14ac:dyDescent="0.2">
      <c r="A1317" t="s">
        <v>2299</v>
      </c>
      <c r="B1317" t="s">
        <v>30</v>
      </c>
      <c r="C1317" t="s">
        <v>76</v>
      </c>
      <c r="D1317" t="s">
        <v>77</v>
      </c>
      <c r="E1317">
        <v>13</v>
      </c>
      <c r="F1317" t="s">
        <v>91</v>
      </c>
      <c r="G1317">
        <v>69</v>
      </c>
      <c r="H1317">
        <v>72814249</v>
      </c>
      <c r="I1317">
        <v>455128</v>
      </c>
      <c r="J1317">
        <v>3</v>
      </c>
      <c r="K1317">
        <v>50</v>
      </c>
      <c r="L1317">
        <v>-72359121</v>
      </c>
      <c r="M1317" s="1" t="s">
        <v>2319</v>
      </c>
      <c r="N1317">
        <v>6.2117083375773704E-3</v>
      </c>
      <c r="O1317" s="1" t="s">
        <v>2320</v>
      </c>
      <c r="P1317">
        <v>1</v>
      </c>
      <c r="Q1317">
        <v>0</v>
      </c>
      <c r="R1317">
        <v>1</v>
      </c>
      <c r="S1317">
        <v>0</v>
      </c>
      <c r="T1317">
        <v>215.2532736</v>
      </c>
      <c r="U1317">
        <f t="shared" si="40"/>
        <v>1</v>
      </c>
      <c r="V1317">
        <f t="shared" si="41"/>
        <v>1</v>
      </c>
    </row>
    <row r="1318" spans="1:22" x14ac:dyDescent="0.2">
      <c r="A1318" t="s">
        <v>2299</v>
      </c>
      <c r="B1318" t="s">
        <v>30</v>
      </c>
      <c r="C1318" t="s">
        <v>76</v>
      </c>
      <c r="D1318" t="s">
        <v>77</v>
      </c>
      <c r="E1318" s="1" t="s">
        <v>138</v>
      </c>
      <c r="F1318" t="s">
        <v>139</v>
      </c>
      <c r="G1318">
        <v>19</v>
      </c>
      <c r="H1318">
        <v>145509214</v>
      </c>
      <c r="I1318">
        <v>4316214</v>
      </c>
      <c r="J1318">
        <v>4</v>
      </c>
      <c r="K1318">
        <v>38</v>
      </c>
      <c r="L1318">
        <v>-141193000</v>
      </c>
      <c r="M1318">
        <v>0.97119171253093295</v>
      </c>
      <c r="N1318">
        <v>2.8808287469066999E-2</v>
      </c>
      <c r="O1318" s="1" t="s">
        <v>2321</v>
      </c>
      <c r="P1318">
        <v>1</v>
      </c>
      <c r="Q1318">
        <v>0</v>
      </c>
      <c r="R1318">
        <v>1</v>
      </c>
      <c r="S1318">
        <v>0</v>
      </c>
      <c r="T1318">
        <v>215.2532736</v>
      </c>
      <c r="U1318">
        <f t="shared" si="40"/>
        <v>1</v>
      </c>
      <c r="V1318">
        <f t="shared" si="41"/>
        <v>1</v>
      </c>
    </row>
    <row r="1319" spans="1:22" x14ac:dyDescent="0.2">
      <c r="A1319" t="s">
        <v>2299</v>
      </c>
      <c r="B1319" t="s">
        <v>30</v>
      </c>
      <c r="C1319" t="s">
        <v>76</v>
      </c>
      <c r="D1319" t="s">
        <v>77</v>
      </c>
      <c r="E1319" s="1" t="s">
        <v>99</v>
      </c>
      <c r="F1319" t="s">
        <v>100</v>
      </c>
      <c r="G1319">
        <v>40</v>
      </c>
      <c r="H1319">
        <v>56958302</v>
      </c>
      <c r="I1319">
        <v>6148528</v>
      </c>
      <c r="J1319">
        <v>42</v>
      </c>
      <c r="K1319">
        <v>48</v>
      </c>
      <c r="L1319">
        <v>-50809774</v>
      </c>
      <c r="M1319" s="1" t="s">
        <v>2322</v>
      </c>
      <c r="N1319">
        <v>9.7430468302717704E-2</v>
      </c>
      <c r="O1319">
        <v>8.6416469543287994E-3</v>
      </c>
      <c r="P1319">
        <v>0</v>
      </c>
      <c r="Q1319">
        <v>0</v>
      </c>
      <c r="R1319">
        <v>0</v>
      </c>
      <c r="S1319">
        <v>0</v>
      </c>
      <c r="T1319">
        <v>215.2532736</v>
      </c>
      <c r="U1319">
        <f t="shared" si="40"/>
        <v>0</v>
      </c>
      <c r="V1319">
        <f t="shared" si="41"/>
        <v>0</v>
      </c>
    </row>
    <row r="1320" spans="1:22" x14ac:dyDescent="0.2">
      <c r="A1320" t="s">
        <v>2299</v>
      </c>
      <c r="B1320" t="s">
        <v>30</v>
      </c>
      <c r="C1320" t="s">
        <v>76</v>
      </c>
      <c r="D1320" t="s">
        <v>77</v>
      </c>
      <c r="E1320" s="1" t="s">
        <v>155</v>
      </c>
      <c r="F1320" t="s">
        <v>156</v>
      </c>
      <c r="G1320" s="1" t="s">
        <v>82</v>
      </c>
      <c r="H1320">
        <v>71642678</v>
      </c>
      <c r="I1320">
        <v>5955</v>
      </c>
      <c r="J1320">
        <v>7</v>
      </c>
      <c r="K1320">
        <v>49</v>
      </c>
      <c r="L1320">
        <v>-71636723</v>
      </c>
      <c r="M1320" s="1" t="s">
        <v>2323</v>
      </c>
      <c r="N1320" s="1" t="s">
        <v>2324</v>
      </c>
      <c r="O1320">
        <v>9.8113340686938593E-3</v>
      </c>
      <c r="P1320">
        <v>0</v>
      </c>
      <c r="Q1320">
        <v>0</v>
      </c>
      <c r="R1320">
        <v>1</v>
      </c>
      <c r="S1320">
        <v>0</v>
      </c>
      <c r="T1320">
        <v>215.2532736</v>
      </c>
      <c r="U1320">
        <f t="shared" si="40"/>
        <v>0</v>
      </c>
      <c r="V1320">
        <f t="shared" si="41"/>
        <v>1</v>
      </c>
    </row>
    <row r="1321" spans="1:22" x14ac:dyDescent="0.2">
      <c r="A1321" t="s">
        <v>2299</v>
      </c>
      <c r="B1321" t="s">
        <v>30</v>
      </c>
      <c r="C1321" t="s">
        <v>76</v>
      </c>
      <c r="D1321" t="s">
        <v>77</v>
      </c>
      <c r="E1321" s="1" t="s">
        <v>89</v>
      </c>
      <c r="F1321" t="s">
        <v>90</v>
      </c>
      <c r="G1321">
        <v>28</v>
      </c>
      <c r="H1321">
        <v>66778563</v>
      </c>
      <c r="I1321">
        <v>843934</v>
      </c>
      <c r="J1321">
        <v>36</v>
      </c>
      <c r="K1321">
        <v>60</v>
      </c>
      <c r="L1321">
        <v>-65934629</v>
      </c>
      <c r="M1321" s="1" t="s">
        <v>2325</v>
      </c>
      <c r="N1321" s="1" t="s">
        <v>2326</v>
      </c>
      <c r="O1321">
        <v>9.2600079142647201E-3</v>
      </c>
      <c r="P1321">
        <v>0</v>
      </c>
      <c r="Q1321">
        <v>0</v>
      </c>
      <c r="R1321">
        <v>0</v>
      </c>
      <c r="S1321">
        <v>0</v>
      </c>
      <c r="T1321">
        <v>215.2532736</v>
      </c>
      <c r="U1321">
        <f t="shared" si="40"/>
        <v>0</v>
      </c>
      <c r="V1321">
        <f t="shared" si="41"/>
        <v>0</v>
      </c>
    </row>
    <row r="1322" spans="1:22" x14ac:dyDescent="0.2">
      <c r="A1322" t="s">
        <v>2299</v>
      </c>
      <c r="B1322" t="s">
        <v>30</v>
      </c>
      <c r="C1322" t="s">
        <v>76</v>
      </c>
      <c r="D1322" t="s">
        <v>77</v>
      </c>
      <c r="E1322">
        <v>10</v>
      </c>
      <c r="F1322" t="s">
        <v>119</v>
      </c>
      <c r="G1322">
        <v>48</v>
      </c>
      <c r="H1322">
        <v>106803798</v>
      </c>
      <c r="I1322">
        <v>6912634</v>
      </c>
      <c r="J1322">
        <v>19</v>
      </c>
      <c r="K1322">
        <v>43</v>
      </c>
      <c r="L1322">
        <v>-99891164</v>
      </c>
      <c r="M1322" s="1" t="s">
        <v>2327</v>
      </c>
      <c r="N1322">
        <v>6.0788347632996398E-2</v>
      </c>
      <c r="O1322" s="1" t="s">
        <v>2328</v>
      </c>
      <c r="P1322">
        <v>0</v>
      </c>
      <c r="Q1322">
        <v>0</v>
      </c>
      <c r="R1322">
        <v>0</v>
      </c>
      <c r="S1322">
        <v>0</v>
      </c>
      <c r="T1322">
        <v>215.2532736</v>
      </c>
      <c r="U1322">
        <f t="shared" si="40"/>
        <v>0</v>
      </c>
      <c r="V1322">
        <f t="shared" si="41"/>
        <v>0</v>
      </c>
    </row>
    <row r="1323" spans="1:22" x14ac:dyDescent="0.2">
      <c r="A1323" t="s">
        <v>2299</v>
      </c>
      <c r="B1323" t="s">
        <v>30</v>
      </c>
      <c r="C1323" t="s">
        <v>76</v>
      </c>
      <c r="D1323" t="s">
        <v>77</v>
      </c>
      <c r="E1323" s="1" t="s">
        <v>138</v>
      </c>
      <c r="F1323" t="s">
        <v>139</v>
      </c>
      <c r="G1323">
        <v>22</v>
      </c>
      <c r="H1323">
        <v>76031452</v>
      </c>
      <c r="I1323">
        <v>1526275</v>
      </c>
      <c r="J1323">
        <v>11</v>
      </c>
      <c r="K1323">
        <v>53</v>
      </c>
      <c r="L1323">
        <v>-74505177</v>
      </c>
      <c r="M1323" s="1" t="s">
        <v>2329</v>
      </c>
      <c r="N1323" s="1" t="s">
        <v>2330</v>
      </c>
      <c r="O1323" s="1" t="s">
        <v>2331</v>
      </c>
      <c r="P1323">
        <v>0</v>
      </c>
      <c r="Q1323">
        <v>0</v>
      </c>
      <c r="R1323">
        <v>0</v>
      </c>
      <c r="S1323">
        <v>0</v>
      </c>
      <c r="T1323">
        <v>215.2532736</v>
      </c>
      <c r="U1323">
        <f t="shared" si="40"/>
        <v>0</v>
      </c>
      <c r="V1323">
        <f t="shared" si="41"/>
        <v>0</v>
      </c>
    </row>
    <row r="1324" spans="1:22" x14ac:dyDescent="0.2">
      <c r="A1324" t="s">
        <v>2299</v>
      </c>
      <c r="B1324" t="s">
        <v>30</v>
      </c>
      <c r="C1324" t="s">
        <v>76</v>
      </c>
      <c r="D1324" t="s">
        <v>77</v>
      </c>
      <c r="E1324">
        <v>20</v>
      </c>
      <c r="F1324" t="s">
        <v>104</v>
      </c>
      <c r="G1324">
        <v>94</v>
      </c>
      <c r="H1324">
        <v>36024493</v>
      </c>
      <c r="I1324">
        <v>1511616</v>
      </c>
      <c r="J1324">
        <v>15</v>
      </c>
      <c r="K1324">
        <v>50</v>
      </c>
      <c r="L1324">
        <v>-34512877</v>
      </c>
      <c r="M1324" s="1" t="s">
        <v>2332</v>
      </c>
      <c r="N1324">
        <v>4.0270982802186502E-2</v>
      </c>
      <c r="O1324">
        <v>5.1400744106018898E-3</v>
      </c>
      <c r="P1324">
        <v>0</v>
      </c>
      <c r="Q1324">
        <v>0</v>
      </c>
      <c r="R1324">
        <v>0</v>
      </c>
      <c r="S1324">
        <v>0</v>
      </c>
      <c r="T1324">
        <v>215.2532736</v>
      </c>
      <c r="U1324">
        <f t="shared" si="40"/>
        <v>0</v>
      </c>
      <c r="V1324">
        <f t="shared" si="41"/>
        <v>0</v>
      </c>
    </row>
    <row r="1325" spans="1:22" x14ac:dyDescent="0.2">
      <c r="A1325" t="s">
        <v>2299</v>
      </c>
      <c r="B1325" t="s">
        <v>30</v>
      </c>
      <c r="C1325" t="s">
        <v>76</v>
      </c>
      <c r="D1325" t="s">
        <v>77</v>
      </c>
      <c r="E1325">
        <v>13</v>
      </c>
      <c r="F1325" t="s">
        <v>91</v>
      </c>
      <c r="G1325">
        <v>70</v>
      </c>
      <c r="H1325">
        <v>41440840</v>
      </c>
      <c r="I1325">
        <v>12399398</v>
      </c>
      <c r="J1325">
        <v>23</v>
      </c>
      <c r="K1325">
        <v>32</v>
      </c>
      <c r="L1325">
        <v>-29041442</v>
      </c>
      <c r="M1325" s="1" t="s">
        <v>2333</v>
      </c>
      <c r="N1325" s="1" t="s">
        <v>2334</v>
      </c>
      <c r="O1325">
        <v>7.3727095582686898E-3</v>
      </c>
      <c r="P1325">
        <v>0</v>
      </c>
      <c r="Q1325">
        <v>0</v>
      </c>
      <c r="R1325">
        <v>0</v>
      </c>
      <c r="S1325">
        <v>0</v>
      </c>
      <c r="T1325">
        <v>215.2532736</v>
      </c>
      <c r="U1325">
        <f t="shared" si="40"/>
        <v>0</v>
      </c>
      <c r="V1325">
        <f t="shared" si="41"/>
        <v>0</v>
      </c>
    </row>
    <row r="1326" spans="1:22" x14ac:dyDescent="0.2">
      <c r="A1326" t="s">
        <v>2299</v>
      </c>
      <c r="B1326" t="s">
        <v>30</v>
      </c>
      <c r="C1326" t="s">
        <v>76</v>
      </c>
      <c r="D1326" t="s">
        <v>77</v>
      </c>
      <c r="E1326" s="1" t="s">
        <v>89</v>
      </c>
      <c r="F1326" t="s">
        <v>90</v>
      </c>
      <c r="G1326">
        <v>32</v>
      </c>
      <c r="H1326">
        <v>35496583</v>
      </c>
      <c r="I1326">
        <v>5525869</v>
      </c>
      <c r="J1326">
        <v>7</v>
      </c>
      <c r="K1326">
        <v>40</v>
      </c>
      <c r="L1326">
        <v>-29970714</v>
      </c>
      <c r="M1326" s="1" t="s">
        <v>2335</v>
      </c>
      <c r="N1326" s="1" t="s">
        <v>2336</v>
      </c>
      <c r="O1326">
        <v>5.6174830424044302E-3</v>
      </c>
      <c r="P1326">
        <v>0</v>
      </c>
      <c r="Q1326">
        <v>0</v>
      </c>
      <c r="R1326">
        <v>1</v>
      </c>
      <c r="S1326">
        <v>0</v>
      </c>
      <c r="T1326">
        <v>215.2532736</v>
      </c>
      <c r="U1326">
        <f t="shared" si="40"/>
        <v>0</v>
      </c>
      <c r="V1326">
        <f t="shared" si="41"/>
        <v>1</v>
      </c>
    </row>
    <row r="1327" spans="1:22" x14ac:dyDescent="0.2">
      <c r="A1327" t="s">
        <v>2299</v>
      </c>
      <c r="B1327" t="s">
        <v>30</v>
      </c>
      <c r="C1327" t="s">
        <v>76</v>
      </c>
      <c r="D1327" t="s">
        <v>77</v>
      </c>
      <c r="E1327">
        <v>16</v>
      </c>
      <c r="F1327" t="s">
        <v>95</v>
      </c>
      <c r="G1327">
        <v>84</v>
      </c>
      <c r="H1327">
        <v>165757235</v>
      </c>
      <c r="I1327">
        <v>12307573</v>
      </c>
      <c r="J1327">
        <v>26</v>
      </c>
      <c r="K1327">
        <v>62</v>
      </c>
      <c r="L1327">
        <v>-153449662</v>
      </c>
      <c r="M1327" s="1" t="s">
        <v>2337</v>
      </c>
      <c r="N1327">
        <v>6.9118503191265002E-2</v>
      </c>
      <c r="O1327" s="1" t="s">
        <v>2338</v>
      </c>
      <c r="P1327">
        <v>0</v>
      </c>
      <c r="Q1327">
        <v>0</v>
      </c>
      <c r="R1327">
        <v>0</v>
      </c>
      <c r="S1327">
        <v>0</v>
      </c>
      <c r="T1327">
        <v>215.2532736</v>
      </c>
      <c r="U1327">
        <f t="shared" si="40"/>
        <v>0</v>
      </c>
      <c r="V1327">
        <f t="shared" si="41"/>
        <v>0</v>
      </c>
    </row>
    <row r="1328" spans="1:22" x14ac:dyDescent="0.2">
      <c r="A1328" t="s">
        <v>2299</v>
      </c>
      <c r="B1328" t="s">
        <v>30</v>
      </c>
      <c r="C1328" t="s">
        <v>76</v>
      </c>
      <c r="D1328" t="s">
        <v>77</v>
      </c>
      <c r="E1328" s="1" t="s">
        <v>82</v>
      </c>
      <c r="F1328" t="s">
        <v>83</v>
      </c>
      <c r="G1328" s="1" t="s">
        <v>163</v>
      </c>
      <c r="H1328">
        <v>16489019</v>
      </c>
      <c r="I1328">
        <v>101354644</v>
      </c>
      <c r="J1328">
        <v>9</v>
      </c>
      <c r="K1328">
        <v>25</v>
      </c>
      <c r="L1328">
        <v>84865625</v>
      </c>
      <c r="M1328" s="1" t="s">
        <v>2339</v>
      </c>
      <c r="N1328" s="1" t="s">
        <v>2340</v>
      </c>
      <c r="O1328" s="1" t="s">
        <v>2341</v>
      </c>
      <c r="P1328">
        <v>0</v>
      </c>
      <c r="Q1328">
        <v>0</v>
      </c>
      <c r="R1328">
        <v>1</v>
      </c>
      <c r="S1328">
        <v>0</v>
      </c>
      <c r="T1328">
        <v>215.2532736</v>
      </c>
      <c r="U1328">
        <f t="shared" si="40"/>
        <v>0</v>
      </c>
      <c r="V1328">
        <f t="shared" si="41"/>
        <v>1</v>
      </c>
    </row>
    <row r="1329" spans="1:22" x14ac:dyDescent="0.2">
      <c r="A1329" t="s">
        <v>2299</v>
      </c>
      <c r="B1329" t="s">
        <v>30</v>
      </c>
      <c r="C1329" t="s">
        <v>76</v>
      </c>
      <c r="D1329" t="s">
        <v>77</v>
      </c>
      <c r="E1329" s="1" t="s">
        <v>89</v>
      </c>
      <c r="F1329" t="s">
        <v>90</v>
      </c>
      <c r="G1329">
        <v>33</v>
      </c>
      <c r="H1329">
        <v>82167148</v>
      </c>
      <c r="I1329">
        <v>302202</v>
      </c>
      <c r="J1329">
        <v>8</v>
      </c>
      <c r="K1329">
        <v>61</v>
      </c>
      <c r="L1329">
        <v>-81864946</v>
      </c>
      <c r="M1329" s="1" t="s">
        <v>2342</v>
      </c>
      <c r="N1329">
        <v>3.6644159314945402E-3</v>
      </c>
      <c r="O1329" s="1" t="s">
        <v>2343</v>
      </c>
      <c r="P1329">
        <v>0</v>
      </c>
      <c r="Q1329">
        <v>0</v>
      </c>
      <c r="R1329">
        <v>1</v>
      </c>
      <c r="S1329">
        <v>0</v>
      </c>
      <c r="T1329">
        <v>215.2532736</v>
      </c>
      <c r="U1329">
        <f t="shared" si="40"/>
        <v>0</v>
      </c>
      <c r="V1329">
        <f t="shared" si="41"/>
        <v>1</v>
      </c>
    </row>
    <row r="1330" spans="1:22" x14ac:dyDescent="0.2">
      <c r="A1330" t="s">
        <v>2299</v>
      </c>
      <c r="B1330" t="s">
        <v>30</v>
      </c>
      <c r="C1330" t="s">
        <v>76</v>
      </c>
      <c r="D1330" t="s">
        <v>77</v>
      </c>
      <c r="E1330" s="1" t="s">
        <v>138</v>
      </c>
      <c r="F1330" t="s">
        <v>139</v>
      </c>
      <c r="G1330">
        <v>20</v>
      </c>
      <c r="H1330">
        <v>34381465</v>
      </c>
      <c r="I1330">
        <v>3580884</v>
      </c>
      <c r="J1330">
        <v>7</v>
      </c>
      <c r="K1330">
        <v>51</v>
      </c>
      <c r="L1330">
        <v>-30800581</v>
      </c>
      <c r="M1330" s="1" t="s">
        <v>2344</v>
      </c>
      <c r="N1330">
        <v>9.4327250402760895E-2</v>
      </c>
      <c r="O1330">
        <v>5.19844234950507E-3</v>
      </c>
      <c r="P1330">
        <v>0</v>
      </c>
      <c r="Q1330">
        <v>0</v>
      </c>
      <c r="R1330">
        <v>1</v>
      </c>
      <c r="S1330">
        <v>0</v>
      </c>
      <c r="T1330">
        <v>215.2532736</v>
      </c>
      <c r="U1330">
        <f t="shared" si="40"/>
        <v>0</v>
      </c>
      <c r="V1330">
        <f t="shared" si="41"/>
        <v>1</v>
      </c>
    </row>
    <row r="1331" spans="1:22" x14ac:dyDescent="0.2">
      <c r="A1331" t="s">
        <v>2299</v>
      </c>
      <c r="B1331" t="s">
        <v>30</v>
      </c>
      <c r="C1331" t="s">
        <v>76</v>
      </c>
      <c r="D1331" t="s">
        <v>77</v>
      </c>
      <c r="E1331">
        <v>16</v>
      </c>
      <c r="F1331" t="s">
        <v>95</v>
      </c>
      <c r="G1331">
        <v>85</v>
      </c>
      <c r="H1331">
        <v>129336226</v>
      </c>
      <c r="I1331">
        <v>36182685</v>
      </c>
      <c r="J1331">
        <v>24</v>
      </c>
      <c r="K1331">
        <v>51</v>
      </c>
      <c r="L1331">
        <v>-93153541</v>
      </c>
      <c r="M1331" s="1" t="s">
        <v>2345</v>
      </c>
      <c r="N1331" s="1" t="s">
        <v>2346</v>
      </c>
      <c r="O1331" s="1" t="s">
        <v>2347</v>
      </c>
      <c r="P1331">
        <v>0</v>
      </c>
      <c r="Q1331">
        <v>0</v>
      </c>
      <c r="R1331">
        <v>0</v>
      </c>
      <c r="S1331">
        <v>0</v>
      </c>
      <c r="T1331">
        <v>215.2532736</v>
      </c>
      <c r="U1331">
        <f t="shared" si="40"/>
        <v>0</v>
      </c>
      <c r="V1331">
        <f t="shared" si="41"/>
        <v>0</v>
      </c>
    </row>
    <row r="1332" spans="1:22" x14ac:dyDescent="0.2">
      <c r="A1332" t="s">
        <v>2299</v>
      </c>
      <c r="B1332" t="s">
        <v>30</v>
      </c>
      <c r="C1332" t="s">
        <v>76</v>
      </c>
      <c r="D1332" t="s">
        <v>77</v>
      </c>
      <c r="E1332" s="1" t="s">
        <v>82</v>
      </c>
      <c r="F1332" t="s">
        <v>83</v>
      </c>
      <c r="G1332" s="1" t="s">
        <v>93</v>
      </c>
      <c r="H1332">
        <v>29158606</v>
      </c>
      <c r="I1332">
        <v>883926</v>
      </c>
      <c r="J1332">
        <v>5</v>
      </c>
      <c r="K1332">
        <v>61</v>
      </c>
      <c r="L1332">
        <v>-28274680</v>
      </c>
      <c r="M1332" s="1" t="s">
        <v>2348</v>
      </c>
      <c r="N1332" s="1" t="s">
        <v>2349</v>
      </c>
      <c r="O1332">
        <v>4.1139280036427998E-3</v>
      </c>
      <c r="P1332">
        <v>1</v>
      </c>
      <c r="Q1332">
        <v>0</v>
      </c>
      <c r="R1332">
        <v>1</v>
      </c>
      <c r="S1332">
        <v>0</v>
      </c>
      <c r="T1332">
        <v>215.2532736</v>
      </c>
      <c r="U1332">
        <f t="shared" si="40"/>
        <v>1</v>
      </c>
      <c r="V1332">
        <f t="shared" si="41"/>
        <v>1</v>
      </c>
    </row>
    <row r="1333" spans="1:22" x14ac:dyDescent="0.2">
      <c r="A1333" t="s">
        <v>2299</v>
      </c>
      <c r="B1333" t="s">
        <v>30</v>
      </c>
      <c r="C1333" t="s">
        <v>76</v>
      </c>
      <c r="D1333" t="s">
        <v>77</v>
      </c>
      <c r="E1333" s="1" t="s">
        <v>138</v>
      </c>
      <c r="F1333" t="s">
        <v>139</v>
      </c>
      <c r="G1333">
        <v>21</v>
      </c>
      <c r="H1333">
        <v>63692571</v>
      </c>
      <c r="I1333">
        <v>7860201</v>
      </c>
      <c r="J1333">
        <v>11</v>
      </c>
      <c r="K1333">
        <v>42</v>
      </c>
      <c r="L1333">
        <v>-55832370</v>
      </c>
      <c r="M1333" s="1" t="s">
        <v>2350</v>
      </c>
      <c r="N1333" s="1" t="s">
        <v>2351</v>
      </c>
      <c r="O1333">
        <v>9.7982071707227707E-3</v>
      </c>
      <c r="P1333">
        <v>0</v>
      </c>
      <c r="Q1333">
        <v>0</v>
      </c>
      <c r="R1333">
        <v>0</v>
      </c>
      <c r="S1333">
        <v>0</v>
      </c>
      <c r="T1333">
        <v>215.2532736</v>
      </c>
      <c r="U1333">
        <f t="shared" si="40"/>
        <v>0</v>
      </c>
      <c r="V1333">
        <f t="shared" si="41"/>
        <v>0</v>
      </c>
    </row>
    <row r="1334" spans="1:22" x14ac:dyDescent="0.2">
      <c r="A1334" t="s">
        <v>2299</v>
      </c>
      <c r="B1334" t="s">
        <v>30</v>
      </c>
      <c r="C1334" t="s">
        <v>76</v>
      </c>
      <c r="D1334" t="s">
        <v>77</v>
      </c>
      <c r="E1334">
        <v>99</v>
      </c>
      <c r="F1334" t="s">
        <v>78</v>
      </c>
      <c r="G1334">
        <v>99</v>
      </c>
      <c r="H1334">
        <v>55599177</v>
      </c>
      <c r="I1334">
        <v>42602371</v>
      </c>
      <c r="J1334">
        <v>24</v>
      </c>
      <c r="K1334">
        <v>23</v>
      </c>
      <c r="L1334">
        <v>-12996806</v>
      </c>
      <c r="M1334" s="1" t="s">
        <v>2352</v>
      </c>
      <c r="N1334" s="1" t="s">
        <v>2353</v>
      </c>
      <c r="O1334" s="1" t="s">
        <v>2354</v>
      </c>
      <c r="P1334">
        <v>0</v>
      </c>
      <c r="Q1334">
        <v>0</v>
      </c>
      <c r="R1334">
        <v>0</v>
      </c>
      <c r="S1334">
        <v>0</v>
      </c>
      <c r="T1334">
        <v>215.2532736</v>
      </c>
      <c r="U1334">
        <f t="shared" si="40"/>
        <v>0</v>
      </c>
      <c r="V1334">
        <f t="shared" si="41"/>
        <v>0</v>
      </c>
    </row>
    <row r="1335" spans="1:22" x14ac:dyDescent="0.2">
      <c r="A1335" t="s">
        <v>2299</v>
      </c>
      <c r="B1335" t="s">
        <v>30</v>
      </c>
      <c r="C1335" t="s">
        <v>76</v>
      </c>
      <c r="D1335" t="s">
        <v>77</v>
      </c>
      <c r="E1335" s="1" t="s">
        <v>89</v>
      </c>
      <c r="F1335" t="s">
        <v>90</v>
      </c>
      <c r="G1335">
        <v>29</v>
      </c>
      <c r="H1335">
        <v>12746946</v>
      </c>
      <c r="I1335">
        <v>63735</v>
      </c>
      <c r="J1335">
        <v>55</v>
      </c>
      <c r="K1335">
        <v>67</v>
      </c>
      <c r="L1335">
        <v>-12683211</v>
      </c>
      <c r="M1335" s="1" t="s">
        <v>2355</v>
      </c>
      <c r="N1335">
        <v>4.9751453494158498E-3</v>
      </c>
      <c r="O1335">
        <v>1.7542535799457499E-3</v>
      </c>
      <c r="P1335">
        <v>0</v>
      </c>
      <c r="Q1335">
        <v>0</v>
      </c>
      <c r="R1335">
        <v>0</v>
      </c>
      <c r="S1335">
        <v>0</v>
      </c>
      <c r="T1335">
        <v>215.2532736</v>
      </c>
      <c r="U1335">
        <f t="shared" si="40"/>
        <v>0</v>
      </c>
      <c r="V1335">
        <f t="shared" si="41"/>
        <v>0</v>
      </c>
    </row>
    <row r="1336" spans="1:22" x14ac:dyDescent="0.2">
      <c r="A1336" t="s">
        <v>2299</v>
      </c>
      <c r="B1336" t="s">
        <v>30</v>
      </c>
      <c r="C1336" t="s">
        <v>76</v>
      </c>
      <c r="D1336" t="s">
        <v>77</v>
      </c>
      <c r="E1336">
        <v>17</v>
      </c>
      <c r="F1336" t="s">
        <v>97</v>
      </c>
      <c r="G1336">
        <v>87</v>
      </c>
      <c r="H1336">
        <v>92353364</v>
      </c>
      <c r="I1336">
        <v>56810496</v>
      </c>
      <c r="J1336">
        <v>15</v>
      </c>
      <c r="K1336">
        <v>36</v>
      </c>
      <c r="L1336">
        <v>-35542868</v>
      </c>
      <c r="M1336" s="1" t="s">
        <v>2356</v>
      </c>
      <c r="N1336" s="1" t="s">
        <v>2357</v>
      </c>
      <c r="O1336" s="1" t="s">
        <v>2358</v>
      </c>
      <c r="P1336">
        <v>0</v>
      </c>
      <c r="Q1336">
        <v>0</v>
      </c>
      <c r="R1336">
        <v>0</v>
      </c>
      <c r="S1336">
        <v>0</v>
      </c>
      <c r="T1336">
        <v>215.2532736</v>
      </c>
      <c r="U1336">
        <f t="shared" si="40"/>
        <v>0</v>
      </c>
      <c r="V1336">
        <f t="shared" si="41"/>
        <v>0</v>
      </c>
    </row>
    <row r="1337" spans="1:22" x14ac:dyDescent="0.2">
      <c r="A1337" t="s">
        <v>2299</v>
      </c>
      <c r="B1337" t="s">
        <v>30</v>
      </c>
      <c r="C1337" t="s">
        <v>76</v>
      </c>
      <c r="D1337" t="s">
        <v>77</v>
      </c>
      <c r="E1337" s="1" t="s">
        <v>82</v>
      </c>
      <c r="F1337" t="s">
        <v>83</v>
      </c>
      <c r="G1337">
        <v>11</v>
      </c>
      <c r="H1337">
        <v>23742587</v>
      </c>
      <c r="I1337">
        <v>828</v>
      </c>
      <c r="J1337">
        <v>15</v>
      </c>
      <c r="K1337">
        <v>60</v>
      </c>
      <c r="L1337">
        <v>-23741759</v>
      </c>
      <c r="M1337" s="1" t="s">
        <v>2359</v>
      </c>
      <c r="N1337" s="1" t="s">
        <v>2360</v>
      </c>
      <c r="O1337">
        <v>3.2513471191646698E-3</v>
      </c>
      <c r="P1337">
        <v>0</v>
      </c>
      <c r="Q1337">
        <v>0</v>
      </c>
      <c r="R1337">
        <v>0</v>
      </c>
      <c r="S1337">
        <v>0</v>
      </c>
      <c r="T1337">
        <v>215.2532736</v>
      </c>
      <c r="U1337">
        <f t="shared" si="40"/>
        <v>0</v>
      </c>
      <c r="V1337">
        <f t="shared" si="41"/>
        <v>0</v>
      </c>
    </row>
    <row r="1338" spans="1:22" x14ac:dyDescent="0.2">
      <c r="A1338" t="s">
        <v>2299</v>
      </c>
      <c r="B1338" t="s">
        <v>30</v>
      </c>
      <c r="C1338" t="s">
        <v>76</v>
      </c>
      <c r="D1338" t="s">
        <v>77</v>
      </c>
      <c r="E1338">
        <v>20</v>
      </c>
      <c r="F1338" t="s">
        <v>104</v>
      </c>
      <c r="G1338">
        <v>96</v>
      </c>
      <c r="H1338">
        <v>14416983</v>
      </c>
      <c r="I1338">
        <v>439945</v>
      </c>
      <c r="J1338">
        <v>12</v>
      </c>
      <c r="K1338">
        <v>53</v>
      </c>
      <c r="L1338">
        <v>-13977038</v>
      </c>
      <c r="M1338" s="1" t="s">
        <v>2361</v>
      </c>
      <c r="N1338">
        <v>2.96121109289888E-2</v>
      </c>
      <c r="O1338">
        <v>2.0344600830351002E-3</v>
      </c>
      <c r="P1338">
        <v>0</v>
      </c>
      <c r="Q1338">
        <v>0</v>
      </c>
      <c r="R1338">
        <v>0</v>
      </c>
      <c r="S1338">
        <v>0</v>
      </c>
      <c r="T1338">
        <v>215.2532736</v>
      </c>
      <c r="U1338">
        <f t="shared" si="40"/>
        <v>0</v>
      </c>
      <c r="V1338">
        <f t="shared" si="41"/>
        <v>0</v>
      </c>
    </row>
    <row r="1339" spans="1:22" x14ac:dyDescent="0.2">
      <c r="A1339" t="s">
        <v>2299</v>
      </c>
      <c r="B1339" t="s">
        <v>30</v>
      </c>
      <c r="C1339" t="s">
        <v>76</v>
      </c>
      <c r="D1339" t="s">
        <v>77</v>
      </c>
      <c r="E1339" s="1" t="s">
        <v>138</v>
      </c>
      <c r="F1339" t="s">
        <v>139</v>
      </c>
      <c r="G1339">
        <v>23</v>
      </c>
      <c r="H1339">
        <v>11820088</v>
      </c>
      <c r="I1339">
        <v>0</v>
      </c>
      <c r="J1339">
        <v>35</v>
      </c>
      <c r="K1339">
        <v>61</v>
      </c>
      <c r="L1339">
        <v>-11820088</v>
      </c>
      <c r="M1339">
        <v>1</v>
      </c>
      <c r="N1339">
        <v>0</v>
      </c>
      <c r="O1339">
        <v>1.6186049507651999E-3</v>
      </c>
      <c r="P1339">
        <v>0</v>
      </c>
      <c r="Q1339">
        <v>0</v>
      </c>
      <c r="R1339">
        <v>0</v>
      </c>
      <c r="S1339">
        <v>0</v>
      </c>
      <c r="T1339">
        <v>215.2532736</v>
      </c>
      <c r="U1339">
        <f t="shared" si="40"/>
        <v>0</v>
      </c>
      <c r="V1339">
        <f t="shared" si="41"/>
        <v>0</v>
      </c>
    </row>
    <row r="1340" spans="1:22" x14ac:dyDescent="0.2">
      <c r="A1340" t="s">
        <v>2299</v>
      </c>
      <c r="B1340" t="s">
        <v>30</v>
      </c>
      <c r="C1340" t="s">
        <v>76</v>
      </c>
      <c r="D1340" t="s">
        <v>77</v>
      </c>
      <c r="E1340">
        <v>13</v>
      </c>
      <c r="F1340" t="s">
        <v>91</v>
      </c>
      <c r="G1340">
        <v>68</v>
      </c>
      <c r="H1340">
        <v>42307024</v>
      </c>
      <c r="I1340">
        <v>835096</v>
      </c>
      <c r="J1340">
        <v>16</v>
      </c>
      <c r="K1340">
        <v>49</v>
      </c>
      <c r="L1340">
        <v>-41471928</v>
      </c>
      <c r="M1340" s="1" t="s">
        <v>2362</v>
      </c>
      <c r="N1340">
        <v>1.9356860534438199E-2</v>
      </c>
      <c r="O1340">
        <v>5.9077435818165403E-3</v>
      </c>
      <c r="P1340">
        <v>0</v>
      </c>
      <c r="Q1340">
        <v>0</v>
      </c>
      <c r="R1340">
        <v>0</v>
      </c>
      <c r="S1340">
        <v>0</v>
      </c>
      <c r="T1340">
        <v>215.2532736</v>
      </c>
      <c r="U1340">
        <f t="shared" si="40"/>
        <v>0</v>
      </c>
      <c r="V1340">
        <f t="shared" si="41"/>
        <v>0</v>
      </c>
    </row>
    <row r="1341" spans="1:22" x14ac:dyDescent="0.2">
      <c r="A1341" t="s">
        <v>2299</v>
      </c>
      <c r="B1341" t="s">
        <v>30</v>
      </c>
      <c r="C1341" t="s">
        <v>76</v>
      </c>
      <c r="D1341" t="s">
        <v>77</v>
      </c>
      <c r="E1341" s="1" t="s">
        <v>89</v>
      </c>
      <c r="F1341" t="s">
        <v>90</v>
      </c>
      <c r="G1341">
        <v>31</v>
      </c>
      <c r="H1341">
        <v>50338300</v>
      </c>
      <c r="I1341">
        <v>0</v>
      </c>
      <c r="J1341">
        <v>72</v>
      </c>
      <c r="K1341">
        <v>51</v>
      </c>
      <c r="L1341">
        <v>-50338300</v>
      </c>
      <c r="M1341">
        <v>1</v>
      </c>
      <c r="N1341">
        <v>0</v>
      </c>
      <c r="O1341">
        <v>6.8931653971699902E-3</v>
      </c>
      <c r="P1341">
        <v>0</v>
      </c>
      <c r="Q1341">
        <v>0</v>
      </c>
      <c r="R1341">
        <v>0</v>
      </c>
      <c r="S1341">
        <v>0</v>
      </c>
      <c r="T1341">
        <v>215.2532736</v>
      </c>
      <c r="U1341">
        <f t="shared" si="40"/>
        <v>0</v>
      </c>
      <c r="V1341">
        <f t="shared" si="41"/>
        <v>0</v>
      </c>
    </row>
    <row r="1342" spans="1:22" x14ac:dyDescent="0.2">
      <c r="A1342" t="s">
        <v>2299</v>
      </c>
      <c r="B1342" t="s">
        <v>30</v>
      </c>
      <c r="C1342" t="s">
        <v>76</v>
      </c>
      <c r="D1342" t="s">
        <v>77</v>
      </c>
      <c r="E1342">
        <v>11</v>
      </c>
      <c r="F1342" t="s">
        <v>127</v>
      </c>
      <c r="G1342">
        <v>59</v>
      </c>
      <c r="H1342">
        <v>7959906</v>
      </c>
      <c r="I1342">
        <v>211417</v>
      </c>
      <c r="J1342">
        <v>7</v>
      </c>
      <c r="K1342">
        <v>45</v>
      </c>
      <c r="L1342">
        <v>-7748489</v>
      </c>
      <c r="M1342" s="1" t="s">
        <v>2363</v>
      </c>
      <c r="N1342" s="1" t="s">
        <v>2364</v>
      </c>
      <c r="O1342">
        <v>1.1189547710729001E-3</v>
      </c>
      <c r="P1342">
        <v>0</v>
      </c>
      <c r="Q1342">
        <v>0</v>
      </c>
      <c r="R1342">
        <v>1</v>
      </c>
      <c r="S1342">
        <v>0</v>
      </c>
      <c r="T1342">
        <v>215.2532736</v>
      </c>
      <c r="U1342">
        <f t="shared" si="40"/>
        <v>0</v>
      </c>
      <c r="V1342">
        <f t="shared" si="41"/>
        <v>1</v>
      </c>
    </row>
    <row r="1343" spans="1:22" x14ac:dyDescent="0.2">
      <c r="A1343" t="s">
        <v>2299</v>
      </c>
      <c r="B1343" t="s">
        <v>30</v>
      </c>
      <c r="C1343" t="s">
        <v>76</v>
      </c>
      <c r="D1343" t="s">
        <v>77</v>
      </c>
      <c r="E1343">
        <v>11</v>
      </c>
      <c r="F1343" t="s">
        <v>127</v>
      </c>
      <c r="G1343">
        <v>63</v>
      </c>
      <c r="H1343">
        <v>10942358</v>
      </c>
      <c r="I1343">
        <v>3054020</v>
      </c>
      <c r="J1343">
        <v>10</v>
      </c>
      <c r="K1343">
        <v>41</v>
      </c>
      <c r="L1343">
        <v>-7888338</v>
      </c>
      <c r="M1343" s="1" t="s">
        <v>2365</v>
      </c>
      <c r="N1343" s="1" t="s">
        <v>2366</v>
      </c>
      <c r="O1343">
        <v>1.9166191253044099E-3</v>
      </c>
      <c r="P1343">
        <v>0</v>
      </c>
      <c r="Q1343">
        <v>0</v>
      </c>
      <c r="R1343">
        <v>1</v>
      </c>
      <c r="S1343">
        <v>0</v>
      </c>
      <c r="T1343">
        <v>215.2532736</v>
      </c>
      <c r="U1343">
        <f t="shared" si="40"/>
        <v>0</v>
      </c>
      <c r="V1343">
        <f t="shared" si="41"/>
        <v>1</v>
      </c>
    </row>
    <row r="1344" spans="1:22" x14ac:dyDescent="0.2">
      <c r="A1344" t="s">
        <v>2299</v>
      </c>
      <c r="B1344" t="s">
        <v>30</v>
      </c>
      <c r="C1344" t="s">
        <v>76</v>
      </c>
      <c r="D1344" t="s">
        <v>77</v>
      </c>
      <c r="E1344">
        <v>14</v>
      </c>
      <c r="F1344" t="s">
        <v>261</v>
      </c>
      <c r="G1344">
        <v>71</v>
      </c>
      <c r="H1344">
        <v>4919999</v>
      </c>
      <c r="I1344">
        <v>52896798</v>
      </c>
      <c r="J1344">
        <v>36</v>
      </c>
      <c r="K1344">
        <v>17</v>
      </c>
      <c r="L1344">
        <v>47976799</v>
      </c>
      <c r="M1344">
        <v>8.5096360491917197E-2</v>
      </c>
      <c r="N1344" s="1" t="s">
        <v>2367</v>
      </c>
      <c r="O1344">
        <v>7.9172467972816307E-3</v>
      </c>
      <c r="P1344">
        <v>0</v>
      </c>
      <c r="Q1344">
        <v>0</v>
      </c>
      <c r="R1344">
        <v>0</v>
      </c>
      <c r="S1344">
        <v>0</v>
      </c>
      <c r="T1344">
        <v>215.2532736</v>
      </c>
      <c r="U1344">
        <f t="shared" si="40"/>
        <v>0</v>
      </c>
      <c r="V1344">
        <f t="shared" si="41"/>
        <v>0</v>
      </c>
    </row>
    <row r="1345" spans="1:22" x14ac:dyDescent="0.2">
      <c r="A1345" t="s">
        <v>2299</v>
      </c>
      <c r="B1345" t="s">
        <v>30</v>
      </c>
      <c r="C1345" t="s">
        <v>76</v>
      </c>
      <c r="D1345" t="s">
        <v>77</v>
      </c>
      <c r="E1345">
        <v>15</v>
      </c>
      <c r="F1345" t="s">
        <v>88</v>
      </c>
      <c r="G1345">
        <v>83</v>
      </c>
      <c r="H1345">
        <v>10444901</v>
      </c>
      <c r="I1345">
        <v>180463</v>
      </c>
      <c r="J1345">
        <v>14</v>
      </c>
      <c r="K1345">
        <v>61</v>
      </c>
      <c r="L1345">
        <v>-10264438</v>
      </c>
      <c r="M1345" s="1" t="s">
        <v>2368</v>
      </c>
      <c r="N1345">
        <v>1.6984171083456501E-2</v>
      </c>
      <c r="O1345">
        <v>1.4550032769707301E-3</v>
      </c>
      <c r="P1345">
        <v>0</v>
      </c>
      <c r="Q1345">
        <v>0</v>
      </c>
      <c r="R1345">
        <v>0</v>
      </c>
      <c r="S1345">
        <v>0</v>
      </c>
      <c r="T1345">
        <v>215.2532736</v>
      </c>
      <c r="U1345">
        <f t="shared" si="40"/>
        <v>0</v>
      </c>
      <c r="V1345">
        <f t="shared" si="41"/>
        <v>0</v>
      </c>
    </row>
    <row r="1346" spans="1:22" x14ac:dyDescent="0.2">
      <c r="A1346" t="s">
        <v>2299</v>
      </c>
      <c r="B1346" t="s">
        <v>30</v>
      </c>
      <c r="C1346" t="s">
        <v>76</v>
      </c>
      <c r="D1346" t="s">
        <v>77</v>
      </c>
      <c r="E1346">
        <v>11</v>
      </c>
      <c r="F1346" t="s">
        <v>127</v>
      </c>
      <c r="G1346">
        <v>56</v>
      </c>
      <c r="H1346">
        <v>11505598</v>
      </c>
      <c r="I1346">
        <v>99089</v>
      </c>
      <c r="J1346">
        <v>12</v>
      </c>
      <c r="K1346">
        <v>57</v>
      </c>
      <c r="L1346">
        <v>-11406509</v>
      </c>
      <c r="M1346" s="1" t="s">
        <v>2369</v>
      </c>
      <c r="N1346">
        <v>8.5387050938986898E-3</v>
      </c>
      <c r="O1346">
        <v>1.58910862848742E-3</v>
      </c>
      <c r="P1346">
        <v>0</v>
      </c>
      <c r="Q1346">
        <v>0</v>
      </c>
      <c r="R1346">
        <v>0</v>
      </c>
      <c r="S1346">
        <v>0</v>
      </c>
      <c r="T1346">
        <v>215.2532736</v>
      </c>
      <c r="U1346">
        <f t="shared" si="40"/>
        <v>0</v>
      </c>
      <c r="V1346">
        <f t="shared" si="41"/>
        <v>0</v>
      </c>
    </row>
    <row r="1347" spans="1:22" x14ac:dyDescent="0.2">
      <c r="A1347" t="s">
        <v>2299</v>
      </c>
      <c r="B1347" t="s">
        <v>30</v>
      </c>
      <c r="C1347" t="s">
        <v>76</v>
      </c>
      <c r="D1347" t="s">
        <v>77</v>
      </c>
      <c r="E1347" s="1" t="s">
        <v>155</v>
      </c>
      <c r="F1347" t="s">
        <v>156</v>
      </c>
      <c r="G1347" s="1" t="s">
        <v>110</v>
      </c>
      <c r="H1347">
        <v>13897849</v>
      </c>
      <c r="I1347">
        <v>7949293</v>
      </c>
      <c r="J1347">
        <v>36</v>
      </c>
      <c r="K1347">
        <v>27</v>
      </c>
      <c r="L1347">
        <v>-5948556</v>
      </c>
      <c r="M1347" s="1" t="s">
        <v>2370</v>
      </c>
      <c r="N1347" s="1" t="s">
        <v>2371</v>
      </c>
      <c r="O1347">
        <v>2.9916775747583701E-3</v>
      </c>
      <c r="P1347">
        <v>0</v>
      </c>
      <c r="Q1347">
        <v>0</v>
      </c>
      <c r="R1347">
        <v>0</v>
      </c>
      <c r="S1347">
        <v>0</v>
      </c>
      <c r="T1347">
        <v>215.2532736</v>
      </c>
      <c r="U1347">
        <f t="shared" ref="U1347:U1410" si="42">IF(OR(P1347=1,Q1347=1),1,0)</f>
        <v>0</v>
      </c>
      <c r="V1347">
        <f t="shared" ref="V1347:V1410" si="43">IF(OR(R1347=1,S1347=1),1,0)</f>
        <v>0</v>
      </c>
    </row>
    <row r="1348" spans="1:22" x14ac:dyDescent="0.2">
      <c r="A1348" t="s">
        <v>2299</v>
      </c>
      <c r="B1348" t="s">
        <v>30</v>
      </c>
      <c r="C1348" t="s">
        <v>76</v>
      </c>
      <c r="D1348" t="s">
        <v>77</v>
      </c>
      <c r="E1348" s="1" t="s">
        <v>89</v>
      </c>
      <c r="F1348" t="s">
        <v>90</v>
      </c>
      <c r="G1348">
        <v>38</v>
      </c>
      <c r="H1348">
        <v>28785061</v>
      </c>
      <c r="I1348">
        <v>201026</v>
      </c>
      <c r="J1348">
        <v>21</v>
      </c>
      <c r="K1348">
        <v>70</v>
      </c>
      <c r="L1348">
        <v>-28584035</v>
      </c>
      <c r="M1348" s="1" t="s">
        <v>2372</v>
      </c>
      <c r="N1348">
        <v>6.93525828443142E-3</v>
      </c>
      <c r="O1348">
        <v>3.9692618127302398E-3</v>
      </c>
      <c r="P1348">
        <v>0</v>
      </c>
      <c r="Q1348">
        <v>0</v>
      </c>
      <c r="R1348">
        <v>0</v>
      </c>
      <c r="S1348">
        <v>0</v>
      </c>
      <c r="T1348">
        <v>215.2532736</v>
      </c>
      <c r="U1348">
        <f t="shared" si="42"/>
        <v>0</v>
      </c>
      <c r="V1348">
        <f t="shared" si="43"/>
        <v>0</v>
      </c>
    </row>
    <row r="1349" spans="1:22" x14ac:dyDescent="0.2">
      <c r="A1349" t="s">
        <v>2299</v>
      </c>
      <c r="B1349" t="s">
        <v>30</v>
      </c>
      <c r="C1349" t="s">
        <v>76</v>
      </c>
      <c r="D1349" t="s">
        <v>77</v>
      </c>
      <c r="E1349">
        <v>15</v>
      </c>
      <c r="F1349" t="s">
        <v>88</v>
      </c>
      <c r="G1349">
        <v>82</v>
      </c>
      <c r="H1349">
        <v>6050673</v>
      </c>
      <c r="I1349">
        <v>115496</v>
      </c>
      <c r="J1349">
        <v>25</v>
      </c>
      <c r="K1349">
        <v>65</v>
      </c>
      <c r="L1349">
        <v>-5935177</v>
      </c>
      <c r="M1349" s="1" t="s">
        <v>2373</v>
      </c>
      <c r="N1349">
        <v>1.8730592690534401E-2</v>
      </c>
      <c r="O1349" s="1" t="s">
        <v>2374</v>
      </c>
      <c r="P1349">
        <v>0</v>
      </c>
      <c r="Q1349">
        <v>0</v>
      </c>
      <c r="R1349">
        <v>0</v>
      </c>
      <c r="S1349">
        <v>0</v>
      </c>
      <c r="T1349">
        <v>215.2532736</v>
      </c>
      <c r="U1349">
        <f t="shared" si="42"/>
        <v>0</v>
      </c>
      <c r="V1349">
        <f t="shared" si="43"/>
        <v>0</v>
      </c>
    </row>
    <row r="1350" spans="1:22" x14ac:dyDescent="0.2">
      <c r="A1350" t="s">
        <v>2299</v>
      </c>
      <c r="B1350" t="s">
        <v>30</v>
      </c>
      <c r="C1350" t="s">
        <v>76</v>
      </c>
      <c r="D1350" t="s">
        <v>77</v>
      </c>
      <c r="E1350" s="1" t="s">
        <v>155</v>
      </c>
      <c r="F1350" t="s">
        <v>156</v>
      </c>
      <c r="G1350" s="1" t="s">
        <v>138</v>
      </c>
      <c r="H1350">
        <v>25680295</v>
      </c>
      <c r="I1350">
        <v>90180075</v>
      </c>
      <c r="J1350">
        <v>10</v>
      </c>
      <c r="K1350">
        <v>12</v>
      </c>
      <c r="L1350">
        <v>64499780</v>
      </c>
      <c r="M1350" s="1" t="s">
        <v>2375</v>
      </c>
      <c r="N1350" s="1" t="s">
        <v>2376</v>
      </c>
      <c r="O1350" s="1" t="s">
        <v>2377</v>
      </c>
      <c r="P1350">
        <v>0</v>
      </c>
      <c r="Q1350">
        <v>0</v>
      </c>
      <c r="R1350">
        <v>1</v>
      </c>
      <c r="S1350">
        <v>0</v>
      </c>
      <c r="T1350">
        <v>215.2532736</v>
      </c>
      <c r="U1350">
        <f t="shared" si="42"/>
        <v>0</v>
      </c>
      <c r="V1350">
        <f t="shared" si="43"/>
        <v>1</v>
      </c>
    </row>
    <row r="1351" spans="1:22" x14ac:dyDescent="0.2">
      <c r="A1351" t="s">
        <v>2299</v>
      </c>
      <c r="B1351" t="s">
        <v>30</v>
      </c>
      <c r="C1351" t="s">
        <v>76</v>
      </c>
      <c r="D1351" t="s">
        <v>77</v>
      </c>
      <c r="E1351">
        <v>18</v>
      </c>
      <c r="F1351" t="s">
        <v>147</v>
      </c>
      <c r="G1351">
        <v>90</v>
      </c>
      <c r="H1351">
        <v>33396427</v>
      </c>
      <c r="I1351">
        <v>9278901</v>
      </c>
      <c r="J1351">
        <v>19</v>
      </c>
      <c r="K1351">
        <v>53</v>
      </c>
      <c r="L1351">
        <v>-24117526</v>
      </c>
      <c r="M1351">
        <v>0.78256989612358696</v>
      </c>
      <c r="N1351" s="1" t="s">
        <v>2378</v>
      </c>
      <c r="O1351">
        <v>5.8438225820593801E-3</v>
      </c>
      <c r="P1351">
        <v>0</v>
      </c>
      <c r="Q1351">
        <v>0</v>
      </c>
      <c r="R1351">
        <v>0</v>
      </c>
      <c r="S1351">
        <v>0</v>
      </c>
      <c r="T1351">
        <v>215.2532736</v>
      </c>
      <c r="U1351">
        <f t="shared" si="42"/>
        <v>0</v>
      </c>
      <c r="V1351">
        <f t="shared" si="43"/>
        <v>0</v>
      </c>
    </row>
    <row r="1352" spans="1:22" x14ac:dyDescent="0.2">
      <c r="A1352" t="s">
        <v>2299</v>
      </c>
      <c r="B1352" t="s">
        <v>30</v>
      </c>
      <c r="C1352" t="s">
        <v>76</v>
      </c>
      <c r="D1352" t="s">
        <v>77</v>
      </c>
      <c r="E1352">
        <v>10</v>
      </c>
      <c r="F1352" t="s">
        <v>119</v>
      </c>
      <c r="G1352">
        <v>49</v>
      </c>
      <c r="H1352">
        <v>6281570</v>
      </c>
      <c r="I1352">
        <v>168776</v>
      </c>
      <c r="J1352">
        <v>19</v>
      </c>
      <c r="K1352">
        <v>50</v>
      </c>
      <c r="L1352">
        <v>-6112794</v>
      </c>
      <c r="M1352" s="1" t="s">
        <v>2379</v>
      </c>
      <c r="N1352" s="1" t="s">
        <v>2380</v>
      </c>
      <c r="O1352" s="1" t="s">
        <v>2381</v>
      </c>
      <c r="P1352">
        <v>0</v>
      </c>
      <c r="Q1352">
        <v>0</v>
      </c>
      <c r="R1352">
        <v>0</v>
      </c>
      <c r="S1352">
        <v>0</v>
      </c>
      <c r="T1352">
        <v>215.2532736</v>
      </c>
      <c r="U1352">
        <f t="shared" si="42"/>
        <v>0</v>
      </c>
      <c r="V1352">
        <f t="shared" si="43"/>
        <v>0</v>
      </c>
    </row>
    <row r="1353" spans="1:22" x14ac:dyDescent="0.2">
      <c r="A1353" t="s">
        <v>2299</v>
      </c>
      <c r="B1353" t="s">
        <v>30</v>
      </c>
      <c r="C1353" t="s">
        <v>76</v>
      </c>
      <c r="D1353" t="s">
        <v>77</v>
      </c>
      <c r="E1353">
        <v>11</v>
      </c>
      <c r="F1353" t="s">
        <v>127</v>
      </c>
      <c r="G1353">
        <v>57</v>
      </c>
      <c r="H1353">
        <v>4184863</v>
      </c>
      <c r="I1353">
        <v>34873</v>
      </c>
      <c r="J1353">
        <v>3</v>
      </c>
      <c r="K1353">
        <v>55</v>
      </c>
      <c r="L1353">
        <v>-4149990</v>
      </c>
      <c r="M1353">
        <v>0.99173573891826405</v>
      </c>
      <c r="N1353">
        <v>8.2642610817359099E-3</v>
      </c>
      <c r="O1353" s="1" t="s">
        <v>2382</v>
      </c>
      <c r="P1353">
        <v>1</v>
      </c>
      <c r="Q1353">
        <v>0</v>
      </c>
      <c r="R1353">
        <v>1</v>
      </c>
      <c r="S1353">
        <v>0</v>
      </c>
      <c r="T1353">
        <v>215.2532736</v>
      </c>
      <c r="U1353">
        <f t="shared" si="42"/>
        <v>1</v>
      </c>
      <c r="V1353">
        <f t="shared" si="43"/>
        <v>1</v>
      </c>
    </row>
    <row r="1354" spans="1:22" x14ac:dyDescent="0.2">
      <c r="A1354" t="s">
        <v>2299</v>
      </c>
      <c r="B1354" t="s">
        <v>30</v>
      </c>
      <c r="C1354" t="s">
        <v>76</v>
      </c>
      <c r="D1354" t="s">
        <v>77</v>
      </c>
      <c r="E1354">
        <v>17</v>
      </c>
      <c r="F1354" t="s">
        <v>97</v>
      </c>
      <c r="G1354">
        <v>86</v>
      </c>
      <c r="H1354">
        <v>2014151</v>
      </c>
      <c r="I1354">
        <v>3917</v>
      </c>
      <c r="J1354">
        <v>34</v>
      </c>
      <c r="K1354">
        <v>60</v>
      </c>
      <c r="L1354">
        <v>-2010234</v>
      </c>
      <c r="M1354" s="1" t="s">
        <v>2383</v>
      </c>
      <c r="N1354">
        <v>1.9409653193053901E-3</v>
      </c>
      <c r="O1354" s="1" t="s">
        <v>2384</v>
      </c>
      <c r="P1354">
        <v>0</v>
      </c>
      <c r="Q1354">
        <v>0</v>
      </c>
      <c r="R1354">
        <v>0</v>
      </c>
      <c r="S1354">
        <v>0</v>
      </c>
      <c r="T1354">
        <v>215.2532736</v>
      </c>
      <c r="U1354">
        <f t="shared" si="42"/>
        <v>0</v>
      </c>
      <c r="V1354">
        <f t="shared" si="43"/>
        <v>0</v>
      </c>
    </row>
    <row r="1355" spans="1:22" x14ac:dyDescent="0.2">
      <c r="A1355" t="s">
        <v>2299</v>
      </c>
      <c r="B1355" t="s">
        <v>30</v>
      </c>
      <c r="C1355" t="s">
        <v>76</v>
      </c>
      <c r="D1355" t="s">
        <v>77</v>
      </c>
      <c r="E1355">
        <v>21</v>
      </c>
      <c r="F1355" t="s">
        <v>212</v>
      </c>
      <c r="G1355">
        <v>97</v>
      </c>
      <c r="H1355">
        <v>358228</v>
      </c>
      <c r="I1355">
        <v>0</v>
      </c>
      <c r="J1355">
        <v>30</v>
      </c>
      <c r="K1355">
        <v>90</v>
      </c>
      <c r="L1355">
        <v>-358228</v>
      </c>
      <c r="M1355">
        <v>1</v>
      </c>
      <c r="N1355">
        <v>0</v>
      </c>
      <c r="O1355" s="1" t="s">
        <v>2385</v>
      </c>
      <c r="P1355">
        <v>0</v>
      </c>
      <c r="Q1355">
        <v>0</v>
      </c>
      <c r="R1355">
        <v>0</v>
      </c>
      <c r="S1355">
        <v>0</v>
      </c>
      <c r="T1355">
        <v>215.2532736</v>
      </c>
      <c r="U1355">
        <f t="shared" si="42"/>
        <v>0</v>
      </c>
      <c r="V1355">
        <f t="shared" si="43"/>
        <v>0</v>
      </c>
    </row>
    <row r="1356" spans="1:22" x14ac:dyDescent="0.2">
      <c r="A1356" t="s">
        <v>2299</v>
      </c>
      <c r="B1356" t="s">
        <v>30</v>
      </c>
      <c r="C1356" t="s">
        <v>76</v>
      </c>
      <c r="D1356" t="s">
        <v>77</v>
      </c>
      <c r="E1356" s="1" t="s">
        <v>138</v>
      </c>
      <c r="F1356" t="s">
        <v>139</v>
      </c>
      <c r="G1356">
        <v>16</v>
      </c>
      <c r="H1356">
        <v>14177330</v>
      </c>
      <c r="I1356">
        <v>2936</v>
      </c>
      <c r="J1356">
        <v>10</v>
      </c>
      <c r="K1356">
        <v>63</v>
      </c>
      <c r="L1356">
        <v>-14174394</v>
      </c>
      <c r="M1356" s="1" t="s">
        <v>2386</v>
      </c>
      <c r="N1356" s="1" t="s">
        <v>2387</v>
      </c>
      <c r="O1356">
        <v>1.94180015840555E-3</v>
      </c>
      <c r="P1356">
        <v>0</v>
      </c>
      <c r="Q1356">
        <v>0</v>
      </c>
      <c r="R1356">
        <v>1</v>
      </c>
      <c r="S1356">
        <v>0</v>
      </c>
      <c r="T1356">
        <v>215.2532736</v>
      </c>
      <c r="U1356">
        <f t="shared" si="42"/>
        <v>0</v>
      </c>
      <c r="V1356">
        <f t="shared" si="43"/>
        <v>1</v>
      </c>
    </row>
    <row r="1357" spans="1:22" x14ac:dyDescent="0.2">
      <c r="A1357" t="s">
        <v>2299</v>
      </c>
      <c r="B1357" t="s">
        <v>30</v>
      </c>
      <c r="C1357" t="s">
        <v>76</v>
      </c>
      <c r="D1357" t="s">
        <v>77</v>
      </c>
      <c r="E1357" s="1" t="s">
        <v>85</v>
      </c>
      <c r="F1357" t="s">
        <v>86</v>
      </c>
      <c r="G1357">
        <v>25</v>
      </c>
      <c r="H1357">
        <v>6879769</v>
      </c>
      <c r="I1357">
        <v>415155</v>
      </c>
      <c r="J1357">
        <v>41</v>
      </c>
      <c r="K1357">
        <v>53</v>
      </c>
      <c r="L1357">
        <v>-6464614</v>
      </c>
      <c r="M1357" s="1" t="s">
        <v>2388</v>
      </c>
      <c r="N1357" s="1" t="s">
        <v>2389</v>
      </c>
      <c r="O1357" s="1" t="s">
        <v>2390</v>
      </c>
      <c r="P1357">
        <v>0</v>
      </c>
      <c r="Q1357">
        <v>0</v>
      </c>
      <c r="R1357">
        <v>0</v>
      </c>
      <c r="S1357">
        <v>0</v>
      </c>
      <c r="T1357">
        <v>215.2532736</v>
      </c>
      <c r="U1357">
        <f t="shared" si="42"/>
        <v>0</v>
      </c>
      <c r="V1357">
        <f t="shared" si="43"/>
        <v>0</v>
      </c>
    </row>
    <row r="1358" spans="1:22" x14ac:dyDescent="0.2">
      <c r="A1358" t="s">
        <v>2299</v>
      </c>
      <c r="B1358" t="s">
        <v>30</v>
      </c>
      <c r="C1358" t="s">
        <v>76</v>
      </c>
      <c r="D1358" t="s">
        <v>77</v>
      </c>
      <c r="E1358">
        <v>15</v>
      </c>
      <c r="F1358" t="s">
        <v>88</v>
      </c>
      <c r="G1358">
        <v>74</v>
      </c>
      <c r="H1358">
        <v>5080351</v>
      </c>
      <c r="I1358">
        <v>148671430</v>
      </c>
      <c r="J1358">
        <v>53</v>
      </c>
      <c r="K1358">
        <v>7</v>
      </c>
      <c r="L1358">
        <v>143591079</v>
      </c>
      <c r="M1358" s="1" t="s">
        <v>2391</v>
      </c>
      <c r="N1358" s="1" t="s">
        <v>2392</v>
      </c>
      <c r="O1358" s="1" t="s">
        <v>2393</v>
      </c>
      <c r="P1358">
        <v>0</v>
      </c>
      <c r="Q1358">
        <v>0</v>
      </c>
      <c r="R1358">
        <v>0</v>
      </c>
      <c r="S1358">
        <v>1</v>
      </c>
      <c r="T1358">
        <v>215.2532736</v>
      </c>
      <c r="U1358">
        <f t="shared" si="42"/>
        <v>0</v>
      </c>
      <c r="V1358">
        <f t="shared" si="43"/>
        <v>1</v>
      </c>
    </row>
    <row r="1359" spans="1:22" x14ac:dyDescent="0.2">
      <c r="A1359" t="s">
        <v>2299</v>
      </c>
      <c r="B1359" t="s">
        <v>30</v>
      </c>
      <c r="C1359" t="s">
        <v>76</v>
      </c>
      <c r="D1359" t="s">
        <v>77</v>
      </c>
      <c r="E1359" s="1" t="s">
        <v>82</v>
      </c>
      <c r="F1359" t="s">
        <v>83</v>
      </c>
      <c r="G1359">
        <v>10</v>
      </c>
      <c r="H1359">
        <v>25728011</v>
      </c>
      <c r="I1359">
        <v>741904</v>
      </c>
      <c r="J1359">
        <v>73</v>
      </c>
      <c r="K1359">
        <v>40</v>
      </c>
      <c r="L1359">
        <v>-24986107</v>
      </c>
      <c r="M1359">
        <v>0.971971802705071</v>
      </c>
      <c r="N1359">
        <v>2.8028197294928898E-2</v>
      </c>
      <c r="O1359">
        <v>3.6247052869093901E-3</v>
      </c>
      <c r="P1359">
        <v>0</v>
      </c>
      <c r="Q1359">
        <v>0</v>
      </c>
      <c r="R1359">
        <v>0</v>
      </c>
      <c r="S1359">
        <v>0</v>
      </c>
      <c r="T1359">
        <v>215.2532736</v>
      </c>
      <c r="U1359">
        <f t="shared" si="42"/>
        <v>0</v>
      </c>
      <c r="V1359">
        <f t="shared" si="43"/>
        <v>0</v>
      </c>
    </row>
    <row r="1360" spans="1:22" x14ac:dyDescent="0.2">
      <c r="A1360" t="s">
        <v>2299</v>
      </c>
      <c r="B1360" t="s">
        <v>30</v>
      </c>
      <c r="C1360" t="s">
        <v>76</v>
      </c>
      <c r="D1360" t="s">
        <v>77</v>
      </c>
      <c r="E1360" s="1" t="s">
        <v>89</v>
      </c>
      <c r="F1360" t="s">
        <v>90</v>
      </c>
      <c r="G1360">
        <v>36</v>
      </c>
      <c r="H1360">
        <v>7176780</v>
      </c>
      <c r="I1360">
        <v>836</v>
      </c>
      <c r="J1360">
        <v>9</v>
      </c>
      <c r="K1360">
        <v>35</v>
      </c>
      <c r="L1360">
        <v>-7175944</v>
      </c>
      <c r="M1360">
        <v>0.99988352678660997</v>
      </c>
      <c r="N1360" s="1" t="s">
        <v>2394</v>
      </c>
      <c r="O1360" s="1" t="s">
        <v>2395</v>
      </c>
      <c r="P1360">
        <v>0</v>
      </c>
      <c r="Q1360">
        <v>0</v>
      </c>
      <c r="R1360">
        <v>1</v>
      </c>
      <c r="S1360">
        <v>0</v>
      </c>
      <c r="T1360">
        <v>215.2532736</v>
      </c>
      <c r="U1360">
        <f t="shared" si="42"/>
        <v>0</v>
      </c>
      <c r="V1360">
        <f t="shared" si="43"/>
        <v>1</v>
      </c>
    </row>
    <row r="1361" spans="1:22" x14ac:dyDescent="0.2">
      <c r="A1361" t="s">
        <v>2299</v>
      </c>
      <c r="B1361" t="s">
        <v>30</v>
      </c>
      <c r="C1361" t="s">
        <v>76</v>
      </c>
      <c r="D1361" t="s">
        <v>77</v>
      </c>
      <c r="E1361">
        <v>17</v>
      </c>
      <c r="F1361" t="s">
        <v>97</v>
      </c>
      <c r="G1361">
        <v>88</v>
      </c>
      <c r="H1361">
        <v>284006</v>
      </c>
      <c r="I1361">
        <v>34810</v>
      </c>
      <c r="J1361">
        <v>77</v>
      </c>
      <c r="K1361">
        <v>70</v>
      </c>
      <c r="L1361">
        <v>-249196</v>
      </c>
      <c r="M1361" s="1" t="s">
        <v>2396</v>
      </c>
      <c r="N1361" s="1" t="s">
        <v>2397</v>
      </c>
      <c r="O1361" s="1" t="s">
        <v>2398</v>
      </c>
      <c r="P1361">
        <v>0</v>
      </c>
      <c r="Q1361">
        <v>0</v>
      </c>
      <c r="R1361">
        <v>0</v>
      </c>
      <c r="S1361">
        <v>0</v>
      </c>
      <c r="T1361">
        <v>215.2532736</v>
      </c>
      <c r="U1361">
        <f t="shared" si="42"/>
        <v>0</v>
      </c>
      <c r="V1361">
        <f t="shared" si="43"/>
        <v>0</v>
      </c>
    </row>
    <row r="1362" spans="1:22" x14ac:dyDescent="0.2">
      <c r="A1362" t="s">
        <v>2299</v>
      </c>
      <c r="B1362" t="s">
        <v>30</v>
      </c>
      <c r="C1362" t="s">
        <v>76</v>
      </c>
      <c r="D1362" t="s">
        <v>77</v>
      </c>
      <c r="E1362">
        <v>15</v>
      </c>
      <c r="F1362" t="s">
        <v>88</v>
      </c>
      <c r="G1362">
        <v>76</v>
      </c>
      <c r="H1362">
        <v>19679703</v>
      </c>
      <c r="I1362">
        <v>19073703</v>
      </c>
      <c r="J1362">
        <v>56</v>
      </c>
      <c r="K1362">
        <v>22</v>
      </c>
      <c r="L1362">
        <v>-606000</v>
      </c>
      <c r="M1362" s="1" t="s">
        <v>2399</v>
      </c>
      <c r="N1362" s="1" t="s">
        <v>2400</v>
      </c>
      <c r="O1362">
        <v>5.3067671586382497E-3</v>
      </c>
      <c r="P1362">
        <v>0</v>
      </c>
      <c r="Q1362">
        <v>0</v>
      </c>
      <c r="R1362">
        <v>0</v>
      </c>
      <c r="S1362">
        <v>0</v>
      </c>
      <c r="T1362">
        <v>215.2532736</v>
      </c>
      <c r="U1362">
        <f t="shared" si="42"/>
        <v>0</v>
      </c>
      <c r="V1362">
        <f t="shared" si="43"/>
        <v>0</v>
      </c>
    </row>
    <row r="1363" spans="1:22" x14ac:dyDescent="0.2">
      <c r="A1363" t="s">
        <v>2299</v>
      </c>
      <c r="B1363" t="s">
        <v>30</v>
      </c>
      <c r="C1363" t="s">
        <v>76</v>
      </c>
      <c r="D1363" t="s">
        <v>77</v>
      </c>
      <c r="E1363">
        <v>20</v>
      </c>
      <c r="F1363" t="s">
        <v>104</v>
      </c>
      <c r="G1363">
        <v>95</v>
      </c>
      <c r="H1363">
        <v>3530512</v>
      </c>
      <c r="I1363">
        <v>80368</v>
      </c>
      <c r="J1363">
        <v>18</v>
      </c>
      <c r="K1363">
        <v>67</v>
      </c>
      <c r="L1363">
        <v>-3450144</v>
      </c>
      <c r="M1363" s="1" t="s">
        <v>2401</v>
      </c>
      <c r="N1363" s="1" t="s">
        <v>2402</v>
      </c>
      <c r="O1363" s="1" t="s">
        <v>2403</v>
      </c>
      <c r="P1363">
        <v>0</v>
      </c>
      <c r="Q1363">
        <v>0</v>
      </c>
      <c r="R1363">
        <v>0</v>
      </c>
      <c r="S1363">
        <v>0</v>
      </c>
      <c r="T1363">
        <v>215.2532736</v>
      </c>
      <c r="U1363">
        <f t="shared" si="42"/>
        <v>0</v>
      </c>
      <c r="V1363">
        <f t="shared" si="43"/>
        <v>0</v>
      </c>
    </row>
    <row r="1364" spans="1:22" x14ac:dyDescent="0.2">
      <c r="A1364" t="s">
        <v>2299</v>
      </c>
      <c r="B1364" t="s">
        <v>30</v>
      </c>
      <c r="C1364" t="s">
        <v>76</v>
      </c>
      <c r="D1364" t="s">
        <v>77</v>
      </c>
      <c r="E1364" s="1" t="s">
        <v>89</v>
      </c>
      <c r="F1364" t="s">
        <v>90</v>
      </c>
      <c r="G1364">
        <v>35</v>
      </c>
      <c r="H1364">
        <v>3839192</v>
      </c>
      <c r="I1364">
        <v>941487</v>
      </c>
      <c r="J1364">
        <v>6</v>
      </c>
      <c r="K1364">
        <v>49</v>
      </c>
      <c r="L1364">
        <v>-2897705</v>
      </c>
      <c r="M1364" s="1" t="s">
        <v>2404</v>
      </c>
      <c r="N1364" s="1" t="s">
        <v>2405</v>
      </c>
      <c r="O1364" s="1" t="s">
        <v>2406</v>
      </c>
      <c r="P1364">
        <v>0</v>
      </c>
      <c r="Q1364">
        <v>0</v>
      </c>
      <c r="R1364">
        <v>1</v>
      </c>
      <c r="S1364">
        <v>0</v>
      </c>
      <c r="T1364">
        <v>215.2532736</v>
      </c>
      <c r="U1364">
        <f t="shared" si="42"/>
        <v>0</v>
      </c>
      <c r="V1364">
        <f t="shared" si="43"/>
        <v>1</v>
      </c>
    </row>
    <row r="1365" spans="1:22" x14ac:dyDescent="0.2">
      <c r="A1365" t="s">
        <v>2299</v>
      </c>
      <c r="B1365" t="s">
        <v>30</v>
      </c>
      <c r="C1365" t="s">
        <v>76</v>
      </c>
      <c r="D1365" t="s">
        <v>77</v>
      </c>
      <c r="E1365" s="1" t="s">
        <v>163</v>
      </c>
      <c r="F1365" t="s">
        <v>224</v>
      </c>
      <c r="G1365">
        <v>41</v>
      </c>
      <c r="H1365">
        <v>388102</v>
      </c>
      <c r="I1365">
        <v>30204</v>
      </c>
      <c r="J1365">
        <v>29</v>
      </c>
      <c r="K1365">
        <v>59</v>
      </c>
      <c r="L1365">
        <v>-357898</v>
      </c>
      <c r="M1365" s="1" t="s">
        <v>2407</v>
      </c>
      <c r="N1365">
        <v>7.2205514623266201E-2</v>
      </c>
      <c r="O1365" s="1" t="s">
        <v>2408</v>
      </c>
      <c r="P1365">
        <v>0</v>
      </c>
      <c r="Q1365">
        <v>0</v>
      </c>
      <c r="R1365">
        <v>0</v>
      </c>
      <c r="S1365">
        <v>0</v>
      </c>
      <c r="T1365">
        <v>215.2532736</v>
      </c>
      <c r="U1365">
        <f t="shared" si="42"/>
        <v>0</v>
      </c>
      <c r="V1365">
        <f t="shared" si="43"/>
        <v>0</v>
      </c>
    </row>
    <row r="1366" spans="1:22" x14ac:dyDescent="0.2">
      <c r="A1366" t="s">
        <v>2299</v>
      </c>
      <c r="B1366" t="s">
        <v>30</v>
      </c>
      <c r="C1366" t="s">
        <v>76</v>
      </c>
      <c r="D1366" t="s">
        <v>77</v>
      </c>
      <c r="E1366">
        <v>15</v>
      </c>
      <c r="F1366" t="s">
        <v>88</v>
      </c>
      <c r="G1366">
        <v>80</v>
      </c>
      <c r="H1366">
        <v>1259489</v>
      </c>
      <c r="I1366">
        <v>0</v>
      </c>
      <c r="J1366">
        <v>12</v>
      </c>
      <c r="K1366">
        <v>42</v>
      </c>
      <c r="L1366">
        <v>-1259489</v>
      </c>
      <c r="M1366">
        <v>1</v>
      </c>
      <c r="N1366">
        <v>0</v>
      </c>
      <c r="O1366" s="1" t="s">
        <v>2409</v>
      </c>
      <c r="P1366">
        <v>0</v>
      </c>
      <c r="Q1366">
        <v>0</v>
      </c>
      <c r="R1366">
        <v>0</v>
      </c>
      <c r="S1366">
        <v>0</v>
      </c>
      <c r="T1366">
        <v>215.2532736</v>
      </c>
      <c r="U1366">
        <f t="shared" si="42"/>
        <v>0</v>
      </c>
      <c r="V1366">
        <f t="shared" si="43"/>
        <v>0</v>
      </c>
    </row>
    <row r="1367" spans="1:22" x14ac:dyDescent="0.2">
      <c r="A1367" t="s">
        <v>2299</v>
      </c>
      <c r="B1367" t="s">
        <v>30</v>
      </c>
      <c r="C1367" t="s">
        <v>76</v>
      </c>
      <c r="D1367" t="s">
        <v>77</v>
      </c>
      <c r="E1367">
        <v>12</v>
      </c>
      <c r="F1367" t="s">
        <v>194</v>
      </c>
      <c r="G1367">
        <v>64</v>
      </c>
      <c r="H1367">
        <v>9971522</v>
      </c>
      <c r="I1367">
        <v>43460431</v>
      </c>
      <c r="J1367">
        <v>4</v>
      </c>
      <c r="K1367">
        <v>23</v>
      </c>
      <c r="L1367">
        <v>33488909</v>
      </c>
      <c r="M1367" s="1" t="s">
        <v>2410</v>
      </c>
      <c r="N1367" s="1" t="s">
        <v>2411</v>
      </c>
      <c r="O1367">
        <v>7.3168003194945697E-3</v>
      </c>
      <c r="P1367">
        <v>1</v>
      </c>
      <c r="Q1367">
        <v>0</v>
      </c>
      <c r="R1367">
        <v>1</v>
      </c>
      <c r="S1367">
        <v>0</v>
      </c>
      <c r="T1367">
        <v>215.2532736</v>
      </c>
      <c r="U1367">
        <f t="shared" si="42"/>
        <v>1</v>
      </c>
      <c r="V1367">
        <f t="shared" si="43"/>
        <v>1</v>
      </c>
    </row>
    <row r="1368" spans="1:22" x14ac:dyDescent="0.2">
      <c r="A1368" t="s">
        <v>2299</v>
      </c>
      <c r="B1368" t="s">
        <v>30</v>
      </c>
      <c r="C1368" t="s">
        <v>76</v>
      </c>
      <c r="D1368" t="s">
        <v>77</v>
      </c>
      <c r="E1368">
        <v>18</v>
      </c>
      <c r="F1368" t="s">
        <v>147</v>
      </c>
      <c r="G1368">
        <v>91</v>
      </c>
      <c r="H1368">
        <v>517348</v>
      </c>
      <c r="I1368">
        <v>74002</v>
      </c>
      <c r="J1368">
        <v>12</v>
      </c>
      <c r="K1368">
        <v>43</v>
      </c>
      <c r="L1368">
        <v>-443346</v>
      </c>
      <c r="M1368" s="1" t="s">
        <v>2412</v>
      </c>
      <c r="N1368" s="1" t="s">
        <v>2413</v>
      </c>
      <c r="O1368" s="1" t="s">
        <v>2414</v>
      </c>
      <c r="P1368">
        <v>0</v>
      </c>
      <c r="Q1368">
        <v>0</v>
      </c>
      <c r="R1368">
        <v>0</v>
      </c>
      <c r="S1368">
        <v>0</v>
      </c>
      <c r="T1368">
        <v>215.2532736</v>
      </c>
      <c r="U1368">
        <f t="shared" si="42"/>
        <v>0</v>
      </c>
      <c r="V1368">
        <f t="shared" si="43"/>
        <v>0</v>
      </c>
    </row>
    <row r="1369" spans="1:22" x14ac:dyDescent="0.2">
      <c r="A1369" t="s">
        <v>2299</v>
      </c>
      <c r="B1369" t="s">
        <v>30</v>
      </c>
      <c r="C1369" t="s">
        <v>76</v>
      </c>
      <c r="D1369" t="s">
        <v>77</v>
      </c>
      <c r="E1369" s="1" t="s">
        <v>82</v>
      </c>
      <c r="F1369" t="s">
        <v>83</v>
      </c>
      <c r="G1369">
        <v>12</v>
      </c>
      <c r="H1369">
        <v>2029917</v>
      </c>
      <c r="I1369">
        <v>803060</v>
      </c>
      <c r="J1369">
        <v>47</v>
      </c>
      <c r="K1369">
        <v>49</v>
      </c>
      <c r="L1369">
        <v>-1226857</v>
      </c>
      <c r="M1369" s="1" t="s">
        <v>2415</v>
      </c>
      <c r="N1369" s="1" t="s">
        <v>2416</v>
      </c>
      <c r="O1369" s="1" t="s">
        <v>2417</v>
      </c>
      <c r="P1369">
        <v>0</v>
      </c>
      <c r="Q1369">
        <v>0</v>
      </c>
      <c r="R1369">
        <v>0</v>
      </c>
      <c r="S1369">
        <v>0</v>
      </c>
      <c r="T1369">
        <v>215.2532736</v>
      </c>
      <c r="U1369">
        <f t="shared" si="42"/>
        <v>0</v>
      </c>
      <c r="V1369">
        <f t="shared" si="43"/>
        <v>0</v>
      </c>
    </row>
    <row r="1370" spans="1:22" x14ac:dyDescent="0.2">
      <c r="A1370" t="s">
        <v>2299</v>
      </c>
      <c r="B1370" t="s">
        <v>30</v>
      </c>
      <c r="C1370" t="s">
        <v>76</v>
      </c>
      <c r="D1370" t="s">
        <v>77</v>
      </c>
      <c r="E1370" s="1" t="s">
        <v>82</v>
      </c>
      <c r="F1370" t="s">
        <v>83</v>
      </c>
      <c r="G1370">
        <v>13</v>
      </c>
      <c r="H1370">
        <v>427731</v>
      </c>
      <c r="I1370">
        <v>0</v>
      </c>
      <c r="J1370">
        <v>13</v>
      </c>
      <c r="K1370">
        <v>59</v>
      </c>
      <c r="L1370">
        <v>-427731</v>
      </c>
      <c r="M1370">
        <v>1</v>
      </c>
      <c r="N1370">
        <v>0</v>
      </c>
      <c r="O1370" s="1" t="s">
        <v>2418</v>
      </c>
      <c r="P1370">
        <v>0</v>
      </c>
      <c r="Q1370">
        <v>0</v>
      </c>
      <c r="R1370">
        <v>0</v>
      </c>
      <c r="S1370">
        <v>0</v>
      </c>
      <c r="T1370">
        <v>215.2532736</v>
      </c>
      <c r="U1370">
        <f t="shared" si="42"/>
        <v>0</v>
      </c>
      <c r="V1370">
        <f t="shared" si="43"/>
        <v>0</v>
      </c>
    </row>
    <row r="1371" spans="1:22" x14ac:dyDescent="0.2">
      <c r="A1371" t="s">
        <v>2299</v>
      </c>
      <c r="B1371" t="s">
        <v>30</v>
      </c>
      <c r="C1371" t="s">
        <v>76</v>
      </c>
      <c r="D1371" t="s">
        <v>77</v>
      </c>
      <c r="E1371">
        <v>11</v>
      </c>
      <c r="F1371" t="s">
        <v>127</v>
      </c>
      <c r="G1371">
        <v>52</v>
      </c>
      <c r="H1371">
        <v>1343558</v>
      </c>
      <c r="I1371">
        <v>47810199</v>
      </c>
      <c r="J1371">
        <v>13</v>
      </c>
      <c r="K1371">
        <v>9</v>
      </c>
      <c r="L1371">
        <v>46466641</v>
      </c>
      <c r="M1371" s="1" t="s">
        <v>2419</v>
      </c>
      <c r="N1371" s="1" t="s">
        <v>2420</v>
      </c>
      <c r="O1371">
        <v>6.73095787687114E-3</v>
      </c>
      <c r="P1371">
        <v>0</v>
      </c>
      <c r="Q1371">
        <v>0</v>
      </c>
      <c r="R1371">
        <v>0</v>
      </c>
      <c r="S1371">
        <v>1</v>
      </c>
      <c r="T1371">
        <v>215.2532736</v>
      </c>
      <c r="U1371">
        <f t="shared" si="42"/>
        <v>0</v>
      </c>
      <c r="V1371">
        <f t="shared" si="43"/>
        <v>1</v>
      </c>
    </row>
    <row r="1372" spans="1:22" x14ac:dyDescent="0.2">
      <c r="A1372" t="s">
        <v>2299</v>
      </c>
      <c r="B1372" t="s">
        <v>30</v>
      </c>
      <c r="C1372" t="s">
        <v>76</v>
      </c>
      <c r="D1372" t="s">
        <v>77</v>
      </c>
      <c r="E1372">
        <v>15</v>
      </c>
      <c r="F1372" t="s">
        <v>88</v>
      </c>
      <c r="G1372">
        <v>78</v>
      </c>
      <c r="H1372">
        <v>1969654</v>
      </c>
      <c r="I1372">
        <v>4227665</v>
      </c>
      <c r="J1372">
        <v>29</v>
      </c>
      <c r="K1372">
        <v>3</v>
      </c>
      <c r="L1372">
        <v>2258011</v>
      </c>
      <c r="M1372" s="1" t="s">
        <v>2421</v>
      </c>
      <c r="N1372" s="1" t="s">
        <v>2422</v>
      </c>
      <c r="O1372" s="1" t="s">
        <v>2423</v>
      </c>
      <c r="P1372">
        <v>0</v>
      </c>
      <c r="Q1372">
        <v>1</v>
      </c>
      <c r="R1372">
        <v>0</v>
      </c>
      <c r="S1372">
        <v>1</v>
      </c>
      <c r="T1372">
        <v>215.2532736</v>
      </c>
      <c r="U1372">
        <f t="shared" si="42"/>
        <v>1</v>
      </c>
      <c r="V1372">
        <f t="shared" si="43"/>
        <v>1</v>
      </c>
    </row>
    <row r="1373" spans="1:22" x14ac:dyDescent="0.2">
      <c r="A1373" t="s">
        <v>2299</v>
      </c>
      <c r="B1373" t="s">
        <v>30</v>
      </c>
      <c r="C1373" t="s">
        <v>76</v>
      </c>
      <c r="D1373" t="s">
        <v>77</v>
      </c>
      <c r="E1373">
        <v>15</v>
      </c>
      <c r="F1373" t="s">
        <v>88</v>
      </c>
      <c r="G1373">
        <v>81</v>
      </c>
      <c r="H1373">
        <v>607725</v>
      </c>
      <c r="I1373">
        <v>50545</v>
      </c>
      <c r="J1373">
        <v>49</v>
      </c>
      <c r="K1373">
        <v>41</v>
      </c>
      <c r="L1373">
        <v>-557180</v>
      </c>
      <c r="M1373" s="1" t="s">
        <v>2424</v>
      </c>
      <c r="N1373">
        <v>7.6784602062983195E-2</v>
      </c>
      <c r="O1373" s="1" t="s">
        <v>2425</v>
      </c>
      <c r="P1373">
        <v>0</v>
      </c>
      <c r="Q1373">
        <v>0</v>
      </c>
      <c r="R1373">
        <v>0</v>
      </c>
      <c r="S1373">
        <v>0</v>
      </c>
      <c r="T1373">
        <v>215.2532736</v>
      </c>
      <c r="U1373">
        <f t="shared" si="42"/>
        <v>0</v>
      </c>
      <c r="V1373">
        <f t="shared" si="43"/>
        <v>0</v>
      </c>
    </row>
    <row r="1374" spans="1:22" x14ac:dyDescent="0.2">
      <c r="A1374" t="s">
        <v>2299</v>
      </c>
      <c r="B1374" t="s">
        <v>30</v>
      </c>
      <c r="C1374" t="s">
        <v>76</v>
      </c>
      <c r="D1374" t="s">
        <v>77</v>
      </c>
      <c r="E1374" s="1" t="s">
        <v>155</v>
      </c>
      <c r="F1374" t="s">
        <v>156</v>
      </c>
      <c r="G1374" s="1" t="s">
        <v>85</v>
      </c>
      <c r="H1374">
        <v>244194</v>
      </c>
      <c r="I1374">
        <v>0</v>
      </c>
      <c r="J1374">
        <v>43</v>
      </c>
      <c r="K1374">
        <v>72</v>
      </c>
      <c r="L1374">
        <v>-244194</v>
      </c>
      <c r="M1374">
        <v>1</v>
      </c>
      <c r="N1374">
        <v>0</v>
      </c>
      <c r="O1374" s="1" t="s">
        <v>2426</v>
      </c>
      <c r="P1374">
        <v>0</v>
      </c>
      <c r="Q1374">
        <v>0</v>
      </c>
      <c r="R1374">
        <v>0</v>
      </c>
      <c r="S1374">
        <v>0</v>
      </c>
      <c r="T1374">
        <v>215.2532736</v>
      </c>
      <c r="U1374">
        <f t="shared" si="42"/>
        <v>0</v>
      </c>
      <c r="V1374">
        <f t="shared" si="43"/>
        <v>0</v>
      </c>
    </row>
    <row r="1375" spans="1:22" x14ac:dyDescent="0.2">
      <c r="A1375" t="s">
        <v>2299</v>
      </c>
      <c r="B1375" t="s">
        <v>30</v>
      </c>
      <c r="C1375" t="s">
        <v>76</v>
      </c>
      <c r="D1375" t="s">
        <v>77</v>
      </c>
      <c r="E1375">
        <v>11</v>
      </c>
      <c r="F1375" t="s">
        <v>127</v>
      </c>
      <c r="G1375">
        <v>62</v>
      </c>
      <c r="H1375">
        <v>3236784</v>
      </c>
      <c r="I1375">
        <v>64035662</v>
      </c>
      <c r="J1375">
        <v>26</v>
      </c>
      <c r="K1375">
        <v>20</v>
      </c>
      <c r="L1375">
        <v>60798878</v>
      </c>
      <c r="M1375">
        <v>4.8114557927624597E-2</v>
      </c>
      <c r="N1375" s="1" t="s">
        <v>2427</v>
      </c>
      <c r="O1375">
        <v>9.2120730527289803E-3</v>
      </c>
      <c r="P1375">
        <v>0</v>
      </c>
      <c r="Q1375">
        <v>0</v>
      </c>
      <c r="R1375">
        <v>0</v>
      </c>
      <c r="S1375">
        <v>0</v>
      </c>
      <c r="T1375">
        <v>215.2532736</v>
      </c>
      <c r="U1375">
        <f t="shared" si="42"/>
        <v>0</v>
      </c>
      <c r="V1375">
        <f t="shared" si="43"/>
        <v>0</v>
      </c>
    </row>
    <row r="1376" spans="1:22" x14ac:dyDescent="0.2">
      <c r="A1376" t="s">
        <v>2299</v>
      </c>
      <c r="B1376" t="s">
        <v>30</v>
      </c>
      <c r="C1376" t="s">
        <v>76</v>
      </c>
      <c r="D1376" t="s">
        <v>77</v>
      </c>
      <c r="E1376" s="1" t="s">
        <v>163</v>
      </c>
      <c r="F1376" t="s">
        <v>224</v>
      </c>
      <c r="G1376">
        <v>42</v>
      </c>
      <c r="H1376">
        <v>568918</v>
      </c>
      <c r="I1376">
        <v>18601440</v>
      </c>
      <c r="J1376">
        <v>13</v>
      </c>
      <c r="K1376">
        <v>21</v>
      </c>
      <c r="L1376">
        <v>18032522</v>
      </c>
      <c r="M1376" s="1" t="s">
        <v>2428</v>
      </c>
      <c r="N1376" s="1" t="s">
        <v>2429</v>
      </c>
      <c r="O1376">
        <v>2.6251273566441601E-3</v>
      </c>
      <c r="P1376">
        <v>0</v>
      </c>
      <c r="Q1376">
        <v>0</v>
      </c>
      <c r="R1376">
        <v>0</v>
      </c>
      <c r="S1376">
        <v>0</v>
      </c>
      <c r="T1376">
        <v>215.2532736</v>
      </c>
      <c r="U1376">
        <f t="shared" si="42"/>
        <v>0</v>
      </c>
      <c r="V1376">
        <f t="shared" si="43"/>
        <v>0</v>
      </c>
    </row>
    <row r="1377" spans="1:22" x14ac:dyDescent="0.2">
      <c r="A1377" t="s">
        <v>2299</v>
      </c>
      <c r="B1377" t="s">
        <v>30</v>
      </c>
      <c r="C1377" t="s">
        <v>76</v>
      </c>
      <c r="D1377" t="s">
        <v>77</v>
      </c>
      <c r="E1377" s="1" t="s">
        <v>82</v>
      </c>
      <c r="F1377" t="s">
        <v>83</v>
      </c>
      <c r="G1377" s="1" t="s">
        <v>99</v>
      </c>
      <c r="H1377">
        <v>14439169</v>
      </c>
      <c r="I1377">
        <v>73687827</v>
      </c>
      <c r="J1377">
        <v>24</v>
      </c>
      <c r="K1377">
        <v>15</v>
      </c>
      <c r="L1377">
        <v>59248658</v>
      </c>
      <c r="M1377" s="1" t="s">
        <v>2430</v>
      </c>
      <c r="N1377" s="1" t="s">
        <v>2431</v>
      </c>
      <c r="O1377">
        <v>1.2067828261656401E-2</v>
      </c>
      <c r="P1377">
        <v>0</v>
      </c>
      <c r="Q1377">
        <v>0</v>
      </c>
      <c r="R1377">
        <v>0</v>
      </c>
      <c r="S1377">
        <v>0</v>
      </c>
      <c r="T1377">
        <v>215.2532736</v>
      </c>
      <c r="U1377">
        <f t="shared" si="42"/>
        <v>0</v>
      </c>
      <c r="V1377">
        <f t="shared" si="43"/>
        <v>0</v>
      </c>
    </row>
    <row r="1378" spans="1:22" x14ac:dyDescent="0.2">
      <c r="A1378" t="s">
        <v>2299</v>
      </c>
      <c r="B1378" t="s">
        <v>30</v>
      </c>
      <c r="C1378" t="s">
        <v>76</v>
      </c>
      <c r="D1378" t="s">
        <v>77</v>
      </c>
      <c r="E1378">
        <v>10</v>
      </c>
      <c r="F1378" t="s">
        <v>119</v>
      </c>
      <c r="G1378">
        <v>47</v>
      </c>
      <c r="H1378">
        <v>1240269</v>
      </c>
      <c r="I1378">
        <v>51253</v>
      </c>
      <c r="J1378">
        <v>51</v>
      </c>
      <c r="K1378">
        <v>26</v>
      </c>
      <c r="L1378">
        <v>-1189016</v>
      </c>
      <c r="M1378" s="1" t="s">
        <v>2432</v>
      </c>
      <c r="N1378">
        <v>3.9684186564378998E-2</v>
      </c>
      <c r="O1378" s="1" t="s">
        <v>2433</v>
      </c>
      <c r="P1378">
        <v>0</v>
      </c>
      <c r="Q1378">
        <v>0</v>
      </c>
      <c r="R1378">
        <v>0</v>
      </c>
      <c r="S1378">
        <v>0</v>
      </c>
      <c r="T1378">
        <v>215.2532736</v>
      </c>
      <c r="U1378">
        <f t="shared" si="42"/>
        <v>0</v>
      </c>
      <c r="V1378">
        <f t="shared" si="43"/>
        <v>0</v>
      </c>
    </row>
    <row r="1379" spans="1:22" x14ac:dyDescent="0.2">
      <c r="A1379" t="s">
        <v>2299</v>
      </c>
      <c r="B1379" t="s">
        <v>30</v>
      </c>
      <c r="C1379" t="s">
        <v>76</v>
      </c>
      <c r="D1379" t="s">
        <v>77</v>
      </c>
      <c r="E1379">
        <v>11</v>
      </c>
      <c r="F1379" t="s">
        <v>127</v>
      </c>
      <c r="G1379">
        <v>61</v>
      </c>
      <c r="H1379">
        <v>3780341</v>
      </c>
      <c r="I1379">
        <v>321914276</v>
      </c>
      <c r="J1379">
        <v>10</v>
      </c>
      <c r="K1379">
        <v>11</v>
      </c>
      <c r="L1379">
        <v>318133935</v>
      </c>
      <c r="M1379" s="1" t="s">
        <v>2434</v>
      </c>
      <c r="N1379" s="1" t="s">
        <v>2435</v>
      </c>
      <c r="O1379" s="1" t="s">
        <v>2436</v>
      </c>
      <c r="P1379">
        <v>0</v>
      </c>
      <c r="Q1379">
        <v>0</v>
      </c>
      <c r="R1379">
        <v>1</v>
      </c>
      <c r="S1379">
        <v>0</v>
      </c>
      <c r="T1379">
        <v>215.2532736</v>
      </c>
      <c r="U1379">
        <f t="shared" si="42"/>
        <v>0</v>
      </c>
      <c r="V1379">
        <f t="shared" si="43"/>
        <v>1</v>
      </c>
    </row>
    <row r="1380" spans="1:22" x14ac:dyDescent="0.2">
      <c r="A1380" t="s">
        <v>2299</v>
      </c>
      <c r="B1380" t="s">
        <v>30</v>
      </c>
      <c r="C1380" t="s">
        <v>76</v>
      </c>
      <c r="D1380" t="s">
        <v>77</v>
      </c>
      <c r="E1380">
        <v>15</v>
      </c>
      <c r="F1380" t="s">
        <v>88</v>
      </c>
      <c r="G1380">
        <v>75</v>
      </c>
      <c r="H1380">
        <v>127864</v>
      </c>
      <c r="I1380">
        <v>0</v>
      </c>
      <c r="J1380">
        <v>57</v>
      </c>
      <c r="K1380">
        <v>52</v>
      </c>
      <c r="L1380">
        <v>-127864</v>
      </c>
      <c r="M1380">
        <v>1</v>
      </c>
      <c r="N1380">
        <v>0</v>
      </c>
      <c r="O1380" s="1" t="s">
        <v>2437</v>
      </c>
      <c r="P1380">
        <v>0</v>
      </c>
      <c r="Q1380">
        <v>0</v>
      </c>
      <c r="R1380">
        <v>0</v>
      </c>
      <c r="S1380">
        <v>0</v>
      </c>
      <c r="T1380">
        <v>215.2532736</v>
      </c>
      <c r="U1380">
        <f t="shared" si="42"/>
        <v>0</v>
      </c>
      <c r="V1380">
        <f t="shared" si="43"/>
        <v>0</v>
      </c>
    </row>
    <row r="1381" spans="1:22" x14ac:dyDescent="0.2">
      <c r="A1381" t="s">
        <v>2299</v>
      </c>
      <c r="B1381" t="s">
        <v>30</v>
      </c>
      <c r="C1381" t="s">
        <v>76</v>
      </c>
      <c r="D1381" t="s">
        <v>77</v>
      </c>
      <c r="E1381">
        <v>17</v>
      </c>
      <c r="F1381" t="s">
        <v>97</v>
      </c>
      <c r="G1381">
        <v>89</v>
      </c>
      <c r="H1381">
        <v>127229</v>
      </c>
      <c r="I1381">
        <v>0</v>
      </c>
      <c r="J1381">
        <v>58</v>
      </c>
      <c r="K1381">
        <v>68</v>
      </c>
      <c r="L1381">
        <v>-127229</v>
      </c>
      <c r="M1381">
        <v>1</v>
      </c>
      <c r="N1381">
        <v>0</v>
      </c>
      <c r="O1381" s="1" t="s">
        <v>2438</v>
      </c>
      <c r="P1381">
        <v>0</v>
      </c>
      <c r="Q1381">
        <v>0</v>
      </c>
      <c r="R1381">
        <v>0</v>
      </c>
      <c r="S1381">
        <v>0</v>
      </c>
      <c r="T1381">
        <v>215.2532736</v>
      </c>
      <c r="U1381">
        <f t="shared" si="42"/>
        <v>0</v>
      </c>
      <c r="V1381">
        <f t="shared" si="43"/>
        <v>0</v>
      </c>
    </row>
    <row r="1382" spans="1:22" x14ac:dyDescent="0.2">
      <c r="A1382" t="s">
        <v>2299</v>
      </c>
      <c r="B1382" t="s">
        <v>30</v>
      </c>
      <c r="C1382" t="s">
        <v>76</v>
      </c>
      <c r="D1382" t="s">
        <v>77</v>
      </c>
      <c r="E1382" s="1" t="s">
        <v>89</v>
      </c>
      <c r="F1382" t="s">
        <v>90</v>
      </c>
      <c r="G1382">
        <v>37</v>
      </c>
      <c r="H1382">
        <v>284715</v>
      </c>
      <c r="I1382">
        <v>2255</v>
      </c>
      <c r="J1382">
        <v>8</v>
      </c>
      <c r="K1382">
        <v>41</v>
      </c>
      <c r="L1382">
        <v>-282460</v>
      </c>
      <c r="M1382" s="1" t="s">
        <v>2439</v>
      </c>
      <c r="N1382">
        <v>7.8579642471338397E-3</v>
      </c>
      <c r="O1382" s="1" t="s">
        <v>2440</v>
      </c>
      <c r="P1382">
        <v>0</v>
      </c>
      <c r="Q1382">
        <v>0</v>
      </c>
      <c r="R1382">
        <v>1</v>
      </c>
      <c r="S1382">
        <v>0</v>
      </c>
      <c r="T1382">
        <v>215.2532736</v>
      </c>
      <c r="U1382">
        <f t="shared" si="42"/>
        <v>0</v>
      </c>
      <c r="V1382">
        <f t="shared" si="43"/>
        <v>1</v>
      </c>
    </row>
    <row r="1383" spans="1:22" x14ac:dyDescent="0.2">
      <c r="A1383" t="s">
        <v>2299</v>
      </c>
      <c r="B1383" t="s">
        <v>30</v>
      </c>
      <c r="C1383" t="s">
        <v>76</v>
      </c>
      <c r="D1383" t="s">
        <v>77</v>
      </c>
      <c r="E1383">
        <v>11</v>
      </c>
      <c r="F1383" t="s">
        <v>127</v>
      </c>
      <c r="G1383">
        <v>55</v>
      </c>
      <c r="H1383">
        <v>1373597</v>
      </c>
      <c r="I1383">
        <v>557911</v>
      </c>
      <c r="J1383">
        <v>16</v>
      </c>
      <c r="K1383">
        <v>42</v>
      </c>
      <c r="L1383">
        <v>-815686</v>
      </c>
      <c r="M1383" s="1" t="s">
        <v>2441</v>
      </c>
      <c r="N1383" s="1" t="s">
        <v>2442</v>
      </c>
      <c r="O1383" s="1" t="s">
        <v>2443</v>
      </c>
      <c r="P1383">
        <v>0</v>
      </c>
      <c r="Q1383">
        <v>0</v>
      </c>
      <c r="R1383">
        <v>0</v>
      </c>
      <c r="S1383">
        <v>0</v>
      </c>
      <c r="T1383">
        <v>215.2532736</v>
      </c>
      <c r="U1383">
        <f t="shared" si="42"/>
        <v>0</v>
      </c>
      <c r="V1383">
        <f t="shared" si="43"/>
        <v>0</v>
      </c>
    </row>
    <row r="1384" spans="1:22" x14ac:dyDescent="0.2">
      <c r="A1384" t="s">
        <v>2299</v>
      </c>
      <c r="B1384" t="s">
        <v>30</v>
      </c>
      <c r="C1384" t="s">
        <v>76</v>
      </c>
      <c r="D1384" t="s">
        <v>77</v>
      </c>
      <c r="E1384">
        <v>12</v>
      </c>
      <c r="F1384" t="s">
        <v>194</v>
      </c>
      <c r="G1384">
        <v>65</v>
      </c>
      <c r="H1384">
        <v>245584</v>
      </c>
      <c r="I1384">
        <v>1591461</v>
      </c>
      <c r="J1384">
        <v>15</v>
      </c>
      <c r="K1384">
        <v>30</v>
      </c>
      <c r="L1384">
        <v>1345877</v>
      </c>
      <c r="M1384" s="1" t="s">
        <v>2444</v>
      </c>
      <c r="N1384" s="1" t="s">
        <v>2445</v>
      </c>
      <c r="O1384" s="1" t="s">
        <v>2446</v>
      </c>
      <c r="P1384">
        <v>0</v>
      </c>
      <c r="Q1384">
        <v>0</v>
      </c>
      <c r="R1384">
        <v>0</v>
      </c>
      <c r="S1384">
        <v>0</v>
      </c>
      <c r="T1384">
        <v>215.2532736</v>
      </c>
      <c r="U1384">
        <f t="shared" si="42"/>
        <v>0</v>
      </c>
      <c r="V1384">
        <f t="shared" si="43"/>
        <v>0</v>
      </c>
    </row>
    <row r="1385" spans="1:22" x14ac:dyDescent="0.2">
      <c r="A1385" t="s">
        <v>2299</v>
      </c>
      <c r="B1385" t="s">
        <v>30</v>
      </c>
      <c r="C1385" t="s">
        <v>76</v>
      </c>
      <c r="D1385" t="s">
        <v>77</v>
      </c>
      <c r="E1385" s="1" t="s">
        <v>82</v>
      </c>
      <c r="F1385" t="s">
        <v>83</v>
      </c>
      <c r="G1385" s="1" t="s">
        <v>89</v>
      </c>
      <c r="H1385">
        <v>160312</v>
      </c>
      <c r="I1385">
        <v>5104712</v>
      </c>
      <c r="J1385">
        <v>14</v>
      </c>
      <c r="K1385">
        <v>20</v>
      </c>
      <c r="L1385">
        <v>4944400</v>
      </c>
      <c r="M1385" s="1" t="s">
        <v>2447</v>
      </c>
      <c r="N1385" s="1" t="s">
        <v>2448</v>
      </c>
      <c r="O1385" s="1" t="s">
        <v>2449</v>
      </c>
      <c r="P1385">
        <v>0</v>
      </c>
      <c r="Q1385">
        <v>0</v>
      </c>
      <c r="R1385">
        <v>0</v>
      </c>
      <c r="S1385">
        <v>0</v>
      </c>
      <c r="T1385">
        <v>215.2532736</v>
      </c>
      <c r="U1385">
        <f t="shared" si="42"/>
        <v>0</v>
      </c>
      <c r="V1385">
        <f t="shared" si="43"/>
        <v>0</v>
      </c>
    </row>
    <row r="1386" spans="1:22" x14ac:dyDescent="0.2">
      <c r="A1386" t="s">
        <v>2299</v>
      </c>
      <c r="B1386" t="s">
        <v>30</v>
      </c>
      <c r="C1386" t="s">
        <v>76</v>
      </c>
      <c r="D1386" t="s">
        <v>77</v>
      </c>
      <c r="E1386" s="1" t="s">
        <v>93</v>
      </c>
      <c r="F1386" t="s">
        <v>94</v>
      </c>
      <c r="G1386">
        <v>45</v>
      </c>
      <c r="H1386">
        <v>71593</v>
      </c>
      <c r="I1386">
        <v>0</v>
      </c>
      <c r="J1386">
        <v>10</v>
      </c>
      <c r="K1386">
        <v>45</v>
      </c>
      <c r="L1386">
        <v>-71593</v>
      </c>
      <c r="M1386">
        <v>1</v>
      </c>
      <c r="N1386">
        <v>0</v>
      </c>
      <c r="O1386" s="1" t="s">
        <v>2450</v>
      </c>
      <c r="P1386">
        <v>0</v>
      </c>
      <c r="Q1386">
        <v>0</v>
      </c>
      <c r="R1386">
        <v>1</v>
      </c>
      <c r="S1386">
        <v>0</v>
      </c>
      <c r="T1386">
        <v>215.2532736</v>
      </c>
      <c r="U1386">
        <f t="shared" si="42"/>
        <v>0</v>
      </c>
      <c r="V1386">
        <f t="shared" si="43"/>
        <v>1</v>
      </c>
    </row>
    <row r="1387" spans="1:22" x14ac:dyDescent="0.2">
      <c r="A1387" t="s">
        <v>2299</v>
      </c>
      <c r="B1387" t="s">
        <v>30</v>
      </c>
      <c r="C1387" t="s">
        <v>76</v>
      </c>
      <c r="D1387" t="s">
        <v>77</v>
      </c>
      <c r="E1387">
        <v>11</v>
      </c>
      <c r="F1387" t="s">
        <v>127</v>
      </c>
      <c r="G1387">
        <v>53</v>
      </c>
      <c r="H1387">
        <v>60422</v>
      </c>
      <c r="I1387">
        <v>0</v>
      </c>
      <c r="J1387">
        <v>39</v>
      </c>
      <c r="K1387">
        <v>49</v>
      </c>
      <c r="L1387">
        <v>-60422</v>
      </c>
      <c r="M1387">
        <v>1</v>
      </c>
      <c r="N1387">
        <v>0</v>
      </c>
      <c r="O1387" s="1" t="s">
        <v>2451</v>
      </c>
      <c r="P1387">
        <v>0</v>
      </c>
      <c r="Q1387">
        <v>0</v>
      </c>
      <c r="R1387">
        <v>0</v>
      </c>
      <c r="S1387">
        <v>0</v>
      </c>
      <c r="T1387">
        <v>215.2532736</v>
      </c>
      <c r="U1387">
        <f t="shared" si="42"/>
        <v>0</v>
      </c>
      <c r="V1387">
        <f t="shared" si="43"/>
        <v>0</v>
      </c>
    </row>
    <row r="1388" spans="1:22" x14ac:dyDescent="0.2">
      <c r="A1388" t="s">
        <v>2299</v>
      </c>
      <c r="B1388" t="s">
        <v>30</v>
      </c>
      <c r="C1388" t="s">
        <v>76</v>
      </c>
      <c r="D1388" t="s">
        <v>77</v>
      </c>
      <c r="E1388" s="1" t="s">
        <v>163</v>
      </c>
      <c r="F1388" t="s">
        <v>224</v>
      </c>
      <c r="G1388">
        <v>43</v>
      </c>
      <c r="H1388">
        <v>6787</v>
      </c>
      <c r="I1388">
        <v>341445</v>
      </c>
      <c r="J1388">
        <v>46</v>
      </c>
      <c r="K1388">
        <v>30</v>
      </c>
      <c r="L1388">
        <v>334658</v>
      </c>
      <c r="M1388" s="1" t="s">
        <v>2452</v>
      </c>
      <c r="N1388" s="1" t="s">
        <v>2453</v>
      </c>
      <c r="O1388" s="1" t="s">
        <v>2454</v>
      </c>
      <c r="P1388">
        <v>0</v>
      </c>
      <c r="Q1388">
        <v>0</v>
      </c>
      <c r="R1388">
        <v>0</v>
      </c>
      <c r="S1388">
        <v>0</v>
      </c>
      <c r="T1388">
        <v>215.2532736</v>
      </c>
      <c r="U1388">
        <f t="shared" si="42"/>
        <v>0</v>
      </c>
      <c r="V1388">
        <f t="shared" si="43"/>
        <v>0</v>
      </c>
    </row>
    <row r="1389" spans="1:22" x14ac:dyDescent="0.2">
      <c r="A1389" t="s">
        <v>2299</v>
      </c>
      <c r="B1389" t="s">
        <v>30</v>
      </c>
      <c r="C1389" t="s">
        <v>76</v>
      </c>
      <c r="D1389" t="s">
        <v>77</v>
      </c>
      <c r="E1389">
        <v>11</v>
      </c>
      <c r="F1389" t="s">
        <v>127</v>
      </c>
      <c r="G1389">
        <v>54</v>
      </c>
      <c r="H1389">
        <v>347834</v>
      </c>
      <c r="I1389">
        <v>269027</v>
      </c>
      <c r="J1389">
        <v>40</v>
      </c>
      <c r="K1389">
        <v>55</v>
      </c>
      <c r="L1389">
        <v>-78807</v>
      </c>
      <c r="M1389" s="1" t="s">
        <v>2455</v>
      </c>
      <c r="N1389" s="1" t="s">
        <v>2456</v>
      </c>
      <c r="O1389" s="1" t="s">
        <v>2457</v>
      </c>
      <c r="P1389">
        <v>0</v>
      </c>
      <c r="Q1389">
        <v>0</v>
      </c>
      <c r="R1389">
        <v>0</v>
      </c>
      <c r="S1389">
        <v>0</v>
      </c>
      <c r="T1389">
        <v>215.2532736</v>
      </c>
      <c r="U1389">
        <f t="shared" si="42"/>
        <v>0</v>
      </c>
      <c r="V1389">
        <f t="shared" si="43"/>
        <v>0</v>
      </c>
    </row>
    <row r="1390" spans="1:22" x14ac:dyDescent="0.2">
      <c r="A1390" t="s">
        <v>2299</v>
      </c>
      <c r="B1390" t="s">
        <v>30</v>
      </c>
      <c r="C1390" t="s">
        <v>76</v>
      </c>
      <c r="D1390" t="s">
        <v>77</v>
      </c>
      <c r="E1390">
        <v>11</v>
      </c>
      <c r="F1390" t="s">
        <v>127</v>
      </c>
      <c r="G1390">
        <v>58</v>
      </c>
      <c r="H1390">
        <v>29993</v>
      </c>
      <c r="I1390">
        <v>91257</v>
      </c>
      <c r="J1390">
        <v>21</v>
      </c>
      <c r="K1390">
        <v>44</v>
      </c>
      <c r="L1390">
        <v>61264</v>
      </c>
      <c r="M1390" s="1" t="s">
        <v>2458</v>
      </c>
      <c r="N1390" s="1" t="s">
        <v>2459</v>
      </c>
      <c r="O1390" s="1" t="s">
        <v>2460</v>
      </c>
      <c r="P1390">
        <v>0</v>
      </c>
      <c r="Q1390">
        <v>0</v>
      </c>
      <c r="R1390">
        <v>0</v>
      </c>
      <c r="S1390">
        <v>0</v>
      </c>
      <c r="T1390">
        <v>215.2532736</v>
      </c>
      <c r="U1390">
        <f t="shared" si="42"/>
        <v>0</v>
      </c>
      <c r="V1390">
        <f t="shared" si="43"/>
        <v>0</v>
      </c>
    </row>
    <row r="1391" spans="1:22" x14ac:dyDescent="0.2">
      <c r="A1391" t="s">
        <v>2299</v>
      </c>
      <c r="B1391" t="s">
        <v>30</v>
      </c>
      <c r="C1391" t="s">
        <v>76</v>
      </c>
      <c r="D1391" t="s">
        <v>77</v>
      </c>
      <c r="E1391">
        <v>11</v>
      </c>
      <c r="F1391" t="s">
        <v>127</v>
      </c>
      <c r="G1391">
        <v>60</v>
      </c>
      <c r="H1391">
        <v>33758</v>
      </c>
      <c r="I1391">
        <v>374976</v>
      </c>
      <c r="J1391">
        <v>14</v>
      </c>
      <c r="K1391">
        <v>35</v>
      </c>
      <c r="L1391">
        <v>341218</v>
      </c>
      <c r="M1391">
        <v>8.2591612148732396E-2</v>
      </c>
      <c r="N1391" s="1" t="s">
        <v>2461</v>
      </c>
      <c r="O1391" s="1" t="s">
        <v>2462</v>
      </c>
      <c r="P1391">
        <v>0</v>
      </c>
      <c r="Q1391">
        <v>0</v>
      </c>
      <c r="R1391">
        <v>0</v>
      </c>
      <c r="S1391">
        <v>0</v>
      </c>
      <c r="T1391">
        <v>215.2532736</v>
      </c>
      <c r="U1391">
        <f t="shared" si="42"/>
        <v>0</v>
      </c>
      <c r="V1391">
        <f t="shared" si="43"/>
        <v>0</v>
      </c>
    </row>
    <row r="1392" spans="1:22" x14ac:dyDescent="0.2">
      <c r="A1392" t="s">
        <v>2299</v>
      </c>
      <c r="B1392" t="s">
        <v>30</v>
      </c>
      <c r="C1392" t="s">
        <v>76</v>
      </c>
      <c r="D1392" t="s">
        <v>77</v>
      </c>
      <c r="E1392">
        <v>12</v>
      </c>
      <c r="F1392" t="s">
        <v>194</v>
      </c>
      <c r="G1392">
        <v>67</v>
      </c>
      <c r="H1392">
        <v>37673</v>
      </c>
      <c r="I1392">
        <v>24694</v>
      </c>
      <c r="J1392">
        <v>22</v>
      </c>
      <c r="K1392">
        <v>34</v>
      </c>
      <c r="L1392">
        <v>-12979</v>
      </c>
      <c r="M1392" s="1" t="s">
        <v>2463</v>
      </c>
      <c r="N1392" s="1" t="s">
        <v>2464</v>
      </c>
      <c r="O1392" s="1" t="s">
        <v>2465</v>
      </c>
      <c r="P1392">
        <v>0</v>
      </c>
      <c r="Q1392">
        <v>0</v>
      </c>
      <c r="R1392">
        <v>0</v>
      </c>
      <c r="S1392">
        <v>0</v>
      </c>
      <c r="T1392">
        <v>215.2532736</v>
      </c>
      <c r="U1392">
        <f t="shared" si="42"/>
        <v>0</v>
      </c>
      <c r="V1392">
        <f t="shared" si="43"/>
        <v>0</v>
      </c>
    </row>
    <row r="1393" spans="1:22" x14ac:dyDescent="0.2">
      <c r="A1393" t="s">
        <v>2299</v>
      </c>
      <c r="B1393" t="s">
        <v>30</v>
      </c>
      <c r="C1393" t="s">
        <v>76</v>
      </c>
      <c r="D1393" t="s">
        <v>77</v>
      </c>
      <c r="E1393" s="1" t="s">
        <v>82</v>
      </c>
      <c r="F1393" t="s">
        <v>83</v>
      </c>
      <c r="G1393">
        <v>14</v>
      </c>
      <c r="H1393">
        <v>62583</v>
      </c>
      <c r="I1393">
        <v>3988</v>
      </c>
      <c r="J1393">
        <v>22</v>
      </c>
      <c r="K1393">
        <v>38</v>
      </c>
      <c r="L1393">
        <v>-58595</v>
      </c>
      <c r="M1393" s="1" t="s">
        <v>2466</v>
      </c>
      <c r="N1393">
        <v>5.9905965059860899E-2</v>
      </c>
      <c r="O1393" s="1" t="s">
        <v>2467</v>
      </c>
      <c r="P1393">
        <v>0</v>
      </c>
      <c r="Q1393">
        <v>0</v>
      </c>
      <c r="R1393">
        <v>0</v>
      </c>
      <c r="S1393">
        <v>0</v>
      </c>
      <c r="T1393">
        <v>215.2532736</v>
      </c>
      <c r="U1393">
        <f t="shared" si="42"/>
        <v>0</v>
      </c>
      <c r="V1393">
        <f t="shared" si="43"/>
        <v>0</v>
      </c>
    </row>
    <row r="1394" spans="1:22" x14ac:dyDescent="0.2">
      <c r="A1394" t="s">
        <v>2299</v>
      </c>
      <c r="B1394" t="s">
        <v>30</v>
      </c>
      <c r="C1394" t="s">
        <v>76</v>
      </c>
      <c r="D1394" t="s">
        <v>77</v>
      </c>
      <c r="E1394">
        <v>11</v>
      </c>
      <c r="F1394" t="s">
        <v>127</v>
      </c>
      <c r="G1394">
        <v>51</v>
      </c>
      <c r="H1394">
        <v>34607</v>
      </c>
      <c r="I1394">
        <v>191928</v>
      </c>
      <c r="J1394">
        <v>24</v>
      </c>
      <c r="K1394">
        <v>31</v>
      </c>
      <c r="L1394">
        <v>157321</v>
      </c>
      <c r="M1394" s="1" t="s">
        <v>2468</v>
      </c>
      <c r="N1394" s="1" t="s">
        <v>2469</v>
      </c>
      <c r="O1394" s="1" t="s">
        <v>2470</v>
      </c>
      <c r="P1394">
        <v>0</v>
      </c>
      <c r="Q1394">
        <v>0</v>
      </c>
      <c r="R1394">
        <v>0</v>
      </c>
      <c r="S1394">
        <v>0</v>
      </c>
      <c r="T1394">
        <v>215.2532736</v>
      </c>
      <c r="U1394">
        <f t="shared" si="42"/>
        <v>0</v>
      </c>
      <c r="V1394">
        <f t="shared" si="43"/>
        <v>0</v>
      </c>
    </row>
    <row r="1395" spans="1:22" x14ac:dyDescent="0.2">
      <c r="A1395" t="s">
        <v>2471</v>
      </c>
      <c r="B1395" t="s">
        <v>31</v>
      </c>
      <c r="C1395" t="s">
        <v>76</v>
      </c>
      <c r="D1395" t="s">
        <v>77</v>
      </c>
      <c r="E1395" s="1" t="s">
        <v>82</v>
      </c>
      <c r="F1395" t="s">
        <v>83</v>
      </c>
      <c r="G1395">
        <v>10</v>
      </c>
      <c r="H1395">
        <v>72684877</v>
      </c>
      <c r="I1395">
        <v>0</v>
      </c>
      <c r="J1395">
        <v>62</v>
      </c>
      <c r="K1395">
        <v>65</v>
      </c>
      <c r="L1395">
        <v>-72684877</v>
      </c>
      <c r="M1395">
        <v>1</v>
      </c>
      <c r="N1395">
        <v>0</v>
      </c>
      <c r="O1395" s="1" t="s">
        <v>2472</v>
      </c>
      <c r="P1395">
        <v>0</v>
      </c>
      <c r="Q1395">
        <v>0</v>
      </c>
      <c r="R1395">
        <v>0</v>
      </c>
      <c r="S1395">
        <v>0</v>
      </c>
      <c r="T1395">
        <v>11.22870996</v>
      </c>
      <c r="U1395">
        <f t="shared" si="42"/>
        <v>0</v>
      </c>
      <c r="V1395">
        <f t="shared" si="43"/>
        <v>0</v>
      </c>
    </row>
    <row r="1396" spans="1:22" x14ac:dyDescent="0.2">
      <c r="A1396" t="s">
        <v>2471</v>
      </c>
      <c r="B1396" t="s">
        <v>31</v>
      </c>
      <c r="C1396" t="s">
        <v>76</v>
      </c>
      <c r="D1396" t="s">
        <v>77</v>
      </c>
      <c r="E1396">
        <v>99</v>
      </c>
      <c r="F1396" t="s">
        <v>78</v>
      </c>
      <c r="G1396">
        <v>99</v>
      </c>
      <c r="H1396">
        <v>8789701</v>
      </c>
      <c r="I1396">
        <v>0</v>
      </c>
      <c r="J1396">
        <v>41</v>
      </c>
      <c r="K1396">
        <v>98</v>
      </c>
      <c r="L1396">
        <v>-8789701</v>
      </c>
      <c r="M1396">
        <v>1</v>
      </c>
      <c r="N1396">
        <v>0</v>
      </c>
      <c r="O1396">
        <v>4.216134846959E-2</v>
      </c>
      <c r="P1396">
        <v>0</v>
      </c>
      <c r="Q1396">
        <v>0</v>
      </c>
      <c r="R1396">
        <v>0</v>
      </c>
      <c r="S1396">
        <v>0</v>
      </c>
      <c r="T1396">
        <v>11.22870996</v>
      </c>
      <c r="U1396">
        <f t="shared" si="42"/>
        <v>0</v>
      </c>
      <c r="V1396">
        <f t="shared" si="43"/>
        <v>0</v>
      </c>
    </row>
    <row r="1397" spans="1:22" x14ac:dyDescent="0.2">
      <c r="A1397" t="s">
        <v>2471</v>
      </c>
      <c r="B1397" t="s">
        <v>31</v>
      </c>
      <c r="C1397" t="s">
        <v>76</v>
      </c>
      <c r="D1397" t="s">
        <v>77</v>
      </c>
      <c r="E1397" s="1" t="s">
        <v>89</v>
      </c>
      <c r="F1397" t="s">
        <v>90</v>
      </c>
      <c r="G1397">
        <v>31</v>
      </c>
      <c r="H1397">
        <v>4322200</v>
      </c>
      <c r="I1397">
        <v>0</v>
      </c>
      <c r="J1397">
        <v>108</v>
      </c>
      <c r="K1397">
        <v>51</v>
      </c>
      <c r="L1397">
        <v>-4322200</v>
      </c>
      <c r="M1397">
        <v>1</v>
      </c>
      <c r="N1397">
        <v>0</v>
      </c>
      <c r="O1397" s="1" t="s">
        <v>2473</v>
      </c>
      <c r="P1397">
        <v>0</v>
      </c>
      <c r="Q1397">
        <v>0</v>
      </c>
      <c r="R1397">
        <v>0</v>
      </c>
      <c r="S1397">
        <v>0</v>
      </c>
      <c r="T1397">
        <v>11.22870996</v>
      </c>
      <c r="U1397">
        <f t="shared" si="42"/>
        <v>0</v>
      </c>
      <c r="V1397">
        <f t="shared" si="43"/>
        <v>0</v>
      </c>
    </row>
    <row r="1398" spans="1:22" x14ac:dyDescent="0.2">
      <c r="A1398" t="s">
        <v>2471</v>
      </c>
      <c r="B1398" t="s">
        <v>31</v>
      </c>
      <c r="C1398" t="s">
        <v>76</v>
      </c>
      <c r="D1398" t="s">
        <v>77</v>
      </c>
      <c r="E1398" s="1" t="s">
        <v>93</v>
      </c>
      <c r="F1398" t="s">
        <v>94</v>
      </c>
      <c r="G1398">
        <v>44</v>
      </c>
      <c r="H1398">
        <v>662488</v>
      </c>
      <c r="I1398">
        <v>0</v>
      </c>
      <c r="J1398">
        <v>99</v>
      </c>
      <c r="K1398">
        <v>103</v>
      </c>
      <c r="L1398">
        <v>-662488</v>
      </c>
      <c r="M1398">
        <v>1</v>
      </c>
      <c r="N1398">
        <v>0</v>
      </c>
      <c r="O1398">
        <v>3.1777403378023599E-3</v>
      </c>
      <c r="P1398">
        <v>0</v>
      </c>
      <c r="Q1398">
        <v>0</v>
      </c>
      <c r="R1398">
        <v>0</v>
      </c>
      <c r="S1398">
        <v>0</v>
      </c>
      <c r="T1398">
        <v>11.22870996</v>
      </c>
      <c r="U1398">
        <f t="shared" si="42"/>
        <v>0</v>
      </c>
      <c r="V1398">
        <f t="shared" si="43"/>
        <v>0</v>
      </c>
    </row>
    <row r="1399" spans="1:22" x14ac:dyDescent="0.2">
      <c r="A1399" t="s">
        <v>2471</v>
      </c>
      <c r="B1399" t="s">
        <v>31</v>
      </c>
      <c r="C1399" t="s">
        <v>76</v>
      </c>
      <c r="D1399" t="s">
        <v>77</v>
      </c>
      <c r="E1399">
        <v>16</v>
      </c>
      <c r="F1399" t="s">
        <v>95</v>
      </c>
      <c r="G1399">
        <v>85</v>
      </c>
      <c r="H1399">
        <v>75806</v>
      </c>
      <c r="I1399">
        <v>0</v>
      </c>
      <c r="J1399">
        <v>133</v>
      </c>
      <c r="K1399">
        <v>117</v>
      </c>
      <c r="L1399">
        <v>-75806</v>
      </c>
      <c r="M1399">
        <v>1</v>
      </c>
      <c r="N1399">
        <v>0</v>
      </c>
      <c r="O1399" s="1" t="s">
        <v>2474</v>
      </c>
      <c r="P1399">
        <v>0</v>
      </c>
      <c r="Q1399">
        <v>0</v>
      </c>
      <c r="R1399">
        <v>0</v>
      </c>
      <c r="S1399">
        <v>0</v>
      </c>
      <c r="T1399">
        <v>11.22870996</v>
      </c>
      <c r="U1399">
        <f t="shared" si="42"/>
        <v>0</v>
      </c>
      <c r="V1399">
        <f t="shared" si="43"/>
        <v>0</v>
      </c>
    </row>
    <row r="1400" spans="1:22" x14ac:dyDescent="0.2">
      <c r="A1400" t="s">
        <v>2471</v>
      </c>
      <c r="B1400" t="s">
        <v>31</v>
      </c>
      <c r="C1400" t="s">
        <v>76</v>
      </c>
      <c r="D1400" t="s">
        <v>77</v>
      </c>
      <c r="E1400" s="1" t="s">
        <v>89</v>
      </c>
      <c r="F1400" t="s">
        <v>90</v>
      </c>
      <c r="G1400">
        <v>28</v>
      </c>
      <c r="H1400">
        <v>6449</v>
      </c>
      <c r="I1400">
        <v>0</v>
      </c>
      <c r="J1400">
        <v>133</v>
      </c>
      <c r="K1400">
        <v>85</v>
      </c>
      <c r="L1400">
        <v>-6449</v>
      </c>
      <c r="M1400">
        <v>1</v>
      </c>
      <c r="N1400">
        <v>0</v>
      </c>
      <c r="O1400" s="1" t="s">
        <v>2475</v>
      </c>
      <c r="P1400">
        <v>0</v>
      </c>
      <c r="Q1400">
        <v>0</v>
      </c>
      <c r="R1400">
        <v>0</v>
      </c>
      <c r="S1400">
        <v>0</v>
      </c>
      <c r="T1400">
        <v>11.22870996</v>
      </c>
      <c r="U1400">
        <f t="shared" si="42"/>
        <v>0</v>
      </c>
      <c r="V1400">
        <f t="shared" si="43"/>
        <v>0</v>
      </c>
    </row>
    <row r="1401" spans="1:22" x14ac:dyDescent="0.2">
      <c r="A1401" t="s">
        <v>2471</v>
      </c>
      <c r="B1401" t="s">
        <v>31</v>
      </c>
      <c r="C1401" t="s">
        <v>76</v>
      </c>
      <c r="D1401" t="s">
        <v>77</v>
      </c>
      <c r="E1401">
        <v>20</v>
      </c>
      <c r="F1401" t="s">
        <v>104</v>
      </c>
      <c r="G1401">
        <v>94</v>
      </c>
      <c r="H1401">
        <v>4680</v>
      </c>
      <c r="I1401">
        <v>994</v>
      </c>
      <c r="J1401">
        <v>115</v>
      </c>
      <c r="K1401">
        <v>91</v>
      </c>
      <c r="L1401">
        <v>-3686</v>
      </c>
      <c r="M1401">
        <v>0.82481494536482203</v>
      </c>
      <c r="N1401">
        <v>0.175185054635178</v>
      </c>
      <c r="O1401" s="1" t="s">
        <v>2476</v>
      </c>
      <c r="P1401">
        <v>0</v>
      </c>
      <c r="Q1401">
        <v>0</v>
      </c>
      <c r="R1401">
        <v>0</v>
      </c>
      <c r="S1401">
        <v>0</v>
      </c>
      <c r="T1401">
        <v>11.22870996</v>
      </c>
      <c r="U1401">
        <f t="shared" si="42"/>
        <v>0</v>
      </c>
      <c r="V1401">
        <f t="shared" si="43"/>
        <v>0</v>
      </c>
    </row>
    <row r="1402" spans="1:22" x14ac:dyDescent="0.2">
      <c r="A1402" t="s">
        <v>2471</v>
      </c>
      <c r="B1402" t="s">
        <v>31</v>
      </c>
      <c r="C1402" t="s">
        <v>76</v>
      </c>
      <c r="D1402" t="s">
        <v>77</v>
      </c>
      <c r="E1402">
        <v>16</v>
      </c>
      <c r="F1402" t="s">
        <v>95</v>
      </c>
      <c r="G1402">
        <v>84</v>
      </c>
      <c r="H1402">
        <v>141810</v>
      </c>
      <c r="I1402">
        <v>0</v>
      </c>
      <c r="J1402">
        <v>133</v>
      </c>
      <c r="K1402">
        <v>117</v>
      </c>
      <c r="L1402">
        <v>-141810</v>
      </c>
      <c r="M1402">
        <v>1</v>
      </c>
      <c r="N1402">
        <v>0</v>
      </c>
      <c r="O1402" s="1" t="s">
        <v>2477</v>
      </c>
      <c r="P1402">
        <v>0</v>
      </c>
      <c r="Q1402">
        <v>0</v>
      </c>
      <c r="R1402">
        <v>0</v>
      </c>
      <c r="S1402">
        <v>0</v>
      </c>
      <c r="T1402">
        <v>11.22870996</v>
      </c>
      <c r="U1402">
        <f t="shared" si="42"/>
        <v>0</v>
      </c>
      <c r="V1402">
        <f t="shared" si="43"/>
        <v>0</v>
      </c>
    </row>
    <row r="1403" spans="1:22" x14ac:dyDescent="0.2">
      <c r="A1403" t="s">
        <v>2471</v>
      </c>
      <c r="B1403" t="s">
        <v>31</v>
      </c>
      <c r="C1403" t="s">
        <v>76</v>
      </c>
      <c r="D1403" t="s">
        <v>77</v>
      </c>
      <c r="E1403">
        <v>15</v>
      </c>
      <c r="F1403" t="s">
        <v>88</v>
      </c>
      <c r="G1403">
        <v>82</v>
      </c>
      <c r="H1403">
        <v>1808</v>
      </c>
      <c r="I1403">
        <v>0</v>
      </c>
      <c r="J1403">
        <v>126</v>
      </c>
      <c r="K1403">
        <v>96</v>
      </c>
      <c r="L1403">
        <v>-1808</v>
      </c>
      <c r="M1403">
        <v>1</v>
      </c>
      <c r="N1403">
        <v>0</v>
      </c>
      <c r="O1403" s="1" t="s">
        <v>2478</v>
      </c>
      <c r="P1403">
        <v>0</v>
      </c>
      <c r="Q1403">
        <v>0</v>
      </c>
      <c r="R1403">
        <v>0</v>
      </c>
      <c r="S1403">
        <v>0</v>
      </c>
      <c r="T1403">
        <v>11.22870996</v>
      </c>
      <c r="U1403">
        <f t="shared" si="42"/>
        <v>0</v>
      </c>
      <c r="V1403">
        <f t="shared" si="43"/>
        <v>0</v>
      </c>
    </row>
    <row r="1404" spans="1:22" x14ac:dyDescent="0.2">
      <c r="A1404" t="s">
        <v>2471</v>
      </c>
      <c r="B1404" t="s">
        <v>31</v>
      </c>
      <c r="C1404" t="s">
        <v>76</v>
      </c>
      <c r="D1404" t="s">
        <v>77</v>
      </c>
      <c r="E1404">
        <v>11</v>
      </c>
      <c r="F1404" t="s">
        <v>127</v>
      </c>
      <c r="G1404">
        <v>63</v>
      </c>
      <c r="H1404">
        <v>1445</v>
      </c>
      <c r="I1404">
        <v>496</v>
      </c>
      <c r="J1404">
        <v>110</v>
      </c>
      <c r="K1404">
        <v>98</v>
      </c>
      <c r="L1404">
        <v>-949</v>
      </c>
      <c r="M1404" s="1" t="s">
        <v>2479</v>
      </c>
      <c r="N1404" s="1" t="s">
        <v>2480</v>
      </c>
      <c r="O1404" s="1" t="s">
        <v>2481</v>
      </c>
      <c r="P1404">
        <v>0</v>
      </c>
      <c r="Q1404">
        <v>0</v>
      </c>
      <c r="R1404">
        <v>0</v>
      </c>
      <c r="S1404">
        <v>0</v>
      </c>
      <c r="T1404">
        <v>11.22870996</v>
      </c>
      <c r="U1404">
        <f t="shared" si="42"/>
        <v>0</v>
      </c>
      <c r="V1404">
        <f t="shared" si="43"/>
        <v>0</v>
      </c>
    </row>
    <row r="1405" spans="1:22" x14ac:dyDescent="0.2">
      <c r="A1405" t="s">
        <v>2471</v>
      </c>
      <c r="B1405" t="s">
        <v>31</v>
      </c>
      <c r="C1405" t="s">
        <v>76</v>
      </c>
      <c r="D1405" t="s">
        <v>77</v>
      </c>
      <c r="E1405">
        <v>13</v>
      </c>
      <c r="F1405" t="s">
        <v>91</v>
      </c>
      <c r="G1405">
        <v>70</v>
      </c>
      <c r="H1405">
        <v>1108</v>
      </c>
      <c r="I1405">
        <v>0</v>
      </c>
      <c r="J1405">
        <v>119</v>
      </c>
      <c r="K1405">
        <v>88</v>
      </c>
      <c r="L1405">
        <v>-1108</v>
      </c>
      <c r="M1405">
        <v>1</v>
      </c>
      <c r="N1405">
        <v>0</v>
      </c>
      <c r="O1405" s="1" t="s">
        <v>2482</v>
      </c>
      <c r="P1405">
        <v>0</v>
      </c>
      <c r="Q1405">
        <v>0</v>
      </c>
      <c r="R1405">
        <v>0</v>
      </c>
      <c r="S1405">
        <v>0</v>
      </c>
      <c r="T1405">
        <v>11.22870996</v>
      </c>
      <c r="U1405">
        <f t="shared" si="42"/>
        <v>0</v>
      </c>
      <c r="V1405">
        <f t="shared" si="43"/>
        <v>0</v>
      </c>
    </row>
    <row r="1406" spans="1:22" x14ac:dyDescent="0.2">
      <c r="A1406" t="s">
        <v>2471</v>
      </c>
      <c r="B1406" t="s">
        <v>31</v>
      </c>
      <c r="C1406" t="s">
        <v>76</v>
      </c>
      <c r="D1406" t="s">
        <v>77</v>
      </c>
      <c r="E1406">
        <v>10</v>
      </c>
      <c r="F1406" t="s">
        <v>119</v>
      </c>
      <c r="G1406">
        <v>49</v>
      </c>
      <c r="H1406">
        <v>894</v>
      </c>
      <c r="I1406">
        <v>994</v>
      </c>
      <c r="J1406">
        <v>124</v>
      </c>
      <c r="K1406">
        <v>81</v>
      </c>
      <c r="L1406">
        <v>100</v>
      </c>
      <c r="M1406" s="1" t="s">
        <v>2483</v>
      </c>
      <c r="N1406" s="1" t="s">
        <v>2484</v>
      </c>
      <c r="O1406" s="1" t="s">
        <v>2485</v>
      </c>
      <c r="P1406">
        <v>0</v>
      </c>
      <c r="Q1406">
        <v>0</v>
      </c>
      <c r="R1406">
        <v>0</v>
      </c>
      <c r="S1406">
        <v>0</v>
      </c>
      <c r="T1406">
        <v>11.22870996</v>
      </c>
      <c r="U1406">
        <f t="shared" si="42"/>
        <v>0</v>
      </c>
      <c r="V1406">
        <f t="shared" si="43"/>
        <v>0</v>
      </c>
    </row>
    <row r="1407" spans="1:22" x14ac:dyDescent="0.2">
      <c r="A1407" t="s">
        <v>2471</v>
      </c>
      <c r="B1407" t="s">
        <v>31</v>
      </c>
      <c r="C1407" t="s">
        <v>76</v>
      </c>
      <c r="D1407" t="s">
        <v>77</v>
      </c>
      <c r="E1407">
        <v>13</v>
      </c>
      <c r="F1407" t="s">
        <v>91</v>
      </c>
      <c r="G1407">
        <v>69</v>
      </c>
      <c r="H1407">
        <v>337</v>
      </c>
      <c r="I1407">
        <v>497</v>
      </c>
      <c r="J1407">
        <v>109</v>
      </c>
      <c r="K1407">
        <v>81</v>
      </c>
      <c r="L1407">
        <v>160</v>
      </c>
      <c r="M1407" s="1" t="s">
        <v>2486</v>
      </c>
      <c r="N1407" s="1" t="s">
        <v>2487</v>
      </c>
      <c r="O1407" s="1" t="s">
        <v>2488</v>
      </c>
      <c r="P1407">
        <v>0</v>
      </c>
      <c r="Q1407">
        <v>0</v>
      </c>
      <c r="R1407">
        <v>0</v>
      </c>
      <c r="S1407">
        <v>0</v>
      </c>
      <c r="T1407">
        <v>11.22870996</v>
      </c>
      <c r="U1407">
        <f t="shared" si="42"/>
        <v>0</v>
      </c>
      <c r="V1407">
        <f t="shared" si="43"/>
        <v>0</v>
      </c>
    </row>
    <row r="1408" spans="1:22" x14ac:dyDescent="0.2">
      <c r="A1408" t="s">
        <v>2471</v>
      </c>
      <c r="B1408" t="s">
        <v>31</v>
      </c>
      <c r="C1408" t="s">
        <v>76</v>
      </c>
      <c r="D1408" t="s">
        <v>77</v>
      </c>
      <c r="E1408">
        <v>20</v>
      </c>
      <c r="F1408" t="s">
        <v>104</v>
      </c>
      <c r="G1408">
        <v>95</v>
      </c>
      <c r="H1408">
        <v>300</v>
      </c>
      <c r="I1408">
        <v>0</v>
      </c>
      <c r="J1408">
        <v>122</v>
      </c>
      <c r="K1408">
        <v>91</v>
      </c>
      <c r="L1408">
        <v>-300</v>
      </c>
      <c r="M1408">
        <v>1</v>
      </c>
      <c r="N1408">
        <v>0</v>
      </c>
      <c r="O1408" s="1" t="s">
        <v>2489</v>
      </c>
      <c r="P1408">
        <v>0</v>
      </c>
      <c r="Q1408">
        <v>0</v>
      </c>
      <c r="R1408">
        <v>0</v>
      </c>
      <c r="S1408">
        <v>0</v>
      </c>
      <c r="T1408">
        <v>11.22870996</v>
      </c>
      <c r="U1408">
        <f t="shared" si="42"/>
        <v>0</v>
      </c>
      <c r="V1408">
        <f t="shared" si="43"/>
        <v>0</v>
      </c>
    </row>
    <row r="1409" spans="1:22" x14ac:dyDescent="0.2">
      <c r="A1409" t="s">
        <v>2471</v>
      </c>
      <c r="B1409" t="s">
        <v>31</v>
      </c>
      <c r="C1409" t="s">
        <v>76</v>
      </c>
      <c r="D1409" t="s">
        <v>77</v>
      </c>
      <c r="E1409">
        <v>17</v>
      </c>
      <c r="F1409" t="s">
        <v>97</v>
      </c>
      <c r="G1409">
        <v>87</v>
      </c>
      <c r="H1409">
        <v>125</v>
      </c>
      <c r="I1409">
        <v>0</v>
      </c>
      <c r="J1409">
        <v>147</v>
      </c>
      <c r="K1409">
        <v>96</v>
      </c>
      <c r="L1409">
        <v>-125</v>
      </c>
      <c r="M1409">
        <v>1</v>
      </c>
      <c r="N1409">
        <v>0</v>
      </c>
      <c r="O1409" s="1" t="s">
        <v>2490</v>
      </c>
      <c r="P1409">
        <v>0</v>
      </c>
      <c r="Q1409">
        <v>0</v>
      </c>
      <c r="R1409">
        <v>0</v>
      </c>
      <c r="S1409">
        <v>0</v>
      </c>
      <c r="T1409">
        <v>11.22870996</v>
      </c>
      <c r="U1409">
        <f t="shared" si="42"/>
        <v>0</v>
      </c>
      <c r="V1409">
        <f t="shared" si="43"/>
        <v>0</v>
      </c>
    </row>
    <row r="1410" spans="1:22" x14ac:dyDescent="0.2">
      <c r="A1410" t="s">
        <v>2471</v>
      </c>
      <c r="B1410" t="s">
        <v>31</v>
      </c>
      <c r="C1410" t="s">
        <v>76</v>
      </c>
      <c r="D1410" t="s">
        <v>77</v>
      </c>
      <c r="E1410" s="1" t="s">
        <v>89</v>
      </c>
      <c r="F1410" t="s">
        <v>90</v>
      </c>
      <c r="G1410">
        <v>34</v>
      </c>
      <c r="H1410">
        <v>87</v>
      </c>
      <c r="I1410">
        <v>0</v>
      </c>
      <c r="J1410">
        <v>125</v>
      </c>
      <c r="K1410">
        <v>87</v>
      </c>
      <c r="L1410">
        <v>-87</v>
      </c>
      <c r="M1410">
        <v>1</v>
      </c>
      <c r="N1410">
        <v>0</v>
      </c>
      <c r="O1410" s="1" t="s">
        <v>2491</v>
      </c>
      <c r="P1410">
        <v>0</v>
      </c>
      <c r="Q1410">
        <v>0</v>
      </c>
      <c r="R1410">
        <v>0</v>
      </c>
      <c r="S1410">
        <v>0</v>
      </c>
      <c r="T1410">
        <v>11.22870996</v>
      </c>
      <c r="U1410">
        <f t="shared" si="42"/>
        <v>0</v>
      </c>
      <c r="V1410">
        <f t="shared" si="43"/>
        <v>0</v>
      </c>
    </row>
    <row r="1411" spans="1:22" x14ac:dyDescent="0.2">
      <c r="A1411" t="s">
        <v>2471</v>
      </c>
      <c r="B1411" t="s">
        <v>31</v>
      </c>
      <c r="C1411" t="s">
        <v>76</v>
      </c>
      <c r="D1411" t="s">
        <v>77</v>
      </c>
      <c r="E1411" s="1" t="s">
        <v>82</v>
      </c>
      <c r="F1411" t="s">
        <v>83</v>
      </c>
      <c r="G1411" s="1" t="s">
        <v>93</v>
      </c>
      <c r="H1411">
        <v>0</v>
      </c>
      <c r="I1411">
        <v>1047283</v>
      </c>
      <c r="J1411">
        <v>105</v>
      </c>
      <c r="K1411">
        <v>59</v>
      </c>
      <c r="L1411">
        <v>1047283</v>
      </c>
      <c r="M1411">
        <v>0</v>
      </c>
      <c r="N1411">
        <v>1</v>
      </c>
      <c r="O1411">
        <v>5.0234773070526101E-3</v>
      </c>
      <c r="P1411">
        <v>0</v>
      </c>
      <c r="Q1411">
        <v>0</v>
      </c>
      <c r="R1411">
        <v>0</v>
      </c>
      <c r="S1411">
        <v>0</v>
      </c>
      <c r="T1411">
        <v>11.22870996</v>
      </c>
      <c r="U1411">
        <f t="shared" ref="U1411:U1474" si="44">IF(OR(P1411=1,Q1411=1),1,0)</f>
        <v>0</v>
      </c>
      <c r="V1411">
        <f t="shared" ref="V1411:V1474" si="45">IF(OR(R1411=1,S1411=1),1,0)</f>
        <v>0</v>
      </c>
    </row>
    <row r="1412" spans="1:22" x14ac:dyDescent="0.2">
      <c r="A1412" t="s">
        <v>2471</v>
      </c>
      <c r="B1412" t="s">
        <v>31</v>
      </c>
      <c r="C1412" t="s">
        <v>76</v>
      </c>
      <c r="D1412" t="s">
        <v>77</v>
      </c>
      <c r="E1412" s="1" t="s">
        <v>138</v>
      </c>
      <c r="F1412" t="s">
        <v>139</v>
      </c>
      <c r="G1412">
        <v>24</v>
      </c>
      <c r="H1412">
        <v>76581</v>
      </c>
      <c r="I1412">
        <v>119873422</v>
      </c>
      <c r="J1412">
        <v>61</v>
      </c>
      <c r="K1412">
        <v>7</v>
      </c>
      <c r="L1412">
        <v>119796841</v>
      </c>
      <c r="M1412" s="1" t="s">
        <v>2492</v>
      </c>
      <c r="N1412" s="1" t="s">
        <v>2493</v>
      </c>
      <c r="O1412" s="1" t="s">
        <v>2494</v>
      </c>
      <c r="P1412">
        <v>0</v>
      </c>
      <c r="Q1412">
        <v>0</v>
      </c>
      <c r="R1412">
        <v>0</v>
      </c>
      <c r="S1412">
        <v>1</v>
      </c>
      <c r="T1412">
        <v>11.22870996</v>
      </c>
      <c r="U1412">
        <f t="shared" si="44"/>
        <v>0</v>
      </c>
      <c r="V1412">
        <f t="shared" si="45"/>
        <v>1</v>
      </c>
    </row>
    <row r="1413" spans="1:22" x14ac:dyDescent="0.2">
      <c r="A1413" t="s">
        <v>2495</v>
      </c>
      <c r="B1413" t="s">
        <v>32</v>
      </c>
      <c r="C1413" t="s">
        <v>76</v>
      </c>
      <c r="D1413" t="s">
        <v>77</v>
      </c>
      <c r="E1413" s="1" t="s">
        <v>85</v>
      </c>
      <c r="F1413" t="s">
        <v>86</v>
      </c>
      <c r="G1413">
        <v>27</v>
      </c>
      <c r="H1413">
        <v>3411158454</v>
      </c>
      <c r="I1413">
        <v>40859608</v>
      </c>
      <c r="J1413">
        <v>37</v>
      </c>
      <c r="K1413">
        <v>27</v>
      </c>
      <c r="L1413">
        <v>-3370298846</v>
      </c>
      <c r="M1413">
        <v>0.98816355903528297</v>
      </c>
      <c r="N1413" s="1" t="s">
        <v>2496</v>
      </c>
      <c r="O1413" s="1" t="s">
        <v>2497</v>
      </c>
      <c r="P1413">
        <v>0</v>
      </c>
      <c r="Q1413">
        <v>0</v>
      </c>
      <c r="R1413">
        <v>0</v>
      </c>
      <c r="S1413">
        <v>0</v>
      </c>
      <c r="T1413">
        <v>12.2149565</v>
      </c>
      <c r="U1413">
        <f t="shared" si="44"/>
        <v>0</v>
      </c>
      <c r="V1413">
        <f t="shared" si="45"/>
        <v>0</v>
      </c>
    </row>
    <row r="1414" spans="1:22" x14ac:dyDescent="0.2">
      <c r="A1414" t="s">
        <v>2495</v>
      </c>
      <c r="B1414" t="s">
        <v>32</v>
      </c>
      <c r="C1414" t="s">
        <v>76</v>
      </c>
      <c r="D1414" t="s">
        <v>77</v>
      </c>
      <c r="E1414" s="1" t="s">
        <v>89</v>
      </c>
      <c r="F1414" t="s">
        <v>90</v>
      </c>
      <c r="G1414">
        <v>31</v>
      </c>
      <c r="H1414">
        <v>584013546</v>
      </c>
      <c r="I1414">
        <v>59142</v>
      </c>
      <c r="J1414">
        <v>18</v>
      </c>
      <c r="K1414">
        <v>38</v>
      </c>
      <c r="L1414">
        <v>-583954404</v>
      </c>
      <c r="M1414" s="1" t="s">
        <v>2498</v>
      </c>
      <c r="N1414" s="1" t="s">
        <v>2499</v>
      </c>
      <c r="O1414">
        <v>7.0759843414613402E-2</v>
      </c>
      <c r="P1414">
        <v>0</v>
      </c>
      <c r="Q1414">
        <v>0</v>
      </c>
      <c r="R1414">
        <v>0</v>
      </c>
      <c r="S1414">
        <v>0</v>
      </c>
      <c r="T1414">
        <v>12.2149565</v>
      </c>
      <c r="U1414">
        <f t="shared" si="44"/>
        <v>0</v>
      </c>
      <c r="V1414">
        <f t="shared" si="45"/>
        <v>0</v>
      </c>
    </row>
    <row r="1415" spans="1:22" x14ac:dyDescent="0.2">
      <c r="A1415" t="s">
        <v>2495</v>
      </c>
      <c r="B1415" t="s">
        <v>32</v>
      </c>
      <c r="C1415" t="s">
        <v>76</v>
      </c>
      <c r="D1415" t="s">
        <v>77</v>
      </c>
      <c r="E1415">
        <v>15</v>
      </c>
      <c r="F1415" t="s">
        <v>88</v>
      </c>
      <c r="G1415">
        <v>76</v>
      </c>
      <c r="H1415">
        <v>100296157</v>
      </c>
      <c r="I1415">
        <v>1843918</v>
      </c>
      <c r="J1415">
        <v>43</v>
      </c>
      <c r="K1415">
        <v>51</v>
      </c>
      <c r="L1415">
        <v>-98452239</v>
      </c>
      <c r="M1415" s="1" t="s">
        <v>2500</v>
      </c>
      <c r="N1415" s="1" t="s">
        <v>2501</v>
      </c>
      <c r="O1415" s="1" t="s">
        <v>2502</v>
      </c>
      <c r="P1415">
        <v>0</v>
      </c>
      <c r="Q1415">
        <v>0</v>
      </c>
      <c r="R1415">
        <v>0</v>
      </c>
      <c r="S1415">
        <v>0</v>
      </c>
      <c r="T1415">
        <v>12.2149565</v>
      </c>
      <c r="U1415">
        <f t="shared" si="44"/>
        <v>0</v>
      </c>
      <c r="V1415">
        <f t="shared" si="45"/>
        <v>0</v>
      </c>
    </row>
    <row r="1416" spans="1:22" x14ac:dyDescent="0.2">
      <c r="A1416" t="s">
        <v>2495</v>
      </c>
      <c r="B1416" t="s">
        <v>32</v>
      </c>
      <c r="C1416" t="s">
        <v>76</v>
      </c>
      <c r="D1416" t="s">
        <v>77</v>
      </c>
      <c r="E1416" s="1" t="s">
        <v>82</v>
      </c>
      <c r="F1416" t="s">
        <v>83</v>
      </c>
      <c r="G1416">
        <v>10</v>
      </c>
      <c r="H1416">
        <v>108515815</v>
      </c>
      <c r="I1416">
        <v>0</v>
      </c>
      <c r="J1416">
        <v>54</v>
      </c>
      <c r="K1416">
        <v>65</v>
      </c>
      <c r="L1416">
        <v>-108515815</v>
      </c>
      <c r="M1416">
        <v>1</v>
      </c>
      <c r="N1416">
        <v>0</v>
      </c>
      <c r="O1416" s="1" t="s">
        <v>2503</v>
      </c>
      <c r="P1416">
        <v>0</v>
      </c>
      <c r="Q1416">
        <v>0</v>
      </c>
      <c r="R1416">
        <v>0</v>
      </c>
      <c r="S1416">
        <v>0</v>
      </c>
      <c r="T1416">
        <v>12.2149565</v>
      </c>
      <c r="U1416">
        <f t="shared" si="44"/>
        <v>0</v>
      </c>
      <c r="V1416">
        <f t="shared" si="45"/>
        <v>0</v>
      </c>
    </row>
    <row r="1417" spans="1:22" x14ac:dyDescent="0.2">
      <c r="A1417" t="s">
        <v>2495</v>
      </c>
      <c r="B1417" t="s">
        <v>32</v>
      </c>
      <c r="C1417" t="s">
        <v>76</v>
      </c>
      <c r="D1417" t="s">
        <v>77</v>
      </c>
      <c r="E1417" s="1" t="s">
        <v>138</v>
      </c>
      <c r="F1417" t="s">
        <v>139</v>
      </c>
      <c r="G1417">
        <v>24</v>
      </c>
      <c r="H1417">
        <v>16932334</v>
      </c>
      <c r="I1417">
        <v>1088831</v>
      </c>
      <c r="J1417">
        <v>20</v>
      </c>
      <c r="K1417">
        <v>50</v>
      </c>
      <c r="L1417">
        <v>-15843503</v>
      </c>
      <c r="M1417" s="1" t="s">
        <v>2504</v>
      </c>
      <c r="N1417" s="1" t="s">
        <v>2505</v>
      </c>
      <c r="O1417">
        <v>2.1832467768958699E-3</v>
      </c>
      <c r="P1417">
        <v>0</v>
      </c>
      <c r="Q1417">
        <v>0</v>
      </c>
      <c r="R1417">
        <v>0</v>
      </c>
      <c r="S1417">
        <v>0</v>
      </c>
      <c r="T1417">
        <v>12.2149565</v>
      </c>
      <c r="U1417">
        <f t="shared" si="44"/>
        <v>0</v>
      </c>
      <c r="V1417">
        <f t="shared" si="45"/>
        <v>0</v>
      </c>
    </row>
    <row r="1418" spans="1:22" x14ac:dyDescent="0.2">
      <c r="A1418" t="s">
        <v>2495</v>
      </c>
      <c r="B1418" t="s">
        <v>32</v>
      </c>
      <c r="C1418" t="s">
        <v>76</v>
      </c>
      <c r="D1418" t="s">
        <v>77</v>
      </c>
      <c r="E1418">
        <v>10</v>
      </c>
      <c r="F1418" t="s">
        <v>119</v>
      </c>
      <c r="G1418">
        <v>48</v>
      </c>
      <c r="H1418">
        <v>49442236</v>
      </c>
      <c r="I1418">
        <v>4426781</v>
      </c>
      <c r="J1418">
        <v>44</v>
      </c>
      <c r="K1418">
        <v>47</v>
      </c>
      <c r="L1418">
        <v>-45015455</v>
      </c>
      <c r="M1418" s="1" t="s">
        <v>2506</v>
      </c>
      <c r="N1418">
        <v>8.2176754775384095E-2</v>
      </c>
      <c r="O1418">
        <v>6.5261795083613799E-3</v>
      </c>
      <c r="P1418">
        <v>0</v>
      </c>
      <c r="Q1418">
        <v>0</v>
      </c>
      <c r="R1418">
        <v>0</v>
      </c>
      <c r="S1418">
        <v>0</v>
      </c>
      <c r="T1418">
        <v>12.2149565</v>
      </c>
      <c r="U1418">
        <f t="shared" si="44"/>
        <v>0</v>
      </c>
      <c r="V1418">
        <f t="shared" si="45"/>
        <v>0</v>
      </c>
    </row>
    <row r="1419" spans="1:22" x14ac:dyDescent="0.2">
      <c r="A1419" t="s">
        <v>2495</v>
      </c>
      <c r="B1419" t="s">
        <v>32</v>
      </c>
      <c r="C1419" t="s">
        <v>76</v>
      </c>
      <c r="D1419" t="s">
        <v>77</v>
      </c>
      <c r="E1419">
        <v>15</v>
      </c>
      <c r="F1419" t="s">
        <v>88</v>
      </c>
      <c r="G1419">
        <v>72</v>
      </c>
      <c r="H1419">
        <v>70698045</v>
      </c>
      <c r="I1419">
        <v>37585636</v>
      </c>
      <c r="J1419">
        <v>72</v>
      </c>
      <c r="K1419">
        <v>31</v>
      </c>
      <c r="L1419">
        <v>-33112409</v>
      </c>
      <c r="M1419" s="1" t="s">
        <v>2507</v>
      </c>
      <c r="N1419" s="1" t="s">
        <v>2508</v>
      </c>
      <c r="O1419" s="1" t="s">
        <v>2509</v>
      </c>
      <c r="P1419">
        <v>0</v>
      </c>
      <c r="Q1419">
        <v>0</v>
      </c>
      <c r="R1419">
        <v>0</v>
      </c>
      <c r="S1419">
        <v>0</v>
      </c>
      <c r="T1419">
        <v>12.2149565</v>
      </c>
      <c r="U1419">
        <f t="shared" si="44"/>
        <v>0</v>
      </c>
      <c r="V1419">
        <f t="shared" si="45"/>
        <v>0</v>
      </c>
    </row>
    <row r="1420" spans="1:22" x14ac:dyDescent="0.2">
      <c r="A1420" t="s">
        <v>2495</v>
      </c>
      <c r="B1420" t="s">
        <v>32</v>
      </c>
      <c r="C1420" t="s">
        <v>76</v>
      </c>
      <c r="D1420" t="s">
        <v>77</v>
      </c>
      <c r="E1420">
        <v>10</v>
      </c>
      <c r="F1420" t="s">
        <v>119</v>
      </c>
      <c r="G1420">
        <v>47</v>
      </c>
      <c r="H1420">
        <v>50727409</v>
      </c>
      <c r="I1420">
        <v>0</v>
      </c>
      <c r="J1420">
        <v>11</v>
      </c>
      <c r="K1420">
        <v>37</v>
      </c>
      <c r="L1420">
        <v>-50727409</v>
      </c>
      <c r="M1420">
        <v>1</v>
      </c>
      <c r="N1420">
        <v>0</v>
      </c>
      <c r="O1420">
        <v>6.14557672600683E-3</v>
      </c>
      <c r="P1420">
        <v>0</v>
      </c>
      <c r="Q1420">
        <v>0</v>
      </c>
      <c r="R1420">
        <v>0</v>
      </c>
      <c r="S1420">
        <v>0</v>
      </c>
      <c r="T1420">
        <v>12.2149565</v>
      </c>
      <c r="U1420">
        <f t="shared" si="44"/>
        <v>0</v>
      </c>
      <c r="V1420">
        <f t="shared" si="45"/>
        <v>0</v>
      </c>
    </row>
    <row r="1421" spans="1:22" x14ac:dyDescent="0.2">
      <c r="A1421" t="s">
        <v>2495</v>
      </c>
      <c r="B1421" t="s">
        <v>32</v>
      </c>
      <c r="C1421" t="s">
        <v>76</v>
      </c>
      <c r="D1421" t="s">
        <v>77</v>
      </c>
      <c r="E1421" s="1" t="s">
        <v>110</v>
      </c>
      <c r="F1421" t="s">
        <v>111</v>
      </c>
      <c r="G1421">
        <v>15</v>
      </c>
      <c r="H1421">
        <v>65662933</v>
      </c>
      <c r="I1421">
        <v>284907660</v>
      </c>
      <c r="J1421">
        <v>26</v>
      </c>
      <c r="K1421">
        <v>4</v>
      </c>
      <c r="L1421">
        <v>219244727</v>
      </c>
      <c r="M1421" s="1" t="s">
        <v>2510</v>
      </c>
      <c r="N1421" s="1" t="s">
        <v>2511</v>
      </c>
      <c r="O1421">
        <v>4.2471289577656397E-2</v>
      </c>
      <c r="P1421">
        <v>0</v>
      </c>
      <c r="Q1421">
        <v>1</v>
      </c>
      <c r="R1421">
        <v>0</v>
      </c>
      <c r="S1421">
        <v>1</v>
      </c>
      <c r="T1421">
        <v>12.2149565</v>
      </c>
      <c r="U1421">
        <f t="shared" si="44"/>
        <v>1</v>
      </c>
      <c r="V1421">
        <f t="shared" si="45"/>
        <v>1</v>
      </c>
    </row>
    <row r="1422" spans="1:22" x14ac:dyDescent="0.2">
      <c r="A1422" t="s">
        <v>2495</v>
      </c>
      <c r="B1422" t="s">
        <v>32</v>
      </c>
      <c r="C1422" t="s">
        <v>76</v>
      </c>
      <c r="D1422" t="s">
        <v>77</v>
      </c>
      <c r="E1422" s="1" t="s">
        <v>89</v>
      </c>
      <c r="F1422" t="s">
        <v>90</v>
      </c>
      <c r="G1422">
        <v>29</v>
      </c>
      <c r="H1422">
        <v>7006591</v>
      </c>
      <c r="I1422">
        <v>33938910</v>
      </c>
      <c r="J1422">
        <v>64</v>
      </c>
      <c r="K1422">
        <v>30</v>
      </c>
      <c r="L1422">
        <v>26932319</v>
      </c>
      <c r="M1422" s="1" t="s">
        <v>2512</v>
      </c>
      <c r="N1422" s="1" t="s">
        <v>2513</v>
      </c>
      <c r="O1422">
        <v>4.9605079963829703E-3</v>
      </c>
      <c r="P1422">
        <v>0</v>
      </c>
      <c r="Q1422">
        <v>0</v>
      </c>
      <c r="R1422">
        <v>0</v>
      </c>
      <c r="S1422">
        <v>0</v>
      </c>
      <c r="T1422">
        <v>12.2149565</v>
      </c>
      <c r="U1422">
        <f t="shared" si="44"/>
        <v>0</v>
      </c>
      <c r="V1422">
        <f t="shared" si="45"/>
        <v>0</v>
      </c>
    </row>
    <row r="1423" spans="1:22" x14ac:dyDescent="0.2">
      <c r="A1423" t="s">
        <v>2495</v>
      </c>
      <c r="B1423" t="s">
        <v>32</v>
      </c>
      <c r="C1423" t="s">
        <v>76</v>
      </c>
      <c r="D1423" t="s">
        <v>77</v>
      </c>
      <c r="E1423" s="1" t="s">
        <v>99</v>
      </c>
      <c r="F1423" t="s">
        <v>100</v>
      </c>
      <c r="G1423">
        <v>40</v>
      </c>
      <c r="H1423">
        <v>49034026</v>
      </c>
      <c r="I1423">
        <v>515291863</v>
      </c>
      <c r="J1423">
        <v>45</v>
      </c>
      <c r="K1423">
        <v>7</v>
      </c>
      <c r="L1423">
        <v>466257837</v>
      </c>
      <c r="M1423">
        <v>8.68895561160406E-2</v>
      </c>
      <c r="N1423" s="1" t="s">
        <v>2514</v>
      </c>
      <c r="O1423">
        <v>6.8367537741214304E-2</v>
      </c>
      <c r="P1423">
        <v>0</v>
      </c>
      <c r="Q1423">
        <v>0</v>
      </c>
      <c r="R1423">
        <v>0</v>
      </c>
      <c r="S1423">
        <v>1</v>
      </c>
      <c r="T1423">
        <v>12.2149565</v>
      </c>
      <c r="U1423">
        <f t="shared" si="44"/>
        <v>0</v>
      </c>
      <c r="V1423">
        <f t="shared" si="45"/>
        <v>1</v>
      </c>
    </row>
    <row r="1424" spans="1:22" x14ac:dyDescent="0.2">
      <c r="A1424" t="s">
        <v>2495</v>
      </c>
      <c r="B1424" t="s">
        <v>32</v>
      </c>
      <c r="C1424" t="s">
        <v>76</v>
      </c>
      <c r="D1424" t="s">
        <v>77</v>
      </c>
      <c r="E1424">
        <v>18</v>
      </c>
      <c r="F1424" t="s">
        <v>147</v>
      </c>
      <c r="G1424">
        <v>90</v>
      </c>
      <c r="H1424">
        <v>40062146</v>
      </c>
      <c r="I1424">
        <v>54555756</v>
      </c>
      <c r="J1424">
        <v>16</v>
      </c>
      <c r="K1424">
        <v>39</v>
      </c>
      <c r="L1424">
        <v>14493610</v>
      </c>
      <c r="M1424" s="1" t="s">
        <v>2515</v>
      </c>
      <c r="N1424" s="1" t="s">
        <v>2516</v>
      </c>
      <c r="O1424" s="1" t="s">
        <v>2517</v>
      </c>
      <c r="P1424">
        <v>0</v>
      </c>
      <c r="Q1424">
        <v>0</v>
      </c>
      <c r="R1424">
        <v>0</v>
      </c>
      <c r="S1424">
        <v>0</v>
      </c>
      <c r="T1424">
        <v>12.2149565</v>
      </c>
      <c r="U1424">
        <f t="shared" si="44"/>
        <v>0</v>
      </c>
      <c r="V1424">
        <f t="shared" si="45"/>
        <v>0</v>
      </c>
    </row>
    <row r="1425" spans="1:22" x14ac:dyDescent="0.2">
      <c r="A1425" t="s">
        <v>2495</v>
      </c>
      <c r="B1425" t="s">
        <v>32</v>
      </c>
      <c r="C1425" t="s">
        <v>76</v>
      </c>
      <c r="D1425" t="s">
        <v>77</v>
      </c>
      <c r="E1425">
        <v>15</v>
      </c>
      <c r="F1425" t="s">
        <v>88</v>
      </c>
      <c r="G1425">
        <v>74</v>
      </c>
      <c r="H1425">
        <v>2562747</v>
      </c>
      <c r="I1425">
        <v>7369325</v>
      </c>
      <c r="J1425">
        <v>60</v>
      </c>
      <c r="K1425">
        <v>34</v>
      </c>
      <c r="L1425">
        <v>4806578</v>
      </c>
      <c r="M1425" s="1" t="s">
        <v>2518</v>
      </c>
      <c r="N1425" s="1" t="s">
        <v>2519</v>
      </c>
      <c r="O1425">
        <v>1.20326095354533E-3</v>
      </c>
      <c r="P1425">
        <v>0</v>
      </c>
      <c r="Q1425">
        <v>0</v>
      </c>
      <c r="R1425">
        <v>0</v>
      </c>
      <c r="S1425">
        <v>0</v>
      </c>
      <c r="T1425">
        <v>12.2149565</v>
      </c>
      <c r="U1425">
        <f t="shared" si="44"/>
        <v>0</v>
      </c>
      <c r="V1425">
        <f t="shared" si="45"/>
        <v>0</v>
      </c>
    </row>
    <row r="1426" spans="1:22" x14ac:dyDescent="0.2">
      <c r="A1426" t="s">
        <v>2495</v>
      </c>
      <c r="B1426" t="s">
        <v>32</v>
      </c>
      <c r="C1426" t="s">
        <v>76</v>
      </c>
      <c r="D1426" t="s">
        <v>77</v>
      </c>
      <c r="E1426" s="1" t="s">
        <v>85</v>
      </c>
      <c r="F1426" t="s">
        <v>86</v>
      </c>
      <c r="G1426">
        <v>26</v>
      </c>
      <c r="H1426">
        <v>37023944</v>
      </c>
      <c r="I1426">
        <v>86308536</v>
      </c>
      <c r="J1426">
        <v>26</v>
      </c>
      <c r="K1426">
        <v>7</v>
      </c>
      <c r="L1426">
        <v>49284592</v>
      </c>
      <c r="M1426" s="1" t="s">
        <v>2520</v>
      </c>
      <c r="N1426" s="1" t="s">
        <v>2521</v>
      </c>
      <c r="O1426" s="1" t="s">
        <v>2522</v>
      </c>
      <c r="P1426">
        <v>0</v>
      </c>
      <c r="Q1426">
        <v>0</v>
      </c>
      <c r="R1426">
        <v>0</v>
      </c>
      <c r="S1426">
        <v>1</v>
      </c>
      <c r="T1426">
        <v>12.2149565</v>
      </c>
      <c r="U1426">
        <f t="shared" si="44"/>
        <v>0</v>
      </c>
      <c r="V1426">
        <f t="shared" si="45"/>
        <v>1</v>
      </c>
    </row>
    <row r="1427" spans="1:22" x14ac:dyDescent="0.2">
      <c r="A1427" t="s">
        <v>2495</v>
      </c>
      <c r="B1427" t="s">
        <v>32</v>
      </c>
      <c r="C1427" t="s">
        <v>76</v>
      </c>
      <c r="D1427" t="s">
        <v>77</v>
      </c>
      <c r="E1427">
        <v>15</v>
      </c>
      <c r="F1427" t="s">
        <v>88</v>
      </c>
      <c r="G1427">
        <v>79</v>
      </c>
      <c r="H1427">
        <v>8365238</v>
      </c>
      <c r="I1427">
        <v>0</v>
      </c>
      <c r="J1427">
        <v>8</v>
      </c>
      <c r="K1427">
        <v>54</v>
      </c>
      <c r="L1427">
        <v>-8365238</v>
      </c>
      <c r="M1427">
        <v>1</v>
      </c>
      <c r="N1427">
        <v>0</v>
      </c>
      <c r="O1427">
        <v>1.01344052404308E-3</v>
      </c>
      <c r="P1427">
        <v>0</v>
      </c>
      <c r="Q1427">
        <v>0</v>
      </c>
      <c r="R1427">
        <v>1</v>
      </c>
      <c r="S1427">
        <v>0</v>
      </c>
      <c r="T1427">
        <v>12.2149565</v>
      </c>
      <c r="U1427">
        <f t="shared" si="44"/>
        <v>0</v>
      </c>
      <c r="V1427">
        <f t="shared" si="45"/>
        <v>1</v>
      </c>
    </row>
    <row r="1428" spans="1:22" x14ac:dyDescent="0.2">
      <c r="A1428" t="s">
        <v>2495</v>
      </c>
      <c r="B1428" t="s">
        <v>32</v>
      </c>
      <c r="C1428" t="s">
        <v>76</v>
      </c>
      <c r="D1428" t="s">
        <v>77</v>
      </c>
      <c r="E1428" s="1" t="s">
        <v>82</v>
      </c>
      <c r="F1428" t="s">
        <v>83</v>
      </c>
      <c r="G1428" s="1" t="s">
        <v>99</v>
      </c>
      <c r="H1428">
        <v>3490414</v>
      </c>
      <c r="I1428">
        <v>260731</v>
      </c>
      <c r="J1428">
        <v>47</v>
      </c>
      <c r="K1428">
        <v>55</v>
      </c>
      <c r="L1428">
        <v>-3229683</v>
      </c>
      <c r="M1428">
        <v>0.93049295615072203</v>
      </c>
      <c r="N1428">
        <v>6.9507043849278E-2</v>
      </c>
      <c r="O1428" s="1" t="s">
        <v>2523</v>
      </c>
      <c r="P1428">
        <v>0</v>
      </c>
      <c r="Q1428">
        <v>0</v>
      </c>
      <c r="R1428">
        <v>0</v>
      </c>
      <c r="S1428">
        <v>0</v>
      </c>
      <c r="T1428">
        <v>12.2149565</v>
      </c>
      <c r="U1428">
        <f t="shared" si="44"/>
        <v>0</v>
      </c>
      <c r="V1428">
        <f t="shared" si="45"/>
        <v>0</v>
      </c>
    </row>
    <row r="1429" spans="1:22" x14ac:dyDescent="0.2">
      <c r="A1429" t="s">
        <v>2495</v>
      </c>
      <c r="B1429" t="s">
        <v>32</v>
      </c>
      <c r="C1429" t="s">
        <v>76</v>
      </c>
      <c r="D1429" t="s">
        <v>77</v>
      </c>
      <c r="E1429" s="1" t="s">
        <v>155</v>
      </c>
      <c r="F1429" t="s">
        <v>156</v>
      </c>
      <c r="G1429" s="1" t="s">
        <v>110</v>
      </c>
      <c r="H1429">
        <v>16654011</v>
      </c>
      <c r="I1429">
        <v>232329</v>
      </c>
      <c r="J1429">
        <v>32</v>
      </c>
      <c r="K1429">
        <v>46</v>
      </c>
      <c r="L1429">
        <v>-16421682</v>
      </c>
      <c r="M1429" s="1" t="s">
        <v>2524</v>
      </c>
      <c r="N1429" s="1" t="s">
        <v>2525</v>
      </c>
      <c r="O1429">
        <v>2.04576382151586E-3</v>
      </c>
      <c r="P1429">
        <v>0</v>
      </c>
      <c r="Q1429">
        <v>0</v>
      </c>
      <c r="R1429">
        <v>0</v>
      </c>
      <c r="S1429">
        <v>0</v>
      </c>
      <c r="T1429">
        <v>12.2149565</v>
      </c>
      <c r="U1429">
        <f t="shared" si="44"/>
        <v>0</v>
      </c>
      <c r="V1429">
        <f t="shared" si="45"/>
        <v>0</v>
      </c>
    </row>
    <row r="1430" spans="1:22" x14ac:dyDescent="0.2">
      <c r="A1430" t="s">
        <v>2495</v>
      </c>
      <c r="B1430" t="s">
        <v>32</v>
      </c>
      <c r="C1430" t="s">
        <v>76</v>
      </c>
      <c r="D1430" t="s">
        <v>77</v>
      </c>
      <c r="E1430" s="1" t="s">
        <v>82</v>
      </c>
      <c r="F1430" t="s">
        <v>83</v>
      </c>
      <c r="G1430">
        <v>11</v>
      </c>
      <c r="H1430">
        <v>991144</v>
      </c>
      <c r="I1430">
        <v>376014</v>
      </c>
      <c r="J1430">
        <v>45</v>
      </c>
      <c r="K1430">
        <v>32</v>
      </c>
      <c r="L1430">
        <v>-615130</v>
      </c>
      <c r="M1430" s="1" t="s">
        <v>2526</v>
      </c>
      <c r="N1430" s="1" t="s">
        <v>2527</v>
      </c>
      <c r="O1430" s="1" t="s">
        <v>2528</v>
      </c>
      <c r="P1430">
        <v>0</v>
      </c>
      <c r="Q1430">
        <v>0</v>
      </c>
      <c r="R1430">
        <v>0</v>
      </c>
      <c r="S1430">
        <v>0</v>
      </c>
      <c r="T1430">
        <v>12.2149565</v>
      </c>
      <c r="U1430">
        <f t="shared" si="44"/>
        <v>0</v>
      </c>
      <c r="V1430">
        <f t="shared" si="45"/>
        <v>0</v>
      </c>
    </row>
    <row r="1431" spans="1:22" x14ac:dyDescent="0.2">
      <c r="A1431" t="s">
        <v>2495</v>
      </c>
      <c r="B1431" t="s">
        <v>32</v>
      </c>
      <c r="C1431" t="s">
        <v>76</v>
      </c>
      <c r="D1431" t="s">
        <v>77</v>
      </c>
      <c r="E1431" s="1" t="s">
        <v>89</v>
      </c>
      <c r="F1431" t="s">
        <v>90</v>
      </c>
      <c r="G1431">
        <v>28</v>
      </c>
      <c r="H1431">
        <v>13327352</v>
      </c>
      <c r="I1431">
        <v>797963</v>
      </c>
      <c r="J1431">
        <v>69</v>
      </c>
      <c r="K1431">
        <v>61</v>
      </c>
      <c r="L1431">
        <v>-12529389</v>
      </c>
      <c r="M1431" s="1" t="s">
        <v>2529</v>
      </c>
      <c r="N1431">
        <v>5.6491695937400298E-2</v>
      </c>
      <c r="O1431">
        <v>1.71126830293097E-3</v>
      </c>
      <c r="P1431">
        <v>0</v>
      </c>
      <c r="Q1431">
        <v>0</v>
      </c>
      <c r="R1431">
        <v>0</v>
      </c>
      <c r="S1431">
        <v>0</v>
      </c>
      <c r="T1431">
        <v>12.2149565</v>
      </c>
      <c r="U1431">
        <f t="shared" si="44"/>
        <v>0</v>
      </c>
      <c r="V1431">
        <f t="shared" si="45"/>
        <v>0</v>
      </c>
    </row>
    <row r="1432" spans="1:22" x14ac:dyDescent="0.2">
      <c r="A1432" t="s">
        <v>2495</v>
      </c>
      <c r="B1432" t="s">
        <v>32</v>
      </c>
      <c r="C1432" t="s">
        <v>76</v>
      </c>
      <c r="D1432" t="s">
        <v>77</v>
      </c>
      <c r="E1432">
        <v>15</v>
      </c>
      <c r="F1432" t="s">
        <v>88</v>
      </c>
      <c r="G1432">
        <v>82</v>
      </c>
      <c r="H1432">
        <v>1856606</v>
      </c>
      <c r="I1432">
        <v>1865377</v>
      </c>
      <c r="J1432">
        <v>44</v>
      </c>
      <c r="K1432">
        <v>48</v>
      </c>
      <c r="L1432">
        <v>8771</v>
      </c>
      <c r="M1432" s="1" t="s">
        <v>2530</v>
      </c>
      <c r="N1432" s="1" t="s">
        <v>2531</v>
      </c>
      <c r="O1432" s="1" t="s">
        <v>2532</v>
      </c>
      <c r="P1432">
        <v>0</v>
      </c>
      <c r="Q1432">
        <v>0</v>
      </c>
      <c r="R1432">
        <v>0</v>
      </c>
      <c r="S1432">
        <v>0</v>
      </c>
      <c r="T1432">
        <v>12.2149565</v>
      </c>
      <c r="U1432">
        <f t="shared" si="44"/>
        <v>0</v>
      </c>
      <c r="V1432">
        <f t="shared" si="45"/>
        <v>0</v>
      </c>
    </row>
    <row r="1433" spans="1:22" x14ac:dyDescent="0.2">
      <c r="A1433" t="s">
        <v>2495</v>
      </c>
      <c r="B1433" t="s">
        <v>32</v>
      </c>
      <c r="C1433" t="s">
        <v>76</v>
      </c>
      <c r="D1433" t="s">
        <v>77</v>
      </c>
      <c r="E1433">
        <v>15</v>
      </c>
      <c r="F1433" t="s">
        <v>88</v>
      </c>
      <c r="G1433">
        <v>81</v>
      </c>
      <c r="H1433">
        <v>5407574</v>
      </c>
      <c r="I1433">
        <v>17738</v>
      </c>
      <c r="J1433">
        <v>30</v>
      </c>
      <c r="K1433">
        <v>46</v>
      </c>
      <c r="L1433">
        <v>-5389836</v>
      </c>
      <c r="M1433" s="1" t="s">
        <v>2533</v>
      </c>
      <c r="N1433">
        <v>3.2694893860482099E-3</v>
      </c>
      <c r="O1433" s="1" t="s">
        <v>2534</v>
      </c>
      <c r="P1433">
        <v>0</v>
      </c>
      <c r="Q1433">
        <v>0</v>
      </c>
      <c r="R1433">
        <v>0</v>
      </c>
      <c r="S1433">
        <v>0</v>
      </c>
      <c r="T1433">
        <v>12.2149565</v>
      </c>
      <c r="U1433">
        <f t="shared" si="44"/>
        <v>0</v>
      </c>
      <c r="V1433">
        <f t="shared" si="45"/>
        <v>0</v>
      </c>
    </row>
    <row r="1434" spans="1:22" x14ac:dyDescent="0.2">
      <c r="A1434" t="s">
        <v>2495</v>
      </c>
      <c r="B1434" t="s">
        <v>32</v>
      </c>
      <c r="C1434" t="s">
        <v>76</v>
      </c>
      <c r="D1434" t="s">
        <v>77</v>
      </c>
      <c r="E1434" s="1" t="s">
        <v>93</v>
      </c>
      <c r="F1434" t="s">
        <v>94</v>
      </c>
      <c r="G1434">
        <v>44</v>
      </c>
      <c r="H1434">
        <v>13119769</v>
      </c>
      <c r="I1434">
        <v>334035</v>
      </c>
      <c r="J1434">
        <v>67</v>
      </c>
      <c r="K1434">
        <v>52</v>
      </c>
      <c r="L1434">
        <v>-12785734</v>
      </c>
      <c r="M1434">
        <v>0.97517170608401904</v>
      </c>
      <c r="N1434" s="1" t="s">
        <v>2535</v>
      </c>
      <c r="O1434">
        <v>1.62991539226175E-3</v>
      </c>
      <c r="P1434">
        <v>0</v>
      </c>
      <c r="Q1434">
        <v>0</v>
      </c>
      <c r="R1434">
        <v>0</v>
      </c>
      <c r="S1434">
        <v>0</v>
      </c>
      <c r="T1434">
        <v>12.2149565</v>
      </c>
      <c r="U1434">
        <f t="shared" si="44"/>
        <v>0</v>
      </c>
      <c r="V1434">
        <f t="shared" si="45"/>
        <v>0</v>
      </c>
    </row>
    <row r="1435" spans="1:22" x14ac:dyDescent="0.2">
      <c r="A1435" t="s">
        <v>2495</v>
      </c>
      <c r="B1435" t="s">
        <v>32</v>
      </c>
      <c r="C1435" t="s">
        <v>76</v>
      </c>
      <c r="D1435" t="s">
        <v>77</v>
      </c>
      <c r="E1435">
        <v>17</v>
      </c>
      <c r="F1435" t="s">
        <v>97</v>
      </c>
      <c r="G1435">
        <v>88</v>
      </c>
      <c r="H1435">
        <v>17157131</v>
      </c>
      <c r="I1435">
        <v>3941917</v>
      </c>
      <c r="J1435">
        <v>35</v>
      </c>
      <c r="K1435">
        <v>37</v>
      </c>
      <c r="L1435">
        <v>-13215214</v>
      </c>
      <c r="M1435" s="1" t="s">
        <v>2536</v>
      </c>
      <c r="N1435" s="1" t="s">
        <v>2537</v>
      </c>
      <c r="O1435">
        <v>2.5561293368975501E-3</v>
      </c>
      <c r="P1435">
        <v>0</v>
      </c>
      <c r="Q1435">
        <v>0</v>
      </c>
      <c r="R1435">
        <v>0</v>
      </c>
      <c r="S1435">
        <v>0</v>
      </c>
      <c r="T1435">
        <v>12.2149565</v>
      </c>
      <c r="U1435">
        <f t="shared" si="44"/>
        <v>0</v>
      </c>
      <c r="V1435">
        <f t="shared" si="45"/>
        <v>0</v>
      </c>
    </row>
    <row r="1436" spans="1:22" x14ac:dyDescent="0.2">
      <c r="A1436" t="s">
        <v>2495</v>
      </c>
      <c r="B1436" t="s">
        <v>32</v>
      </c>
      <c r="C1436" t="s">
        <v>76</v>
      </c>
      <c r="D1436" t="s">
        <v>77</v>
      </c>
      <c r="E1436" s="1" t="s">
        <v>99</v>
      </c>
      <c r="F1436" t="s">
        <v>100</v>
      </c>
      <c r="G1436">
        <v>39</v>
      </c>
      <c r="H1436">
        <v>6942604</v>
      </c>
      <c r="I1436">
        <v>56179735</v>
      </c>
      <c r="J1436">
        <v>60</v>
      </c>
      <c r="K1436">
        <v>40</v>
      </c>
      <c r="L1436">
        <v>49237131</v>
      </c>
      <c r="M1436" s="1" t="s">
        <v>2538</v>
      </c>
      <c r="N1436" s="1" t="s">
        <v>2539</v>
      </c>
      <c r="O1436">
        <v>7.6472105533620599E-3</v>
      </c>
      <c r="P1436">
        <v>0</v>
      </c>
      <c r="Q1436">
        <v>0</v>
      </c>
      <c r="R1436">
        <v>0</v>
      </c>
      <c r="S1436">
        <v>0</v>
      </c>
      <c r="T1436">
        <v>12.2149565</v>
      </c>
      <c r="U1436">
        <f t="shared" si="44"/>
        <v>0</v>
      </c>
      <c r="V1436">
        <f t="shared" si="45"/>
        <v>0</v>
      </c>
    </row>
    <row r="1437" spans="1:22" x14ac:dyDescent="0.2">
      <c r="A1437" t="s">
        <v>2495</v>
      </c>
      <c r="B1437" t="s">
        <v>32</v>
      </c>
      <c r="C1437" t="s">
        <v>76</v>
      </c>
      <c r="D1437" t="s">
        <v>77</v>
      </c>
      <c r="E1437">
        <v>13</v>
      </c>
      <c r="F1437" t="s">
        <v>91</v>
      </c>
      <c r="G1437">
        <v>68</v>
      </c>
      <c r="H1437">
        <v>2508453</v>
      </c>
      <c r="I1437">
        <v>763561</v>
      </c>
      <c r="J1437">
        <v>46</v>
      </c>
      <c r="K1437">
        <v>51</v>
      </c>
      <c r="L1437">
        <v>-1744892</v>
      </c>
      <c r="M1437" s="1" t="s">
        <v>2540</v>
      </c>
      <c r="N1437" s="1" t="s">
        <v>2541</v>
      </c>
      <c r="O1437" s="1" t="s">
        <v>2542</v>
      </c>
      <c r="P1437">
        <v>0</v>
      </c>
      <c r="Q1437">
        <v>0</v>
      </c>
      <c r="R1437">
        <v>0</v>
      </c>
      <c r="S1437">
        <v>0</v>
      </c>
      <c r="T1437">
        <v>12.2149565</v>
      </c>
      <c r="U1437">
        <f t="shared" si="44"/>
        <v>0</v>
      </c>
      <c r="V1437">
        <f t="shared" si="45"/>
        <v>0</v>
      </c>
    </row>
    <row r="1438" spans="1:22" x14ac:dyDescent="0.2">
      <c r="A1438" t="s">
        <v>2495</v>
      </c>
      <c r="B1438" t="s">
        <v>32</v>
      </c>
      <c r="C1438" t="s">
        <v>76</v>
      </c>
      <c r="D1438" t="s">
        <v>77</v>
      </c>
      <c r="E1438" s="1" t="s">
        <v>82</v>
      </c>
      <c r="F1438" t="s">
        <v>83</v>
      </c>
      <c r="G1438" s="1" t="s">
        <v>93</v>
      </c>
      <c r="H1438">
        <v>2099467</v>
      </c>
      <c r="I1438">
        <v>423567</v>
      </c>
      <c r="J1438">
        <v>29</v>
      </c>
      <c r="K1438">
        <v>65</v>
      </c>
      <c r="L1438">
        <v>-1675900</v>
      </c>
      <c r="M1438" s="1" t="s">
        <v>2543</v>
      </c>
      <c r="N1438" s="1" t="s">
        <v>2544</v>
      </c>
      <c r="O1438" s="1" t="s">
        <v>2545</v>
      </c>
      <c r="P1438">
        <v>0</v>
      </c>
      <c r="Q1438">
        <v>0</v>
      </c>
      <c r="R1438">
        <v>0</v>
      </c>
      <c r="S1438">
        <v>0</v>
      </c>
      <c r="T1438">
        <v>12.2149565</v>
      </c>
      <c r="U1438">
        <f t="shared" si="44"/>
        <v>0</v>
      </c>
      <c r="V1438">
        <f t="shared" si="45"/>
        <v>0</v>
      </c>
    </row>
    <row r="1439" spans="1:22" x14ac:dyDescent="0.2">
      <c r="A1439" t="s">
        <v>2495</v>
      </c>
      <c r="B1439" t="s">
        <v>32</v>
      </c>
      <c r="C1439" t="s">
        <v>76</v>
      </c>
      <c r="D1439" t="s">
        <v>77</v>
      </c>
      <c r="E1439">
        <v>15</v>
      </c>
      <c r="F1439" t="s">
        <v>88</v>
      </c>
      <c r="G1439">
        <v>75</v>
      </c>
      <c r="H1439">
        <v>30015179</v>
      </c>
      <c r="I1439">
        <v>43090</v>
      </c>
      <c r="J1439">
        <v>19</v>
      </c>
      <c r="K1439">
        <v>36</v>
      </c>
      <c r="L1439">
        <v>-29972089</v>
      </c>
      <c r="M1439" s="1" t="s">
        <v>2546</v>
      </c>
      <c r="N1439">
        <v>1.4335489512054E-3</v>
      </c>
      <c r="O1439">
        <v>3.64153032910576E-3</v>
      </c>
      <c r="P1439">
        <v>0</v>
      </c>
      <c r="Q1439">
        <v>0</v>
      </c>
      <c r="R1439">
        <v>0</v>
      </c>
      <c r="S1439">
        <v>0</v>
      </c>
      <c r="T1439">
        <v>12.2149565</v>
      </c>
      <c r="U1439">
        <f t="shared" si="44"/>
        <v>0</v>
      </c>
      <c r="V1439">
        <f t="shared" si="45"/>
        <v>0</v>
      </c>
    </row>
    <row r="1440" spans="1:22" x14ac:dyDescent="0.2">
      <c r="A1440" t="s">
        <v>2495</v>
      </c>
      <c r="B1440" t="s">
        <v>32</v>
      </c>
      <c r="C1440" t="s">
        <v>76</v>
      </c>
      <c r="D1440" t="s">
        <v>77</v>
      </c>
      <c r="E1440">
        <v>16</v>
      </c>
      <c r="F1440" t="s">
        <v>95</v>
      </c>
      <c r="G1440">
        <v>85</v>
      </c>
      <c r="H1440">
        <v>23850771</v>
      </c>
      <c r="I1440">
        <v>1050723728</v>
      </c>
      <c r="J1440">
        <v>55</v>
      </c>
      <c r="K1440">
        <v>21</v>
      </c>
      <c r="L1440">
        <v>1026872957</v>
      </c>
      <c r="M1440">
        <v>2.2195549049596398E-2</v>
      </c>
      <c r="N1440" s="1" t="s">
        <v>2547</v>
      </c>
      <c r="O1440" s="1" t="s">
        <v>2548</v>
      </c>
      <c r="P1440">
        <v>0</v>
      </c>
      <c r="Q1440">
        <v>0</v>
      </c>
      <c r="R1440">
        <v>0</v>
      </c>
      <c r="S1440">
        <v>0</v>
      </c>
      <c r="T1440">
        <v>12.2149565</v>
      </c>
      <c r="U1440">
        <f t="shared" si="44"/>
        <v>0</v>
      </c>
      <c r="V1440">
        <f t="shared" si="45"/>
        <v>0</v>
      </c>
    </row>
    <row r="1441" spans="1:22" x14ac:dyDescent="0.2">
      <c r="A1441" t="s">
        <v>2495</v>
      </c>
      <c r="B1441" t="s">
        <v>32</v>
      </c>
      <c r="C1441" t="s">
        <v>76</v>
      </c>
      <c r="D1441" t="s">
        <v>77</v>
      </c>
      <c r="E1441" s="1" t="s">
        <v>85</v>
      </c>
      <c r="F1441" t="s">
        <v>86</v>
      </c>
      <c r="G1441">
        <v>25</v>
      </c>
      <c r="H1441">
        <v>4279399</v>
      </c>
      <c r="I1441">
        <v>228840</v>
      </c>
      <c r="J1441">
        <v>50</v>
      </c>
      <c r="K1441">
        <v>56</v>
      </c>
      <c r="L1441">
        <v>-4050559</v>
      </c>
      <c r="M1441" s="1" t="s">
        <v>2549</v>
      </c>
      <c r="N1441" s="1" t="s">
        <v>2550</v>
      </c>
      <c r="O1441" s="1" t="s">
        <v>2551</v>
      </c>
      <c r="P1441">
        <v>0</v>
      </c>
      <c r="Q1441">
        <v>0</v>
      </c>
      <c r="R1441">
        <v>0</v>
      </c>
      <c r="S1441">
        <v>0</v>
      </c>
      <c r="T1441">
        <v>12.2149565</v>
      </c>
      <c r="U1441">
        <f t="shared" si="44"/>
        <v>0</v>
      </c>
      <c r="V1441">
        <f t="shared" si="45"/>
        <v>0</v>
      </c>
    </row>
    <row r="1442" spans="1:22" x14ac:dyDescent="0.2">
      <c r="A1442" t="s">
        <v>2495</v>
      </c>
      <c r="B1442" t="s">
        <v>32</v>
      </c>
      <c r="C1442" t="s">
        <v>76</v>
      </c>
      <c r="D1442" t="s">
        <v>77</v>
      </c>
      <c r="E1442">
        <v>15</v>
      </c>
      <c r="F1442" t="s">
        <v>88</v>
      </c>
      <c r="G1442">
        <v>80</v>
      </c>
      <c r="H1442">
        <v>144966</v>
      </c>
      <c r="I1442">
        <v>243065</v>
      </c>
      <c r="J1442">
        <v>23</v>
      </c>
      <c r="K1442">
        <v>15</v>
      </c>
      <c r="L1442">
        <v>98099</v>
      </c>
      <c r="M1442" s="1" t="s">
        <v>2552</v>
      </c>
      <c r="N1442" s="1" t="s">
        <v>2553</v>
      </c>
      <c r="O1442" s="1" t="s">
        <v>2554</v>
      </c>
      <c r="P1442">
        <v>0</v>
      </c>
      <c r="Q1442">
        <v>0</v>
      </c>
      <c r="R1442">
        <v>0</v>
      </c>
      <c r="S1442">
        <v>0</v>
      </c>
      <c r="T1442">
        <v>12.2149565</v>
      </c>
      <c r="U1442">
        <f t="shared" si="44"/>
        <v>0</v>
      </c>
      <c r="V1442">
        <f t="shared" si="45"/>
        <v>0</v>
      </c>
    </row>
    <row r="1443" spans="1:22" x14ac:dyDescent="0.2">
      <c r="A1443" t="s">
        <v>2495</v>
      </c>
      <c r="B1443" t="s">
        <v>32</v>
      </c>
      <c r="C1443" t="s">
        <v>76</v>
      </c>
      <c r="D1443" t="s">
        <v>77</v>
      </c>
      <c r="E1443" s="1" t="s">
        <v>89</v>
      </c>
      <c r="F1443" t="s">
        <v>90</v>
      </c>
      <c r="G1443">
        <v>32</v>
      </c>
      <c r="H1443">
        <v>249045</v>
      </c>
      <c r="I1443">
        <v>25165888</v>
      </c>
      <c r="J1443">
        <v>76</v>
      </c>
      <c r="K1443">
        <v>32</v>
      </c>
      <c r="L1443">
        <v>24916843</v>
      </c>
      <c r="M1443">
        <v>9.7991602023896705E-3</v>
      </c>
      <c r="N1443" s="1" t="s">
        <v>2555</v>
      </c>
      <c r="O1443">
        <v>3.07899464642128E-3</v>
      </c>
      <c r="P1443">
        <v>0</v>
      </c>
      <c r="Q1443">
        <v>0</v>
      </c>
      <c r="R1443">
        <v>0</v>
      </c>
      <c r="S1443">
        <v>0</v>
      </c>
      <c r="T1443">
        <v>12.2149565</v>
      </c>
      <c r="U1443">
        <f t="shared" si="44"/>
        <v>0</v>
      </c>
      <c r="V1443">
        <f t="shared" si="45"/>
        <v>0</v>
      </c>
    </row>
    <row r="1444" spans="1:22" x14ac:dyDescent="0.2">
      <c r="A1444" t="s">
        <v>2495</v>
      </c>
      <c r="B1444" t="s">
        <v>32</v>
      </c>
      <c r="C1444" t="s">
        <v>76</v>
      </c>
      <c r="D1444" t="s">
        <v>77</v>
      </c>
      <c r="E1444" s="1" t="s">
        <v>138</v>
      </c>
      <c r="F1444" t="s">
        <v>139</v>
      </c>
      <c r="G1444">
        <v>22</v>
      </c>
      <c r="H1444">
        <v>479529</v>
      </c>
      <c r="I1444">
        <v>390367</v>
      </c>
      <c r="J1444">
        <v>82</v>
      </c>
      <c r="K1444">
        <v>64</v>
      </c>
      <c r="L1444">
        <v>-89162</v>
      </c>
      <c r="M1444" s="1" t="s">
        <v>2556</v>
      </c>
      <c r="N1444" s="1" t="s">
        <v>2557</v>
      </c>
      <c r="O1444" s="1" t="s">
        <v>2558</v>
      </c>
      <c r="P1444">
        <v>0</v>
      </c>
      <c r="Q1444">
        <v>0</v>
      </c>
      <c r="R1444">
        <v>0</v>
      </c>
      <c r="S1444">
        <v>0</v>
      </c>
      <c r="T1444">
        <v>12.2149565</v>
      </c>
      <c r="U1444">
        <f t="shared" si="44"/>
        <v>0</v>
      </c>
      <c r="V1444">
        <f t="shared" si="45"/>
        <v>0</v>
      </c>
    </row>
    <row r="1445" spans="1:22" x14ac:dyDescent="0.2">
      <c r="A1445" t="s">
        <v>2495</v>
      </c>
      <c r="B1445" t="s">
        <v>32</v>
      </c>
      <c r="C1445" t="s">
        <v>76</v>
      </c>
      <c r="D1445" t="s">
        <v>77</v>
      </c>
      <c r="E1445">
        <v>16</v>
      </c>
      <c r="F1445" t="s">
        <v>95</v>
      </c>
      <c r="G1445">
        <v>84</v>
      </c>
      <c r="H1445">
        <v>16458819</v>
      </c>
      <c r="I1445">
        <v>362579412</v>
      </c>
      <c r="J1445">
        <v>59</v>
      </c>
      <c r="K1445">
        <v>40</v>
      </c>
      <c r="L1445">
        <v>346120593</v>
      </c>
      <c r="M1445">
        <v>4.3422582879245199E-2</v>
      </c>
      <c r="N1445" s="1" t="s">
        <v>2559</v>
      </c>
      <c r="O1445" s="1" t="s">
        <v>2560</v>
      </c>
      <c r="P1445">
        <v>0</v>
      </c>
      <c r="Q1445">
        <v>0</v>
      </c>
      <c r="R1445">
        <v>0</v>
      </c>
      <c r="S1445">
        <v>0</v>
      </c>
      <c r="T1445">
        <v>12.2149565</v>
      </c>
      <c r="U1445">
        <f t="shared" si="44"/>
        <v>0</v>
      </c>
      <c r="V1445">
        <f t="shared" si="45"/>
        <v>0</v>
      </c>
    </row>
    <row r="1446" spans="1:22" x14ac:dyDescent="0.2">
      <c r="A1446" t="s">
        <v>2495</v>
      </c>
      <c r="B1446" t="s">
        <v>32</v>
      </c>
      <c r="C1446" t="s">
        <v>76</v>
      </c>
      <c r="D1446" t="s">
        <v>77</v>
      </c>
      <c r="E1446">
        <v>15</v>
      </c>
      <c r="F1446" t="s">
        <v>88</v>
      </c>
      <c r="G1446">
        <v>73</v>
      </c>
      <c r="H1446">
        <v>9729228</v>
      </c>
      <c r="I1446">
        <v>34955759</v>
      </c>
      <c r="J1446">
        <v>48</v>
      </c>
      <c r="K1446">
        <v>42</v>
      </c>
      <c r="L1446">
        <v>25226531</v>
      </c>
      <c r="M1446" s="1" t="s">
        <v>2561</v>
      </c>
      <c r="N1446" s="1" t="s">
        <v>2562</v>
      </c>
      <c r="O1446">
        <v>5.4135431223999199E-3</v>
      </c>
      <c r="P1446">
        <v>0</v>
      </c>
      <c r="Q1446">
        <v>0</v>
      </c>
      <c r="R1446">
        <v>0</v>
      </c>
      <c r="S1446">
        <v>0</v>
      </c>
      <c r="T1446">
        <v>12.2149565</v>
      </c>
      <c r="U1446">
        <f t="shared" si="44"/>
        <v>0</v>
      </c>
      <c r="V1446">
        <f t="shared" si="45"/>
        <v>0</v>
      </c>
    </row>
    <row r="1447" spans="1:22" x14ac:dyDescent="0.2">
      <c r="A1447" t="s">
        <v>2495</v>
      </c>
      <c r="B1447" t="s">
        <v>32</v>
      </c>
      <c r="C1447" t="s">
        <v>76</v>
      </c>
      <c r="D1447" t="s">
        <v>77</v>
      </c>
      <c r="E1447">
        <v>13</v>
      </c>
      <c r="F1447" t="s">
        <v>91</v>
      </c>
      <c r="G1447">
        <v>70</v>
      </c>
      <c r="H1447">
        <v>638047</v>
      </c>
      <c r="I1447">
        <v>1903207</v>
      </c>
      <c r="J1447">
        <v>66</v>
      </c>
      <c r="K1447">
        <v>41</v>
      </c>
      <c r="L1447">
        <v>1265160</v>
      </c>
      <c r="M1447">
        <v>0.25107565005308402</v>
      </c>
      <c r="N1447" s="1" t="s">
        <v>2563</v>
      </c>
      <c r="O1447" s="1" t="s">
        <v>2564</v>
      </c>
      <c r="P1447">
        <v>0</v>
      </c>
      <c r="Q1447">
        <v>0</v>
      </c>
      <c r="R1447">
        <v>0</v>
      </c>
      <c r="S1447">
        <v>0</v>
      </c>
      <c r="T1447">
        <v>12.2149565</v>
      </c>
      <c r="U1447">
        <f t="shared" si="44"/>
        <v>0</v>
      </c>
      <c r="V1447">
        <f t="shared" si="45"/>
        <v>0</v>
      </c>
    </row>
    <row r="1448" spans="1:22" x14ac:dyDescent="0.2">
      <c r="A1448" t="s">
        <v>2495</v>
      </c>
      <c r="B1448" t="s">
        <v>32</v>
      </c>
      <c r="C1448" t="s">
        <v>76</v>
      </c>
      <c r="D1448" t="s">
        <v>77</v>
      </c>
      <c r="E1448" s="1" t="s">
        <v>89</v>
      </c>
      <c r="F1448" t="s">
        <v>90</v>
      </c>
      <c r="G1448">
        <v>38</v>
      </c>
      <c r="H1448">
        <v>12718110</v>
      </c>
      <c r="I1448">
        <v>91442703</v>
      </c>
      <c r="J1448">
        <v>33</v>
      </c>
      <c r="K1448">
        <v>25</v>
      </c>
      <c r="L1448">
        <v>78724593</v>
      </c>
      <c r="M1448" s="1" t="s">
        <v>2565</v>
      </c>
      <c r="N1448" s="1" t="s">
        <v>2566</v>
      </c>
      <c r="O1448">
        <v>1.2618982139118299E-2</v>
      </c>
      <c r="P1448">
        <v>0</v>
      </c>
      <c r="Q1448">
        <v>0</v>
      </c>
      <c r="R1448">
        <v>0</v>
      </c>
      <c r="S1448">
        <v>0</v>
      </c>
      <c r="T1448">
        <v>12.2149565</v>
      </c>
      <c r="U1448">
        <f t="shared" si="44"/>
        <v>0</v>
      </c>
      <c r="V1448">
        <f t="shared" si="45"/>
        <v>0</v>
      </c>
    </row>
    <row r="1449" spans="1:22" x14ac:dyDescent="0.2">
      <c r="A1449" t="s">
        <v>2495</v>
      </c>
      <c r="B1449" t="s">
        <v>32</v>
      </c>
      <c r="C1449" t="s">
        <v>76</v>
      </c>
      <c r="D1449" t="s">
        <v>77</v>
      </c>
      <c r="E1449" s="1" t="s">
        <v>155</v>
      </c>
      <c r="F1449" t="s">
        <v>156</v>
      </c>
      <c r="G1449" s="1" t="s">
        <v>155</v>
      </c>
      <c r="H1449">
        <v>76087</v>
      </c>
      <c r="I1449">
        <v>169539</v>
      </c>
      <c r="J1449">
        <v>41</v>
      </c>
      <c r="K1449">
        <v>34</v>
      </c>
      <c r="L1449">
        <v>93452</v>
      </c>
      <c r="M1449" s="1" t="s">
        <v>2567</v>
      </c>
      <c r="N1449" s="1" t="s">
        <v>2568</v>
      </c>
      <c r="O1449" s="1" t="s">
        <v>2569</v>
      </c>
      <c r="P1449">
        <v>0</v>
      </c>
      <c r="Q1449">
        <v>0</v>
      </c>
      <c r="R1449">
        <v>0</v>
      </c>
      <c r="S1449">
        <v>0</v>
      </c>
      <c r="T1449">
        <v>12.2149565</v>
      </c>
      <c r="U1449">
        <f t="shared" si="44"/>
        <v>0</v>
      </c>
      <c r="V1449">
        <f t="shared" si="45"/>
        <v>0</v>
      </c>
    </row>
    <row r="1450" spans="1:22" x14ac:dyDescent="0.2">
      <c r="A1450" t="s">
        <v>2495</v>
      </c>
      <c r="B1450" t="s">
        <v>32</v>
      </c>
      <c r="C1450" t="s">
        <v>76</v>
      </c>
      <c r="D1450" t="s">
        <v>77</v>
      </c>
      <c r="E1450">
        <v>17</v>
      </c>
      <c r="F1450" t="s">
        <v>97</v>
      </c>
      <c r="G1450">
        <v>87</v>
      </c>
      <c r="H1450">
        <v>146099</v>
      </c>
      <c r="I1450">
        <v>44059012</v>
      </c>
      <c r="J1450">
        <v>120</v>
      </c>
      <c r="K1450">
        <v>38</v>
      </c>
      <c r="L1450">
        <v>43912913</v>
      </c>
      <c r="M1450">
        <v>3.30502506825511E-3</v>
      </c>
      <c r="N1450" s="1" t="s">
        <v>2570</v>
      </c>
      <c r="O1450">
        <v>5.3554066073461101E-3</v>
      </c>
      <c r="P1450">
        <v>0</v>
      </c>
      <c r="Q1450">
        <v>0</v>
      </c>
      <c r="R1450">
        <v>0</v>
      </c>
      <c r="S1450">
        <v>0</v>
      </c>
      <c r="T1450">
        <v>12.2149565</v>
      </c>
      <c r="U1450">
        <f t="shared" si="44"/>
        <v>0</v>
      </c>
      <c r="V1450">
        <f t="shared" si="45"/>
        <v>0</v>
      </c>
    </row>
    <row r="1451" spans="1:22" x14ac:dyDescent="0.2">
      <c r="A1451" t="s">
        <v>2495</v>
      </c>
      <c r="B1451" t="s">
        <v>32</v>
      </c>
      <c r="C1451" t="s">
        <v>76</v>
      </c>
      <c r="D1451" t="s">
        <v>77</v>
      </c>
      <c r="E1451">
        <v>15</v>
      </c>
      <c r="F1451" t="s">
        <v>88</v>
      </c>
      <c r="G1451">
        <v>83</v>
      </c>
      <c r="H1451">
        <v>253966</v>
      </c>
      <c r="I1451">
        <v>937914</v>
      </c>
      <c r="J1451">
        <v>47</v>
      </c>
      <c r="K1451">
        <v>49</v>
      </c>
      <c r="L1451">
        <v>683948</v>
      </c>
      <c r="M1451" s="1" t="s">
        <v>2571</v>
      </c>
      <c r="N1451" s="1" t="s">
        <v>2572</v>
      </c>
      <c r="O1451" s="1" t="s">
        <v>2573</v>
      </c>
      <c r="P1451">
        <v>0</v>
      </c>
      <c r="Q1451">
        <v>0</v>
      </c>
      <c r="R1451">
        <v>0</v>
      </c>
      <c r="S1451">
        <v>0</v>
      </c>
      <c r="T1451">
        <v>12.2149565</v>
      </c>
      <c r="U1451">
        <f t="shared" si="44"/>
        <v>0</v>
      </c>
      <c r="V1451">
        <f t="shared" si="45"/>
        <v>0</v>
      </c>
    </row>
    <row r="1452" spans="1:22" x14ac:dyDescent="0.2">
      <c r="A1452" t="s">
        <v>2495</v>
      </c>
      <c r="B1452" t="s">
        <v>32</v>
      </c>
      <c r="C1452" t="s">
        <v>76</v>
      </c>
      <c r="D1452" t="s">
        <v>77</v>
      </c>
      <c r="E1452">
        <v>20</v>
      </c>
      <c r="F1452" t="s">
        <v>104</v>
      </c>
      <c r="G1452">
        <v>95</v>
      </c>
      <c r="H1452">
        <v>74438</v>
      </c>
      <c r="I1452">
        <v>21841474</v>
      </c>
      <c r="J1452">
        <v>69</v>
      </c>
      <c r="K1452">
        <v>26</v>
      </c>
      <c r="L1452">
        <v>21767036</v>
      </c>
      <c r="M1452">
        <v>3.39652760058536E-3</v>
      </c>
      <c r="N1452" s="1" t="s">
        <v>2574</v>
      </c>
      <c r="O1452">
        <v>2.6550916234734899E-3</v>
      </c>
      <c r="P1452">
        <v>0</v>
      </c>
      <c r="Q1452">
        <v>0</v>
      </c>
      <c r="R1452">
        <v>0</v>
      </c>
      <c r="S1452">
        <v>0</v>
      </c>
      <c r="T1452">
        <v>12.2149565</v>
      </c>
      <c r="U1452">
        <f t="shared" si="44"/>
        <v>0</v>
      </c>
      <c r="V1452">
        <f t="shared" si="45"/>
        <v>0</v>
      </c>
    </row>
    <row r="1453" spans="1:22" x14ac:dyDescent="0.2">
      <c r="A1453" t="s">
        <v>2495</v>
      </c>
      <c r="B1453" t="s">
        <v>32</v>
      </c>
      <c r="C1453" t="s">
        <v>76</v>
      </c>
      <c r="D1453" t="s">
        <v>77</v>
      </c>
      <c r="E1453">
        <v>18</v>
      </c>
      <c r="F1453" t="s">
        <v>147</v>
      </c>
      <c r="G1453">
        <v>91</v>
      </c>
      <c r="H1453">
        <v>52951</v>
      </c>
      <c r="I1453">
        <v>733831</v>
      </c>
      <c r="J1453">
        <v>43</v>
      </c>
      <c r="K1453">
        <v>31</v>
      </c>
      <c r="L1453">
        <v>680880</v>
      </c>
      <c r="M1453">
        <v>6.7300726249456599E-2</v>
      </c>
      <c r="N1453" s="1" t="s">
        <v>2575</v>
      </c>
      <c r="O1453" s="1" t="s">
        <v>2576</v>
      </c>
      <c r="P1453">
        <v>0</v>
      </c>
      <c r="Q1453">
        <v>0</v>
      </c>
      <c r="R1453">
        <v>0</v>
      </c>
      <c r="S1453">
        <v>0</v>
      </c>
      <c r="T1453">
        <v>12.2149565</v>
      </c>
      <c r="U1453">
        <f t="shared" si="44"/>
        <v>0</v>
      </c>
      <c r="V1453">
        <f t="shared" si="45"/>
        <v>0</v>
      </c>
    </row>
    <row r="1454" spans="1:22" x14ac:dyDescent="0.2">
      <c r="A1454" t="s">
        <v>2495</v>
      </c>
      <c r="B1454" t="s">
        <v>32</v>
      </c>
      <c r="C1454" t="s">
        <v>76</v>
      </c>
      <c r="D1454" t="s">
        <v>77</v>
      </c>
      <c r="E1454" s="1" t="s">
        <v>89</v>
      </c>
      <c r="F1454" t="s">
        <v>90</v>
      </c>
      <c r="G1454">
        <v>33</v>
      </c>
      <c r="H1454">
        <v>1349881</v>
      </c>
      <c r="I1454">
        <v>54715344</v>
      </c>
      <c r="J1454">
        <v>62</v>
      </c>
      <c r="K1454">
        <v>29</v>
      </c>
      <c r="L1454">
        <v>53365463</v>
      </c>
      <c r="M1454" s="1" t="s">
        <v>2577</v>
      </c>
      <c r="N1454" s="1" t="s">
        <v>2578</v>
      </c>
      <c r="O1454">
        <v>6.7922479915805802E-3</v>
      </c>
      <c r="P1454">
        <v>0</v>
      </c>
      <c r="Q1454">
        <v>0</v>
      </c>
      <c r="R1454">
        <v>0</v>
      </c>
      <c r="S1454">
        <v>0</v>
      </c>
      <c r="T1454">
        <v>12.2149565</v>
      </c>
      <c r="U1454">
        <f t="shared" si="44"/>
        <v>0</v>
      </c>
      <c r="V1454">
        <f t="shared" si="45"/>
        <v>0</v>
      </c>
    </row>
    <row r="1455" spans="1:22" x14ac:dyDescent="0.2">
      <c r="A1455" t="s">
        <v>2495</v>
      </c>
      <c r="B1455" t="s">
        <v>32</v>
      </c>
      <c r="C1455" t="s">
        <v>76</v>
      </c>
      <c r="D1455" t="s">
        <v>77</v>
      </c>
      <c r="E1455">
        <v>20</v>
      </c>
      <c r="F1455" t="s">
        <v>104</v>
      </c>
      <c r="G1455">
        <v>94</v>
      </c>
      <c r="H1455">
        <v>1213525</v>
      </c>
      <c r="I1455">
        <v>38760269</v>
      </c>
      <c r="J1455">
        <v>55</v>
      </c>
      <c r="K1455">
        <v>30</v>
      </c>
      <c r="L1455">
        <v>37546744</v>
      </c>
      <c r="M1455">
        <v>3.0358014052906699E-2</v>
      </c>
      <c r="N1455" s="1" t="s">
        <v>2579</v>
      </c>
      <c r="O1455">
        <v>4.8427866295436403E-3</v>
      </c>
      <c r="P1455">
        <v>0</v>
      </c>
      <c r="Q1455">
        <v>0</v>
      </c>
      <c r="R1455">
        <v>0</v>
      </c>
      <c r="S1455">
        <v>0</v>
      </c>
      <c r="T1455">
        <v>12.2149565</v>
      </c>
      <c r="U1455">
        <f t="shared" si="44"/>
        <v>0</v>
      </c>
      <c r="V1455">
        <f t="shared" si="45"/>
        <v>0</v>
      </c>
    </row>
    <row r="1456" spans="1:22" x14ac:dyDescent="0.2">
      <c r="A1456" t="s">
        <v>2495</v>
      </c>
      <c r="B1456" t="s">
        <v>32</v>
      </c>
      <c r="C1456" t="s">
        <v>76</v>
      </c>
      <c r="D1456" t="s">
        <v>77</v>
      </c>
      <c r="E1456">
        <v>20</v>
      </c>
      <c r="F1456" t="s">
        <v>104</v>
      </c>
      <c r="G1456">
        <v>96</v>
      </c>
      <c r="H1456">
        <v>69740</v>
      </c>
      <c r="I1456">
        <v>5580885</v>
      </c>
      <c r="J1456">
        <v>63</v>
      </c>
      <c r="K1456">
        <v>35</v>
      </c>
      <c r="L1456">
        <v>5511145</v>
      </c>
      <c r="M1456" s="1" t="s">
        <v>2580</v>
      </c>
      <c r="N1456" s="1" t="s">
        <v>2581</v>
      </c>
      <c r="O1456" s="1" t="s">
        <v>2582</v>
      </c>
      <c r="P1456">
        <v>0</v>
      </c>
      <c r="Q1456">
        <v>0</v>
      </c>
      <c r="R1456">
        <v>0</v>
      </c>
      <c r="S1456">
        <v>0</v>
      </c>
      <c r="T1456">
        <v>12.2149565</v>
      </c>
      <c r="U1456">
        <f t="shared" si="44"/>
        <v>0</v>
      </c>
      <c r="V1456">
        <f t="shared" si="45"/>
        <v>0</v>
      </c>
    </row>
    <row r="1457" spans="1:22" x14ac:dyDescent="0.2">
      <c r="A1457" t="s">
        <v>2495</v>
      </c>
      <c r="B1457" t="s">
        <v>32</v>
      </c>
      <c r="C1457" t="s">
        <v>76</v>
      </c>
      <c r="D1457" t="s">
        <v>77</v>
      </c>
      <c r="E1457" s="1" t="s">
        <v>138</v>
      </c>
      <c r="F1457" t="s">
        <v>139</v>
      </c>
      <c r="G1457">
        <v>23</v>
      </c>
      <c r="H1457">
        <v>76638</v>
      </c>
      <c r="I1457">
        <v>31035062</v>
      </c>
      <c r="J1457">
        <v>71</v>
      </c>
      <c r="K1457">
        <v>25</v>
      </c>
      <c r="L1457">
        <v>30958424</v>
      </c>
      <c r="M1457">
        <v>2.4633176586300299E-3</v>
      </c>
      <c r="N1457" s="1" t="s">
        <v>2583</v>
      </c>
      <c r="O1457">
        <v>3.7691524798064602E-3</v>
      </c>
      <c r="P1457">
        <v>0</v>
      </c>
      <c r="Q1457">
        <v>0</v>
      </c>
      <c r="R1457">
        <v>0</v>
      </c>
      <c r="S1457">
        <v>0</v>
      </c>
      <c r="T1457">
        <v>12.2149565</v>
      </c>
      <c r="U1457">
        <f t="shared" si="44"/>
        <v>0</v>
      </c>
      <c r="V1457">
        <f t="shared" si="45"/>
        <v>0</v>
      </c>
    </row>
    <row r="1458" spans="1:22" x14ac:dyDescent="0.2">
      <c r="A1458" t="s">
        <v>2495</v>
      </c>
      <c r="B1458" t="s">
        <v>32</v>
      </c>
      <c r="C1458" t="s">
        <v>76</v>
      </c>
      <c r="D1458" t="s">
        <v>77</v>
      </c>
      <c r="E1458" s="1" t="s">
        <v>89</v>
      </c>
      <c r="F1458" t="s">
        <v>90</v>
      </c>
      <c r="G1458">
        <v>34</v>
      </c>
      <c r="H1458">
        <v>348088</v>
      </c>
      <c r="I1458">
        <v>96284462</v>
      </c>
      <c r="J1458">
        <v>67</v>
      </c>
      <c r="K1458">
        <v>16</v>
      </c>
      <c r="L1458">
        <v>95936374</v>
      </c>
      <c r="M1458">
        <v>3.6021816665295402E-3</v>
      </c>
      <c r="N1458" s="1" t="s">
        <v>2584</v>
      </c>
      <c r="O1458" s="1" t="s">
        <v>2585</v>
      </c>
      <c r="P1458">
        <v>0</v>
      </c>
      <c r="Q1458">
        <v>0</v>
      </c>
      <c r="R1458">
        <v>0</v>
      </c>
      <c r="S1458">
        <v>0</v>
      </c>
      <c r="T1458">
        <v>12.2149565</v>
      </c>
      <c r="U1458">
        <f t="shared" si="44"/>
        <v>0</v>
      </c>
      <c r="V1458">
        <f t="shared" si="45"/>
        <v>0</v>
      </c>
    </row>
    <row r="1459" spans="1:22" x14ac:dyDescent="0.2">
      <c r="A1459" t="s">
        <v>2495</v>
      </c>
      <c r="B1459" t="s">
        <v>32</v>
      </c>
      <c r="C1459" t="s">
        <v>76</v>
      </c>
      <c r="D1459" t="s">
        <v>77</v>
      </c>
      <c r="E1459">
        <v>19</v>
      </c>
      <c r="F1459" t="s">
        <v>838</v>
      </c>
      <c r="G1459">
        <v>93</v>
      </c>
      <c r="H1459">
        <v>1986</v>
      </c>
      <c r="I1459">
        <v>0</v>
      </c>
      <c r="J1459">
        <v>81</v>
      </c>
      <c r="K1459">
        <v>36</v>
      </c>
      <c r="L1459">
        <v>-1986</v>
      </c>
      <c r="M1459">
        <v>1</v>
      </c>
      <c r="N1459">
        <v>0</v>
      </c>
      <c r="O1459" s="1" t="s">
        <v>2586</v>
      </c>
      <c r="P1459">
        <v>0</v>
      </c>
      <c r="Q1459">
        <v>0</v>
      </c>
      <c r="R1459">
        <v>0</v>
      </c>
      <c r="S1459">
        <v>0</v>
      </c>
      <c r="T1459">
        <v>12.2149565</v>
      </c>
      <c r="U1459">
        <f t="shared" si="44"/>
        <v>0</v>
      </c>
      <c r="V1459">
        <f t="shared" si="45"/>
        <v>0</v>
      </c>
    </row>
    <row r="1460" spans="1:22" x14ac:dyDescent="0.2">
      <c r="A1460" t="s">
        <v>2495</v>
      </c>
      <c r="B1460" t="s">
        <v>32</v>
      </c>
      <c r="C1460" t="s">
        <v>76</v>
      </c>
      <c r="D1460" t="s">
        <v>77</v>
      </c>
      <c r="E1460">
        <v>12</v>
      </c>
      <c r="F1460" t="s">
        <v>194</v>
      </c>
      <c r="G1460">
        <v>64</v>
      </c>
      <c r="H1460">
        <v>18577</v>
      </c>
      <c r="I1460">
        <v>11313903</v>
      </c>
      <c r="J1460">
        <v>72</v>
      </c>
      <c r="K1460">
        <v>35</v>
      </c>
      <c r="L1460">
        <v>11295326</v>
      </c>
      <c r="M1460">
        <v>1.6392704862483701E-3</v>
      </c>
      <c r="N1460" s="1" t="s">
        <v>2587</v>
      </c>
      <c r="O1460">
        <v>1.37291903349406E-3</v>
      </c>
      <c r="P1460">
        <v>0</v>
      </c>
      <c r="Q1460">
        <v>0</v>
      </c>
      <c r="R1460">
        <v>0</v>
      </c>
      <c r="S1460">
        <v>0</v>
      </c>
      <c r="T1460">
        <v>12.2149565</v>
      </c>
      <c r="U1460">
        <f t="shared" si="44"/>
        <v>0</v>
      </c>
      <c r="V1460">
        <f t="shared" si="45"/>
        <v>0</v>
      </c>
    </row>
    <row r="1461" spans="1:22" x14ac:dyDescent="0.2">
      <c r="A1461" t="s">
        <v>2495</v>
      </c>
      <c r="B1461" t="s">
        <v>32</v>
      </c>
      <c r="C1461" t="s">
        <v>76</v>
      </c>
      <c r="D1461" t="s">
        <v>77</v>
      </c>
      <c r="E1461">
        <v>11</v>
      </c>
      <c r="F1461" t="s">
        <v>127</v>
      </c>
      <c r="G1461">
        <v>62</v>
      </c>
      <c r="H1461">
        <v>22451</v>
      </c>
      <c r="I1461">
        <v>3568263</v>
      </c>
      <c r="J1461">
        <v>79</v>
      </c>
      <c r="K1461">
        <v>47</v>
      </c>
      <c r="L1461">
        <v>3545812</v>
      </c>
      <c r="M1461">
        <v>6.2525169088933196E-3</v>
      </c>
      <c r="N1461" s="1" t="s">
        <v>2588</v>
      </c>
      <c r="O1461" s="1" t="s">
        <v>2589</v>
      </c>
      <c r="P1461">
        <v>0</v>
      </c>
      <c r="Q1461">
        <v>0</v>
      </c>
      <c r="R1461">
        <v>0</v>
      </c>
      <c r="S1461">
        <v>0</v>
      </c>
      <c r="T1461">
        <v>12.2149565</v>
      </c>
      <c r="U1461">
        <f t="shared" si="44"/>
        <v>0</v>
      </c>
      <c r="V1461">
        <f t="shared" si="45"/>
        <v>0</v>
      </c>
    </row>
    <row r="1462" spans="1:22" x14ac:dyDescent="0.2">
      <c r="A1462" t="s">
        <v>2495</v>
      </c>
      <c r="B1462" t="s">
        <v>32</v>
      </c>
      <c r="C1462" t="s">
        <v>76</v>
      </c>
      <c r="D1462" t="s">
        <v>77</v>
      </c>
      <c r="E1462">
        <v>10</v>
      </c>
      <c r="F1462" t="s">
        <v>119</v>
      </c>
      <c r="G1462">
        <v>49</v>
      </c>
      <c r="H1462">
        <v>49571</v>
      </c>
      <c r="I1462">
        <v>983857</v>
      </c>
      <c r="J1462">
        <v>73</v>
      </c>
      <c r="K1462">
        <v>39</v>
      </c>
      <c r="L1462">
        <v>934286</v>
      </c>
      <c r="M1462">
        <v>4.7967541038175798E-2</v>
      </c>
      <c r="N1462" s="1" t="s">
        <v>2590</v>
      </c>
      <c r="O1462" s="1" t="s">
        <v>2591</v>
      </c>
      <c r="P1462">
        <v>0</v>
      </c>
      <c r="Q1462">
        <v>0</v>
      </c>
      <c r="R1462">
        <v>0</v>
      </c>
      <c r="S1462">
        <v>0</v>
      </c>
      <c r="T1462">
        <v>12.2149565</v>
      </c>
      <c r="U1462">
        <f t="shared" si="44"/>
        <v>0</v>
      </c>
      <c r="V1462">
        <f t="shared" si="45"/>
        <v>0</v>
      </c>
    </row>
    <row r="1463" spans="1:22" x14ac:dyDescent="0.2">
      <c r="A1463" t="s">
        <v>2495</v>
      </c>
      <c r="B1463" t="s">
        <v>32</v>
      </c>
      <c r="C1463" t="s">
        <v>76</v>
      </c>
      <c r="D1463" t="s">
        <v>77</v>
      </c>
      <c r="E1463" s="1" t="s">
        <v>82</v>
      </c>
      <c r="F1463" t="s">
        <v>83</v>
      </c>
      <c r="G1463" s="1" t="s">
        <v>89</v>
      </c>
      <c r="H1463">
        <v>0</v>
      </c>
      <c r="I1463">
        <v>231393</v>
      </c>
      <c r="J1463">
        <v>49</v>
      </c>
      <c r="K1463">
        <v>45</v>
      </c>
      <c r="L1463">
        <v>231393</v>
      </c>
      <c r="M1463">
        <v>0</v>
      </c>
      <c r="N1463">
        <v>1</v>
      </c>
      <c r="O1463" s="1" t="s">
        <v>2592</v>
      </c>
      <c r="P1463">
        <v>0</v>
      </c>
      <c r="Q1463">
        <v>0</v>
      </c>
      <c r="R1463">
        <v>0</v>
      </c>
      <c r="S1463">
        <v>0</v>
      </c>
      <c r="T1463">
        <v>12.2149565</v>
      </c>
      <c r="U1463">
        <f t="shared" si="44"/>
        <v>0</v>
      </c>
      <c r="V1463">
        <f t="shared" si="45"/>
        <v>0</v>
      </c>
    </row>
    <row r="1464" spans="1:22" x14ac:dyDescent="0.2">
      <c r="A1464" t="s">
        <v>2495</v>
      </c>
      <c r="B1464" t="s">
        <v>32</v>
      </c>
      <c r="C1464" t="s">
        <v>76</v>
      </c>
      <c r="D1464" t="s">
        <v>77</v>
      </c>
      <c r="E1464">
        <v>11</v>
      </c>
      <c r="F1464" t="s">
        <v>127</v>
      </c>
      <c r="G1464">
        <v>52</v>
      </c>
      <c r="H1464">
        <v>106260</v>
      </c>
      <c r="I1464">
        <v>6244208</v>
      </c>
      <c r="J1464">
        <v>30</v>
      </c>
      <c r="K1464">
        <v>22</v>
      </c>
      <c r="L1464">
        <v>6137948</v>
      </c>
      <c r="M1464">
        <v>1.6732625060074301E-2</v>
      </c>
      <c r="N1464" s="1" t="s">
        <v>2593</v>
      </c>
      <c r="O1464" s="1" t="s">
        <v>2594</v>
      </c>
      <c r="P1464">
        <v>0</v>
      </c>
      <c r="Q1464">
        <v>0</v>
      </c>
      <c r="R1464">
        <v>0</v>
      </c>
      <c r="S1464">
        <v>0</v>
      </c>
      <c r="T1464">
        <v>12.2149565</v>
      </c>
      <c r="U1464">
        <f t="shared" si="44"/>
        <v>0</v>
      </c>
      <c r="V1464">
        <f t="shared" si="45"/>
        <v>0</v>
      </c>
    </row>
    <row r="1465" spans="1:22" x14ac:dyDescent="0.2">
      <c r="A1465" t="s">
        <v>2495</v>
      </c>
      <c r="B1465" t="s">
        <v>32</v>
      </c>
      <c r="C1465" t="s">
        <v>76</v>
      </c>
      <c r="D1465" t="s">
        <v>77</v>
      </c>
      <c r="E1465">
        <v>11</v>
      </c>
      <c r="F1465" t="s">
        <v>127</v>
      </c>
      <c r="G1465">
        <v>61</v>
      </c>
      <c r="H1465">
        <v>0</v>
      </c>
      <c r="I1465">
        <v>34853136</v>
      </c>
      <c r="J1465">
        <v>126</v>
      </c>
      <c r="K1465">
        <v>29</v>
      </c>
      <c r="L1465">
        <v>34853136</v>
      </c>
      <c r="M1465">
        <v>0</v>
      </c>
      <c r="N1465">
        <v>1</v>
      </c>
      <c r="O1465">
        <v>4.2224238464446499E-3</v>
      </c>
      <c r="P1465">
        <v>0</v>
      </c>
      <c r="Q1465">
        <v>0</v>
      </c>
      <c r="R1465">
        <v>0</v>
      </c>
      <c r="S1465">
        <v>0</v>
      </c>
      <c r="T1465">
        <v>12.2149565</v>
      </c>
      <c r="U1465">
        <f t="shared" si="44"/>
        <v>0</v>
      </c>
      <c r="V1465">
        <f t="shared" si="45"/>
        <v>0</v>
      </c>
    </row>
    <row r="1466" spans="1:22" x14ac:dyDescent="0.2">
      <c r="A1466" t="s">
        <v>2495</v>
      </c>
      <c r="B1466" t="s">
        <v>32</v>
      </c>
      <c r="C1466" t="s">
        <v>76</v>
      </c>
      <c r="D1466" t="s">
        <v>77</v>
      </c>
      <c r="E1466">
        <v>18</v>
      </c>
      <c r="F1466" t="s">
        <v>147</v>
      </c>
      <c r="G1466">
        <v>92</v>
      </c>
      <c r="H1466">
        <v>4018</v>
      </c>
      <c r="I1466">
        <v>7696379</v>
      </c>
      <c r="J1466">
        <v>65</v>
      </c>
      <c r="K1466">
        <v>8</v>
      </c>
      <c r="L1466">
        <v>7692361</v>
      </c>
      <c r="M1466" s="1" t="s">
        <v>2595</v>
      </c>
      <c r="N1466">
        <v>0.99947820872092696</v>
      </c>
      <c r="O1466" s="1" t="s">
        <v>2596</v>
      </c>
      <c r="P1466">
        <v>0</v>
      </c>
      <c r="Q1466">
        <v>0</v>
      </c>
      <c r="R1466">
        <v>0</v>
      </c>
      <c r="S1466">
        <v>1</v>
      </c>
      <c r="T1466">
        <v>12.2149565</v>
      </c>
      <c r="U1466">
        <f t="shared" si="44"/>
        <v>0</v>
      </c>
      <c r="V1466">
        <f t="shared" si="45"/>
        <v>1</v>
      </c>
    </row>
    <row r="1467" spans="1:22" x14ac:dyDescent="0.2">
      <c r="A1467" t="s">
        <v>2495</v>
      </c>
      <c r="B1467" t="s">
        <v>32</v>
      </c>
      <c r="C1467" t="s">
        <v>76</v>
      </c>
      <c r="D1467" t="s">
        <v>77</v>
      </c>
      <c r="E1467" s="1" t="s">
        <v>163</v>
      </c>
      <c r="F1467" t="s">
        <v>224</v>
      </c>
      <c r="G1467">
        <v>42</v>
      </c>
      <c r="H1467">
        <v>13216</v>
      </c>
      <c r="I1467">
        <v>590168</v>
      </c>
      <c r="J1467">
        <v>67</v>
      </c>
      <c r="K1467">
        <v>49</v>
      </c>
      <c r="L1467">
        <v>576952</v>
      </c>
      <c r="M1467" s="1" t="s">
        <v>2597</v>
      </c>
      <c r="N1467">
        <v>0.97809686700343401</v>
      </c>
      <c r="O1467" s="1" t="s">
        <v>2598</v>
      </c>
      <c r="P1467">
        <v>0</v>
      </c>
      <c r="Q1467">
        <v>0</v>
      </c>
      <c r="R1467">
        <v>0</v>
      </c>
      <c r="S1467">
        <v>0</v>
      </c>
      <c r="T1467">
        <v>12.2149565</v>
      </c>
      <c r="U1467">
        <f t="shared" si="44"/>
        <v>0</v>
      </c>
      <c r="V1467">
        <f t="shared" si="45"/>
        <v>0</v>
      </c>
    </row>
    <row r="1468" spans="1:22" x14ac:dyDescent="0.2">
      <c r="A1468" t="s">
        <v>2495</v>
      </c>
      <c r="B1468" t="s">
        <v>32</v>
      </c>
      <c r="C1468" t="s">
        <v>76</v>
      </c>
      <c r="D1468" t="s">
        <v>77</v>
      </c>
      <c r="E1468" s="1" t="s">
        <v>138</v>
      </c>
      <c r="F1468" t="s">
        <v>139</v>
      </c>
      <c r="G1468">
        <v>20</v>
      </c>
      <c r="H1468">
        <v>66654</v>
      </c>
      <c r="I1468">
        <v>6348507</v>
      </c>
      <c r="J1468">
        <v>49</v>
      </c>
      <c r="K1468">
        <v>45</v>
      </c>
      <c r="L1468">
        <v>6281853</v>
      </c>
      <c r="M1468">
        <v>1.0390074387844599E-2</v>
      </c>
      <c r="N1468" s="1" t="s">
        <v>2599</v>
      </c>
      <c r="O1468" s="1" t="s">
        <v>2600</v>
      </c>
      <c r="P1468">
        <v>0</v>
      </c>
      <c r="Q1468">
        <v>0</v>
      </c>
      <c r="R1468">
        <v>0</v>
      </c>
      <c r="S1468">
        <v>0</v>
      </c>
      <c r="T1468">
        <v>12.2149565</v>
      </c>
      <c r="U1468">
        <f t="shared" si="44"/>
        <v>0</v>
      </c>
      <c r="V1468">
        <f t="shared" si="45"/>
        <v>0</v>
      </c>
    </row>
    <row r="1469" spans="1:22" x14ac:dyDescent="0.2">
      <c r="A1469" t="s">
        <v>2495</v>
      </c>
      <c r="B1469" t="s">
        <v>32</v>
      </c>
      <c r="C1469" t="s">
        <v>76</v>
      </c>
      <c r="D1469" t="s">
        <v>77</v>
      </c>
      <c r="E1469">
        <v>11</v>
      </c>
      <c r="F1469" t="s">
        <v>127</v>
      </c>
      <c r="G1469">
        <v>53</v>
      </c>
      <c r="H1469">
        <v>3129</v>
      </c>
      <c r="I1469">
        <v>17962</v>
      </c>
      <c r="J1469">
        <v>62</v>
      </c>
      <c r="K1469">
        <v>34</v>
      </c>
      <c r="L1469">
        <v>14833</v>
      </c>
      <c r="M1469" s="1" t="s">
        <v>2601</v>
      </c>
      <c r="N1469" s="1" t="s">
        <v>2602</v>
      </c>
      <c r="O1469" s="1" t="s">
        <v>2603</v>
      </c>
      <c r="P1469">
        <v>0</v>
      </c>
      <c r="Q1469">
        <v>0</v>
      </c>
      <c r="R1469">
        <v>0</v>
      </c>
      <c r="S1469">
        <v>0</v>
      </c>
      <c r="T1469">
        <v>12.2149565</v>
      </c>
      <c r="U1469">
        <f t="shared" si="44"/>
        <v>0</v>
      </c>
      <c r="V1469">
        <f t="shared" si="45"/>
        <v>0</v>
      </c>
    </row>
    <row r="1470" spans="1:22" x14ac:dyDescent="0.2">
      <c r="A1470" t="s">
        <v>2495</v>
      </c>
      <c r="B1470" t="s">
        <v>32</v>
      </c>
      <c r="C1470" t="s">
        <v>76</v>
      </c>
      <c r="D1470" t="s">
        <v>77</v>
      </c>
      <c r="E1470">
        <v>12</v>
      </c>
      <c r="F1470" t="s">
        <v>194</v>
      </c>
      <c r="G1470">
        <v>65</v>
      </c>
      <c r="H1470">
        <v>0</v>
      </c>
      <c r="I1470">
        <v>543990</v>
      </c>
      <c r="J1470">
        <v>105</v>
      </c>
      <c r="K1470">
        <v>39</v>
      </c>
      <c r="L1470">
        <v>543990</v>
      </c>
      <c r="M1470">
        <v>0</v>
      </c>
      <c r="N1470">
        <v>1</v>
      </c>
      <c r="O1470" s="1" t="s">
        <v>2604</v>
      </c>
      <c r="P1470">
        <v>0</v>
      </c>
      <c r="Q1470">
        <v>0</v>
      </c>
      <c r="R1470">
        <v>0</v>
      </c>
      <c r="S1470">
        <v>0</v>
      </c>
      <c r="T1470">
        <v>12.2149565</v>
      </c>
      <c r="U1470">
        <f t="shared" si="44"/>
        <v>0</v>
      </c>
      <c r="V1470">
        <f t="shared" si="45"/>
        <v>0</v>
      </c>
    </row>
    <row r="1471" spans="1:22" x14ac:dyDescent="0.2">
      <c r="A1471" t="s">
        <v>2495</v>
      </c>
      <c r="B1471" t="s">
        <v>32</v>
      </c>
      <c r="C1471" t="s">
        <v>76</v>
      </c>
      <c r="D1471" t="s">
        <v>77</v>
      </c>
      <c r="E1471">
        <v>11</v>
      </c>
      <c r="F1471" t="s">
        <v>127</v>
      </c>
      <c r="G1471">
        <v>63</v>
      </c>
      <c r="H1471">
        <v>12448</v>
      </c>
      <c r="I1471">
        <v>2255799</v>
      </c>
      <c r="J1471">
        <v>95</v>
      </c>
      <c r="K1471">
        <v>45</v>
      </c>
      <c r="L1471">
        <v>2243351</v>
      </c>
      <c r="M1471">
        <v>5.4879384828900903E-3</v>
      </c>
      <c r="N1471" s="1" t="s">
        <v>2605</v>
      </c>
      <c r="O1471" s="1" t="s">
        <v>2606</v>
      </c>
      <c r="P1471">
        <v>0</v>
      </c>
      <c r="Q1471">
        <v>0</v>
      </c>
      <c r="R1471">
        <v>0</v>
      </c>
      <c r="S1471">
        <v>0</v>
      </c>
      <c r="T1471">
        <v>12.2149565</v>
      </c>
      <c r="U1471">
        <f t="shared" si="44"/>
        <v>0</v>
      </c>
      <c r="V1471">
        <f t="shared" si="45"/>
        <v>0</v>
      </c>
    </row>
    <row r="1472" spans="1:22" x14ac:dyDescent="0.2">
      <c r="A1472" t="s">
        <v>2495</v>
      </c>
      <c r="B1472" t="s">
        <v>32</v>
      </c>
      <c r="C1472" t="s">
        <v>76</v>
      </c>
      <c r="D1472" t="s">
        <v>77</v>
      </c>
      <c r="E1472" s="1" t="s">
        <v>138</v>
      </c>
      <c r="F1472" t="s">
        <v>139</v>
      </c>
      <c r="G1472">
        <v>21</v>
      </c>
      <c r="H1472">
        <v>340408</v>
      </c>
      <c r="I1472">
        <v>128253906</v>
      </c>
      <c r="J1472">
        <v>72</v>
      </c>
      <c r="K1472">
        <v>17</v>
      </c>
      <c r="L1472">
        <v>127913498</v>
      </c>
      <c r="M1472">
        <v>2.6471465915670202E-3</v>
      </c>
      <c r="N1472" s="1" t="s">
        <v>2607</v>
      </c>
      <c r="O1472" s="1" t="s">
        <v>2608</v>
      </c>
      <c r="P1472">
        <v>0</v>
      </c>
      <c r="Q1472">
        <v>0</v>
      </c>
      <c r="R1472">
        <v>0</v>
      </c>
      <c r="S1472">
        <v>0</v>
      </c>
      <c r="T1472">
        <v>12.2149565</v>
      </c>
      <c r="U1472">
        <f t="shared" si="44"/>
        <v>0</v>
      </c>
      <c r="V1472">
        <f t="shared" si="45"/>
        <v>0</v>
      </c>
    </row>
    <row r="1473" spans="1:22" x14ac:dyDescent="0.2">
      <c r="A1473" t="s">
        <v>2495</v>
      </c>
      <c r="B1473" t="s">
        <v>32</v>
      </c>
      <c r="C1473" t="s">
        <v>76</v>
      </c>
      <c r="D1473" t="s">
        <v>77</v>
      </c>
      <c r="E1473">
        <v>11</v>
      </c>
      <c r="F1473" t="s">
        <v>127</v>
      </c>
      <c r="G1473">
        <v>59</v>
      </c>
      <c r="H1473">
        <v>43575</v>
      </c>
      <c r="I1473">
        <v>261908</v>
      </c>
      <c r="J1473">
        <v>48</v>
      </c>
      <c r="K1473">
        <v>43</v>
      </c>
      <c r="L1473">
        <v>218333</v>
      </c>
      <c r="M1473" s="1" t="s">
        <v>2609</v>
      </c>
      <c r="N1473" s="1" t="s">
        <v>2610</v>
      </c>
      <c r="O1473" s="1" t="s">
        <v>2611</v>
      </c>
      <c r="P1473">
        <v>0</v>
      </c>
      <c r="Q1473">
        <v>0</v>
      </c>
      <c r="R1473">
        <v>0</v>
      </c>
      <c r="S1473">
        <v>0</v>
      </c>
      <c r="T1473">
        <v>12.2149565</v>
      </c>
      <c r="U1473">
        <f t="shared" si="44"/>
        <v>0</v>
      </c>
      <c r="V1473">
        <f t="shared" si="45"/>
        <v>0</v>
      </c>
    </row>
    <row r="1474" spans="1:22" x14ac:dyDescent="0.2">
      <c r="A1474" t="s">
        <v>2495</v>
      </c>
      <c r="B1474" t="s">
        <v>32</v>
      </c>
      <c r="C1474" t="s">
        <v>76</v>
      </c>
      <c r="D1474" t="s">
        <v>77</v>
      </c>
      <c r="E1474">
        <v>11</v>
      </c>
      <c r="F1474" t="s">
        <v>127</v>
      </c>
      <c r="G1474">
        <v>56</v>
      </c>
      <c r="H1474">
        <v>13413</v>
      </c>
      <c r="I1474">
        <v>9578741</v>
      </c>
      <c r="J1474">
        <v>73</v>
      </c>
      <c r="K1474">
        <v>31</v>
      </c>
      <c r="L1474">
        <v>9565328</v>
      </c>
      <c r="M1474">
        <v>1.3983303437371799E-3</v>
      </c>
      <c r="N1474" s="1" t="s">
        <v>2612</v>
      </c>
      <c r="O1474">
        <v>1.1620802153461699E-3</v>
      </c>
      <c r="P1474">
        <v>0</v>
      </c>
      <c r="Q1474">
        <v>0</v>
      </c>
      <c r="R1474">
        <v>0</v>
      </c>
      <c r="S1474">
        <v>0</v>
      </c>
      <c r="T1474">
        <v>12.2149565</v>
      </c>
      <c r="U1474">
        <f t="shared" si="44"/>
        <v>0</v>
      </c>
      <c r="V1474">
        <f t="shared" si="45"/>
        <v>0</v>
      </c>
    </row>
    <row r="1475" spans="1:22" x14ac:dyDescent="0.2">
      <c r="A1475" t="s">
        <v>2495</v>
      </c>
      <c r="B1475" t="s">
        <v>32</v>
      </c>
      <c r="C1475" t="s">
        <v>76</v>
      </c>
      <c r="D1475" t="s">
        <v>77</v>
      </c>
      <c r="E1475" s="1" t="s">
        <v>138</v>
      </c>
      <c r="F1475" t="s">
        <v>139</v>
      </c>
      <c r="G1475">
        <v>18</v>
      </c>
      <c r="H1475">
        <v>56962</v>
      </c>
      <c r="I1475">
        <v>206376256</v>
      </c>
      <c r="J1475">
        <v>69</v>
      </c>
      <c r="K1475">
        <v>6</v>
      </c>
      <c r="L1475">
        <v>206319294</v>
      </c>
      <c r="M1475" s="1" t="s">
        <v>2613</v>
      </c>
      <c r="N1475">
        <v>0.99972406572667005</v>
      </c>
      <c r="O1475" s="1" t="s">
        <v>2614</v>
      </c>
      <c r="P1475">
        <v>0</v>
      </c>
      <c r="Q1475">
        <v>0</v>
      </c>
      <c r="R1475">
        <v>0</v>
      </c>
      <c r="S1475">
        <v>1</v>
      </c>
      <c r="T1475">
        <v>12.2149565</v>
      </c>
      <c r="U1475">
        <f t="shared" ref="U1475:U1538" si="46">IF(OR(P1475=1,Q1475=1),1,0)</f>
        <v>0</v>
      </c>
      <c r="V1475">
        <f t="shared" ref="V1475:V1538" si="47">IF(OR(R1475=1,S1475=1),1,0)</f>
        <v>1</v>
      </c>
    </row>
    <row r="1476" spans="1:22" x14ac:dyDescent="0.2">
      <c r="A1476" t="s">
        <v>2495</v>
      </c>
      <c r="B1476" t="s">
        <v>32</v>
      </c>
      <c r="C1476" t="s">
        <v>76</v>
      </c>
      <c r="D1476" t="s">
        <v>77</v>
      </c>
      <c r="E1476" s="1" t="s">
        <v>82</v>
      </c>
      <c r="F1476" t="s">
        <v>83</v>
      </c>
      <c r="G1476">
        <v>13</v>
      </c>
      <c r="H1476">
        <v>0</v>
      </c>
      <c r="I1476">
        <v>223648</v>
      </c>
      <c r="J1476">
        <v>59</v>
      </c>
      <c r="K1476">
        <v>37</v>
      </c>
      <c r="L1476">
        <v>223648</v>
      </c>
      <c r="M1476">
        <v>0</v>
      </c>
      <c r="N1476">
        <v>1</v>
      </c>
      <c r="O1476" s="1" t="s">
        <v>2615</v>
      </c>
      <c r="P1476">
        <v>0</v>
      </c>
      <c r="Q1476">
        <v>0</v>
      </c>
      <c r="R1476">
        <v>0</v>
      </c>
      <c r="S1476">
        <v>0</v>
      </c>
      <c r="T1476">
        <v>12.2149565</v>
      </c>
      <c r="U1476">
        <f t="shared" si="46"/>
        <v>0</v>
      </c>
      <c r="V1476">
        <f t="shared" si="47"/>
        <v>0</v>
      </c>
    </row>
    <row r="1477" spans="1:22" x14ac:dyDescent="0.2">
      <c r="A1477" t="s">
        <v>2495</v>
      </c>
      <c r="B1477" t="s">
        <v>32</v>
      </c>
      <c r="C1477" t="s">
        <v>76</v>
      </c>
      <c r="D1477" t="s">
        <v>77</v>
      </c>
      <c r="E1477">
        <v>14</v>
      </c>
      <c r="F1477" t="s">
        <v>261</v>
      </c>
      <c r="G1477">
        <v>71</v>
      </c>
      <c r="H1477">
        <v>174514</v>
      </c>
      <c r="I1477">
        <v>1455067</v>
      </c>
      <c r="J1477">
        <v>59</v>
      </c>
      <c r="K1477">
        <v>33</v>
      </c>
      <c r="L1477">
        <v>1280553</v>
      </c>
      <c r="M1477" s="1" t="s">
        <v>2616</v>
      </c>
      <c r="N1477">
        <v>0.89290866793365897</v>
      </c>
      <c r="O1477" s="1" t="s">
        <v>2617</v>
      </c>
      <c r="P1477">
        <v>0</v>
      </c>
      <c r="Q1477">
        <v>0</v>
      </c>
      <c r="R1477">
        <v>0</v>
      </c>
      <c r="S1477">
        <v>0</v>
      </c>
      <c r="T1477">
        <v>12.2149565</v>
      </c>
      <c r="U1477">
        <f t="shared" si="46"/>
        <v>0</v>
      </c>
      <c r="V1477">
        <f t="shared" si="47"/>
        <v>0</v>
      </c>
    </row>
    <row r="1478" spans="1:22" x14ac:dyDescent="0.2">
      <c r="A1478" t="s">
        <v>2495</v>
      </c>
      <c r="B1478" t="s">
        <v>32</v>
      </c>
      <c r="C1478" t="s">
        <v>76</v>
      </c>
      <c r="D1478" t="s">
        <v>77</v>
      </c>
      <c r="E1478" s="1" t="s">
        <v>89</v>
      </c>
      <c r="F1478" t="s">
        <v>90</v>
      </c>
      <c r="G1478">
        <v>35</v>
      </c>
      <c r="H1478">
        <v>81762</v>
      </c>
      <c r="I1478">
        <v>6569025</v>
      </c>
      <c r="J1478">
        <v>42</v>
      </c>
      <c r="K1478">
        <v>33</v>
      </c>
      <c r="L1478">
        <v>6487263</v>
      </c>
      <c r="M1478" s="1" t="s">
        <v>2618</v>
      </c>
      <c r="N1478" s="1" t="s">
        <v>2619</v>
      </c>
      <c r="O1478" s="1" t="s">
        <v>2620</v>
      </c>
      <c r="P1478">
        <v>0</v>
      </c>
      <c r="Q1478">
        <v>0</v>
      </c>
      <c r="R1478">
        <v>0</v>
      </c>
      <c r="S1478">
        <v>0</v>
      </c>
      <c r="T1478">
        <v>12.2149565</v>
      </c>
      <c r="U1478">
        <f t="shared" si="46"/>
        <v>0</v>
      </c>
      <c r="V1478">
        <f t="shared" si="47"/>
        <v>0</v>
      </c>
    </row>
    <row r="1479" spans="1:22" x14ac:dyDescent="0.2">
      <c r="A1479" t="s">
        <v>2495</v>
      </c>
      <c r="B1479" t="s">
        <v>32</v>
      </c>
      <c r="C1479" t="s">
        <v>76</v>
      </c>
      <c r="D1479" t="s">
        <v>77</v>
      </c>
      <c r="E1479">
        <v>13</v>
      </c>
      <c r="F1479" t="s">
        <v>91</v>
      </c>
      <c r="G1479">
        <v>69</v>
      </c>
      <c r="H1479">
        <v>0</v>
      </c>
      <c r="I1479">
        <v>4449331</v>
      </c>
      <c r="J1479">
        <v>121</v>
      </c>
      <c r="K1479">
        <v>34</v>
      </c>
      <c r="L1479">
        <v>4449331</v>
      </c>
      <c r="M1479">
        <v>0</v>
      </c>
      <c r="N1479">
        <v>1</v>
      </c>
      <c r="O1479" s="1" t="s">
        <v>2621</v>
      </c>
      <c r="P1479">
        <v>0</v>
      </c>
      <c r="Q1479">
        <v>0</v>
      </c>
      <c r="R1479">
        <v>0</v>
      </c>
      <c r="S1479">
        <v>0</v>
      </c>
      <c r="T1479">
        <v>12.2149565</v>
      </c>
      <c r="U1479">
        <f t="shared" si="46"/>
        <v>0</v>
      </c>
      <c r="V1479">
        <f t="shared" si="47"/>
        <v>0</v>
      </c>
    </row>
    <row r="1480" spans="1:22" x14ac:dyDescent="0.2">
      <c r="A1480" t="s">
        <v>2495</v>
      </c>
      <c r="B1480" t="s">
        <v>32</v>
      </c>
      <c r="C1480" t="s">
        <v>76</v>
      </c>
      <c r="D1480" t="s">
        <v>77</v>
      </c>
      <c r="E1480" s="1" t="s">
        <v>138</v>
      </c>
      <c r="F1480" t="s">
        <v>139</v>
      </c>
      <c r="G1480">
        <v>19</v>
      </c>
      <c r="H1480">
        <v>27235</v>
      </c>
      <c r="I1480">
        <v>11352657</v>
      </c>
      <c r="J1480">
        <v>72</v>
      </c>
      <c r="K1480">
        <v>30</v>
      </c>
      <c r="L1480">
        <v>11325422</v>
      </c>
      <c r="M1480">
        <v>2.3932564562124102E-3</v>
      </c>
      <c r="N1480" s="1" t="s">
        <v>2622</v>
      </c>
      <c r="O1480">
        <v>1.3786629516140099E-3</v>
      </c>
      <c r="P1480">
        <v>0</v>
      </c>
      <c r="Q1480">
        <v>0</v>
      </c>
      <c r="R1480">
        <v>0</v>
      </c>
      <c r="S1480">
        <v>0</v>
      </c>
      <c r="T1480">
        <v>12.2149565</v>
      </c>
      <c r="U1480">
        <f t="shared" si="46"/>
        <v>0</v>
      </c>
      <c r="V1480">
        <f t="shared" si="47"/>
        <v>0</v>
      </c>
    </row>
    <row r="1481" spans="1:22" x14ac:dyDescent="0.2">
      <c r="A1481" t="s">
        <v>2495</v>
      </c>
      <c r="B1481" t="s">
        <v>32</v>
      </c>
      <c r="C1481" t="s">
        <v>76</v>
      </c>
      <c r="D1481" t="s">
        <v>77</v>
      </c>
      <c r="E1481">
        <v>11</v>
      </c>
      <c r="F1481" t="s">
        <v>127</v>
      </c>
      <c r="G1481">
        <v>55</v>
      </c>
      <c r="H1481">
        <v>14137</v>
      </c>
      <c r="I1481">
        <v>3523008</v>
      </c>
      <c r="J1481">
        <v>40</v>
      </c>
      <c r="K1481">
        <v>30</v>
      </c>
      <c r="L1481">
        <v>3508871</v>
      </c>
      <c r="M1481">
        <v>3.9967261732272701E-3</v>
      </c>
      <c r="N1481" s="1" t="s">
        <v>2623</v>
      </c>
      <c r="O1481" s="1" t="s">
        <v>2624</v>
      </c>
      <c r="P1481">
        <v>0</v>
      </c>
      <c r="Q1481">
        <v>0</v>
      </c>
      <c r="R1481">
        <v>0</v>
      </c>
      <c r="S1481">
        <v>0</v>
      </c>
      <c r="T1481">
        <v>12.2149565</v>
      </c>
      <c r="U1481">
        <f t="shared" si="46"/>
        <v>0</v>
      </c>
      <c r="V1481">
        <f t="shared" si="47"/>
        <v>0</v>
      </c>
    </row>
    <row r="1482" spans="1:22" x14ac:dyDescent="0.2">
      <c r="A1482" t="s">
        <v>2495</v>
      </c>
      <c r="B1482" t="s">
        <v>32</v>
      </c>
      <c r="C1482" t="s">
        <v>76</v>
      </c>
      <c r="D1482" t="s">
        <v>77</v>
      </c>
      <c r="E1482" s="1" t="s">
        <v>82</v>
      </c>
      <c r="F1482" t="s">
        <v>83</v>
      </c>
      <c r="G1482" s="1" t="s">
        <v>163</v>
      </c>
      <c r="H1482">
        <v>0</v>
      </c>
      <c r="I1482">
        <v>886333</v>
      </c>
      <c r="J1482">
        <v>74</v>
      </c>
      <c r="K1482">
        <v>69</v>
      </c>
      <c r="L1482">
        <v>886333</v>
      </c>
      <c r="M1482">
        <v>0</v>
      </c>
      <c r="N1482">
        <v>1</v>
      </c>
      <c r="O1482" s="1" t="s">
        <v>2625</v>
      </c>
      <c r="P1482">
        <v>0</v>
      </c>
      <c r="Q1482">
        <v>0</v>
      </c>
      <c r="R1482">
        <v>0</v>
      </c>
      <c r="S1482">
        <v>0</v>
      </c>
      <c r="T1482">
        <v>12.2149565</v>
      </c>
      <c r="U1482">
        <f t="shared" si="46"/>
        <v>0</v>
      </c>
      <c r="V1482">
        <f t="shared" si="47"/>
        <v>0</v>
      </c>
    </row>
    <row r="1483" spans="1:22" x14ac:dyDescent="0.2">
      <c r="A1483" t="s">
        <v>2495</v>
      </c>
      <c r="B1483" t="s">
        <v>32</v>
      </c>
      <c r="C1483" t="s">
        <v>76</v>
      </c>
      <c r="D1483" t="s">
        <v>77</v>
      </c>
      <c r="E1483">
        <v>11</v>
      </c>
      <c r="F1483" t="s">
        <v>127</v>
      </c>
      <c r="G1483">
        <v>54</v>
      </c>
      <c r="H1483">
        <v>0</v>
      </c>
      <c r="I1483">
        <v>988493</v>
      </c>
      <c r="J1483">
        <v>84</v>
      </c>
      <c r="K1483">
        <v>43</v>
      </c>
      <c r="L1483">
        <v>988493</v>
      </c>
      <c r="M1483">
        <v>0</v>
      </c>
      <c r="N1483">
        <v>1</v>
      </c>
      <c r="O1483" s="1" t="s">
        <v>2626</v>
      </c>
      <c r="P1483">
        <v>0</v>
      </c>
      <c r="Q1483">
        <v>0</v>
      </c>
      <c r="R1483">
        <v>0</v>
      </c>
      <c r="S1483">
        <v>0</v>
      </c>
      <c r="T1483">
        <v>12.2149565</v>
      </c>
      <c r="U1483">
        <f t="shared" si="46"/>
        <v>0</v>
      </c>
      <c r="V1483">
        <f t="shared" si="47"/>
        <v>0</v>
      </c>
    </row>
    <row r="1484" spans="1:22" x14ac:dyDescent="0.2">
      <c r="A1484" t="s">
        <v>2495</v>
      </c>
      <c r="B1484" t="s">
        <v>32</v>
      </c>
      <c r="C1484" t="s">
        <v>76</v>
      </c>
      <c r="D1484" t="s">
        <v>77</v>
      </c>
      <c r="E1484">
        <v>99</v>
      </c>
      <c r="F1484" t="s">
        <v>78</v>
      </c>
      <c r="G1484">
        <v>99</v>
      </c>
      <c r="H1484">
        <v>2327143</v>
      </c>
      <c r="I1484">
        <v>6462330</v>
      </c>
      <c r="J1484">
        <v>46</v>
      </c>
      <c r="K1484">
        <v>34</v>
      </c>
      <c r="L1484">
        <v>4135187</v>
      </c>
      <c r="M1484" s="1" t="s">
        <v>2627</v>
      </c>
      <c r="N1484" s="1" t="s">
        <v>2628</v>
      </c>
      <c r="O1484">
        <v>1.06483618555533E-3</v>
      </c>
      <c r="P1484">
        <v>0</v>
      </c>
      <c r="Q1484">
        <v>0</v>
      </c>
      <c r="R1484">
        <v>0</v>
      </c>
      <c r="S1484">
        <v>0</v>
      </c>
      <c r="T1484">
        <v>12.2149565</v>
      </c>
      <c r="U1484">
        <f t="shared" si="46"/>
        <v>0</v>
      </c>
      <c r="V1484">
        <f t="shared" si="47"/>
        <v>0</v>
      </c>
    </row>
    <row r="1485" spans="1:22" x14ac:dyDescent="0.2">
      <c r="A1485" t="s">
        <v>2495</v>
      </c>
      <c r="B1485" t="s">
        <v>32</v>
      </c>
      <c r="C1485" t="s">
        <v>76</v>
      </c>
      <c r="D1485" t="s">
        <v>77</v>
      </c>
      <c r="E1485">
        <v>11</v>
      </c>
      <c r="F1485" t="s">
        <v>127</v>
      </c>
      <c r="G1485">
        <v>60</v>
      </c>
      <c r="H1485">
        <v>0</v>
      </c>
      <c r="I1485">
        <v>421743</v>
      </c>
      <c r="J1485">
        <v>59</v>
      </c>
      <c r="K1485">
        <v>34</v>
      </c>
      <c r="L1485">
        <v>421743</v>
      </c>
      <c r="M1485">
        <v>0</v>
      </c>
      <c r="N1485">
        <v>1</v>
      </c>
      <c r="O1485" s="1" t="s">
        <v>2629</v>
      </c>
      <c r="P1485">
        <v>0</v>
      </c>
      <c r="Q1485">
        <v>0</v>
      </c>
      <c r="R1485">
        <v>0</v>
      </c>
      <c r="S1485">
        <v>0</v>
      </c>
      <c r="T1485">
        <v>12.2149565</v>
      </c>
      <c r="U1485">
        <f t="shared" si="46"/>
        <v>0</v>
      </c>
      <c r="V1485">
        <f t="shared" si="47"/>
        <v>0</v>
      </c>
    </row>
    <row r="1486" spans="1:22" x14ac:dyDescent="0.2">
      <c r="A1486" t="s">
        <v>2495</v>
      </c>
      <c r="B1486" t="s">
        <v>32</v>
      </c>
      <c r="C1486" t="s">
        <v>76</v>
      </c>
      <c r="D1486" t="s">
        <v>77</v>
      </c>
      <c r="E1486" s="1" t="s">
        <v>155</v>
      </c>
      <c r="F1486" t="s">
        <v>156</v>
      </c>
      <c r="G1486" s="1" t="s">
        <v>138</v>
      </c>
      <c r="H1486">
        <v>69617</v>
      </c>
      <c r="I1486">
        <v>3331229</v>
      </c>
      <c r="J1486">
        <v>43</v>
      </c>
      <c r="K1486">
        <v>38</v>
      </c>
      <c r="L1486">
        <v>3261612</v>
      </c>
      <c r="M1486" s="1" t="s">
        <v>2630</v>
      </c>
      <c r="N1486" s="1" t="s">
        <v>2631</v>
      </c>
      <c r="O1486" s="1" t="s">
        <v>2632</v>
      </c>
      <c r="P1486">
        <v>0</v>
      </c>
      <c r="Q1486">
        <v>0</v>
      </c>
      <c r="R1486">
        <v>0</v>
      </c>
      <c r="S1486">
        <v>0</v>
      </c>
      <c r="T1486">
        <v>12.2149565</v>
      </c>
      <c r="U1486">
        <f t="shared" si="46"/>
        <v>0</v>
      </c>
      <c r="V1486">
        <f t="shared" si="47"/>
        <v>0</v>
      </c>
    </row>
    <row r="1487" spans="1:22" x14ac:dyDescent="0.2">
      <c r="A1487" t="s">
        <v>2495</v>
      </c>
      <c r="B1487" t="s">
        <v>32</v>
      </c>
      <c r="C1487" t="s">
        <v>76</v>
      </c>
      <c r="D1487" t="s">
        <v>77</v>
      </c>
      <c r="E1487" s="1" t="s">
        <v>89</v>
      </c>
      <c r="F1487" t="s">
        <v>90</v>
      </c>
      <c r="G1487">
        <v>37</v>
      </c>
      <c r="H1487">
        <v>0</v>
      </c>
      <c r="I1487">
        <v>2733604</v>
      </c>
      <c r="J1487">
        <v>69</v>
      </c>
      <c r="K1487">
        <v>16</v>
      </c>
      <c r="L1487">
        <v>2733604</v>
      </c>
      <c r="M1487">
        <v>0</v>
      </c>
      <c r="N1487">
        <v>1</v>
      </c>
      <c r="O1487" s="1" t="s">
        <v>2633</v>
      </c>
      <c r="P1487">
        <v>0</v>
      </c>
      <c r="Q1487">
        <v>0</v>
      </c>
      <c r="R1487">
        <v>0</v>
      </c>
      <c r="S1487">
        <v>0</v>
      </c>
      <c r="T1487">
        <v>12.2149565</v>
      </c>
      <c r="U1487">
        <f t="shared" si="46"/>
        <v>0</v>
      </c>
      <c r="V1487">
        <f t="shared" si="47"/>
        <v>0</v>
      </c>
    </row>
    <row r="1488" spans="1:22" x14ac:dyDescent="0.2">
      <c r="A1488" t="s">
        <v>2634</v>
      </c>
      <c r="B1488" t="s">
        <v>33</v>
      </c>
      <c r="C1488" t="s">
        <v>76</v>
      </c>
      <c r="D1488" t="s">
        <v>77</v>
      </c>
      <c r="E1488" s="1" t="s">
        <v>89</v>
      </c>
      <c r="F1488" t="s">
        <v>90</v>
      </c>
      <c r="G1488">
        <v>31</v>
      </c>
      <c r="H1488">
        <v>127485031</v>
      </c>
      <c r="I1488">
        <v>1212934</v>
      </c>
      <c r="J1488">
        <v>50</v>
      </c>
      <c r="K1488">
        <v>24</v>
      </c>
      <c r="L1488">
        <v>-126272097</v>
      </c>
      <c r="M1488" s="1" t="s">
        <v>2635</v>
      </c>
      <c r="N1488">
        <v>9.4246556268391592E-3</v>
      </c>
      <c r="O1488" s="1" t="s">
        <v>2636</v>
      </c>
      <c r="P1488">
        <v>0</v>
      </c>
      <c r="Q1488">
        <v>0</v>
      </c>
      <c r="R1488">
        <v>0</v>
      </c>
      <c r="S1488">
        <v>0</v>
      </c>
      <c r="T1488">
        <v>172.9377106</v>
      </c>
      <c r="U1488">
        <f t="shared" si="46"/>
        <v>0</v>
      </c>
      <c r="V1488">
        <f t="shared" si="47"/>
        <v>0</v>
      </c>
    </row>
    <row r="1489" spans="1:22" x14ac:dyDescent="0.2">
      <c r="A1489" t="s">
        <v>2634</v>
      </c>
      <c r="B1489" t="s">
        <v>33</v>
      </c>
      <c r="C1489" t="s">
        <v>76</v>
      </c>
      <c r="D1489" t="s">
        <v>77</v>
      </c>
      <c r="E1489" s="1" t="s">
        <v>82</v>
      </c>
      <c r="F1489" t="s">
        <v>83</v>
      </c>
      <c r="G1489">
        <v>10</v>
      </c>
      <c r="H1489">
        <v>94344165</v>
      </c>
      <c r="I1489">
        <v>0</v>
      </c>
      <c r="J1489">
        <v>57</v>
      </c>
      <c r="K1489">
        <v>65</v>
      </c>
      <c r="L1489">
        <v>-94344165</v>
      </c>
      <c r="M1489">
        <v>1</v>
      </c>
      <c r="N1489">
        <v>0</v>
      </c>
      <c r="O1489" s="1" t="s">
        <v>2637</v>
      </c>
      <c r="P1489">
        <v>0</v>
      </c>
      <c r="Q1489">
        <v>0</v>
      </c>
      <c r="R1489">
        <v>0</v>
      </c>
      <c r="S1489">
        <v>0</v>
      </c>
      <c r="T1489">
        <v>172.9377106</v>
      </c>
      <c r="U1489">
        <f t="shared" si="46"/>
        <v>0</v>
      </c>
      <c r="V1489">
        <f t="shared" si="47"/>
        <v>0</v>
      </c>
    </row>
    <row r="1490" spans="1:22" x14ac:dyDescent="0.2">
      <c r="A1490" t="s">
        <v>2634</v>
      </c>
      <c r="B1490" t="s">
        <v>33</v>
      </c>
      <c r="C1490" t="s">
        <v>76</v>
      </c>
      <c r="D1490" t="s">
        <v>77</v>
      </c>
      <c r="E1490">
        <v>15</v>
      </c>
      <c r="F1490" t="s">
        <v>88</v>
      </c>
      <c r="G1490">
        <v>72</v>
      </c>
      <c r="H1490">
        <v>10426422</v>
      </c>
      <c r="I1490">
        <v>0</v>
      </c>
      <c r="J1490">
        <v>94</v>
      </c>
      <c r="K1490">
        <v>74</v>
      </c>
      <c r="L1490">
        <v>-10426422</v>
      </c>
      <c r="M1490">
        <v>1</v>
      </c>
      <c r="N1490">
        <v>0</v>
      </c>
      <c r="O1490" s="1" t="s">
        <v>2638</v>
      </c>
      <c r="P1490">
        <v>0</v>
      </c>
      <c r="Q1490">
        <v>0</v>
      </c>
      <c r="R1490">
        <v>0</v>
      </c>
      <c r="S1490">
        <v>0</v>
      </c>
      <c r="T1490">
        <v>172.9377106</v>
      </c>
      <c r="U1490">
        <f t="shared" si="46"/>
        <v>0</v>
      </c>
      <c r="V1490">
        <f t="shared" si="47"/>
        <v>0</v>
      </c>
    </row>
    <row r="1491" spans="1:22" x14ac:dyDescent="0.2">
      <c r="A1491" t="s">
        <v>2634</v>
      </c>
      <c r="B1491" t="s">
        <v>33</v>
      </c>
      <c r="C1491" t="s">
        <v>76</v>
      </c>
      <c r="D1491" t="s">
        <v>77</v>
      </c>
      <c r="E1491">
        <v>17</v>
      </c>
      <c r="F1491" t="s">
        <v>97</v>
      </c>
      <c r="G1491">
        <v>88</v>
      </c>
      <c r="H1491">
        <v>4891392</v>
      </c>
      <c r="I1491">
        <v>514706</v>
      </c>
      <c r="J1491">
        <v>48</v>
      </c>
      <c r="K1491">
        <v>50</v>
      </c>
      <c r="L1491">
        <v>-4376686</v>
      </c>
      <c r="M1491" s="1" t="s">
        <v>2639</v>
      </c>
      <c r="N1491">
        <v>9.5208410946305402E-2</v>
      </c>
      <c r="O1491">
        <v>2.1733051869550799E-2</v>
      </c>
      <c r="P1491">
        <v>0</v>
      </c>
      <c r="Q1491">
        <v>0</v>
      </c>
      <c r="R1491">
        <v>0</v>
      </c>
      <c r="S1491">
        <v>0</v>
      </c>
      <c r="T1491">
        <v>172.9377106</v>
      </c>
      <c r="U1491">
        <f t="shared" si="46"/>
        <v>0</v>
      </c>
      <c r="V1491">
        <f t="shared" si="47"/>
        <v>0</v>
      </c>
    </row>
    <row r="1492" spans="1:22" x14ac:dyDescent="0.2">
      <c r="A1492" t="s">
        <v>2634</v>
      </c>
      <c r="B1492" t="s">
        <v>33</v>
      </c>
      <c r="C1492" t="s">
        <v>76</v>
      </c>
      <c r="D1492" t="s">
        <v>77</v>
      </c>
      <c r="E1492" s="1" t="s">
        <v>89</v>
      </c>
      <c r="F1492" t="s">
        <v>90</v>
      </c>
      <c r="G1492">
        <v>28</v>
      </c>
      <c r="H1492">
        <v>3757931</v>
      </c>
      <c r="I1492">
        <v>65409</v>
      </c>
      <c r="J1492">
        <v>93</v>
      </c>
      <c r="K1492">
        <v>71</v>
      </c>
      <c r="L1492">
        <v>-3692522</v>
      </c>
      <c r="M1492" s="1" t="s">
        <v>2640</v>
      </c>
      <c r="N1492" s="1" t="s">
        <v>2641</v>
      </c>
      <c r="O1492">
        <v>1.53702072243101E-2</v>
      </c>
      <c r="P1492">
        <v>0</v>
      </c>
      <c r="Q1492">
        <v>0</v>
      </c>
      <c r="R1492">
        <v>0</v>
      </c>
      <c r="S1492">
        <v>0</v>
      </c>
      <c r="T1492">
        <v>172.9377106</v>
      </c>
      <c r="U1492">
        <f t="shared" si="46"/>
        <v>0</v>
      </c>
      <c r="V1492">
        <f t="shared" si="47"/>
        <v>0</v>
      </c>
    </row>
    <row r="1493" spans="1:22" x14ac:dyDescent="0.2">
      <c r="A1493" t="s">
        <v>2634</v>
      </c>
      <c r="B1493" t="s">
        <v>33</v>
      </c>
      <c r="C1493" t="s">
        <v>76</v>
      </c>
      <c r="D1493" t="s">
        <v>77</v>
      </c>
      <c r="E1493" s="1" t="s">
        <v>82</v>
      </c>
      <c r="F1493" t="s">
        <v>83</v>
      </c>
      <c r="G1493" s="1" t="s">
        <v>99</v>
      </c>
      <c r="H1493">
        <v>163862</v>
      </c>
      <c r="I1493">
        <v>0</v>
      </c>
      <c r="J1493">
        <v>81</v>
      </c>
      <c r="K1493">
        <v>90</v>
      </c>
      <c r="L1493">
        <v>-163862</v>
      </c>
      <c r="M1493">
        <v>1</v>
      </c>
      <c r="N1493">
        <v>0</v>
      </c>
      <c r="O1493" s="1" t="s">
        <v>2642</v>
      </c>
      <c r="P1493">
        <v>0</v>
      </c>
      <c r="Q1493">
        <v>0</v>
      </c>
      <c r="R1493">
        <v>0</v>
      </c>
      <c r="S1493">
        <v>0</v>
      </c>
      <c r="T1493">
        <v>172.9377106</v>
      </c>
      <c r="U1493">
        <f t="shared" si="46"/>
        <v>0</v>
      </c>
      <c r="V1493">
        <f t="shared" si="47"/>
        <v>0</v>
      </c>
    </row>
    <row r="1494" spans="1:22" x14ac:dyDescent="0.2">
      <c r="A1494" t="s">
        <v>2634</v>
      </c>
      <c r="B1494" t="s">
        <v>33</v>
      </c>
      <c r="C1494" t="s">
        <v>76</v>
      </c>
      <c r="D1494" t="s">
        <v>77</v>
      </c>
      <c r="E1494">
        <v>16</v>
      </c>
      <c r="F1494" t="s">
        <v>95</v>
      </c>
      <c r="G1494">
        <v>85</v>
      </c>
      <c r="H1494">
        <v>1156334</v>
      </c>
      <c r="I1494">
        <v>0</v>
      </c>
      <c r="J1494">
        <v>98</v>
      </c>
      <c r="K1494">
        <v>117</v>
      </c>
      <c r="L1494">
        <v>-1156334</v>
      </c>
      <c r="M1494">
        <v>1</v>
      </c>
      <c r="N1494">
        <v>0</v>
      </c>
      <c r="O1494">
        <v>4.6485777358318799E-3</v>
      </c>
      <c r="P1494">
        <v>0</v>
      </c>
      <c r="Q1494">
        <v>0</v>
      </c>
      <c r="R1494">
        <v>0</v>
      </c>
      <c r="S1494">
        <v>0</v>
      </c>
      <c r="T1494">
        <v>172.9377106</v>
      </c>
      <c r="U1494">
        <f t="shared" si="46"/>
        <v>0</v>
      </c>
      <c r="V1494">
        <f t="shared" si="47"/>
        <v>0</v>
      </c>
    </row>
    <row r="1495" spans="1:22" x14ac:dyDescent="0.2">
      <c r="A1495" t="s">
        <v>2634</v>
      </c>
      <c r="B1495" t="s">
        <v>33</v>
      </c>
      <c r="C1495" t="s">
        <v>76</v>
      </c>
      <c r="D1495" t="s">
        <v>77</v>
      </c>
      <c r="E1495">
        <v>16</v>
      </c>
      <c r="F1495" t="s">
        <v>95</v>
      </c>
      <c r="G1495">
        <v>84</v>
      </c>
      <c r="H1495">
        <v>1144970</v>
      </c>
      <c r="I1495">
        <v>150904</v>
      </c>
      <c r="J1495">
        <v>104</v>
      </c>
      <c r="K1495">
        <v>92</v>
      </c>
      <c r="L1495">
        <v>-994066</v>
      </c>
      <c r="M1495" s="1" t="s">
        <v>2643</v>
      </c>
      <c r="N1495" s="1" t="s">
        <v>2644</v>
      </c>
      <c r="O1495">
        <v>5.2095424201341499E-3</v>
      </c>
      <c r="P1495">
        <v>0</v>
      </c>
      <c r="Q1495">
        <v>0</v>
      </c>
      <c r="R1495">
        <v>0</v>
      </c>
      <c r="S1495">
        <v>0</v>
      </c>
      <c r="T1495">
        <v>172.9377106</v>
      </c>
      <c r="U1495">
        <f t="shared" si="46"/>
        <v>0</v>
      </c>
      <c r="V1495">
        <f t="shared" si="47"/>
        <v>0</v>
      </c>
    </row>
    <row r="1496" spans="1:22" x14ac:dyDescent="0.2">
      <c r="A1496" t="s">
        <v>2634</v>
      </c>
      <c r="B1496" t="s">
        <v>33</v>
      </c>
      <c r="C1496" t="s">
        <v>76</v>
      </c>
      <c r="D1496" t="s">
        <v>77</v>
      </c>
      <c r="E1496">
        <v>17</v>
      </c>
      <c r="F1496" t="s">
        <v>97</v>
      </c>
      <c r="G1496">
        <v>87</v>
      </c>
      <c r="H1496">
        <v>507762</v>
      </c>
      <c r="I1496">
        <v>1452</v>
      </c>
      <c r="J1496">
        <v>104</v>
      </c>
      <c r="K1496">
        <v>89</v>
      </c>
      <c r="L1496">
        <v>-506310</v>
      </c>
      <c r="M1496" s="1" t="s">
        <v>2645</v>
      </c>
      <c r="N1496">
        <v>2.8514534164418102E-3</v>
      </c>
      <c r="O1496">
        <v>2.04709094705672E-3</v>
      </c>
      <c r="P1496">
        <v>0</v>
      </c>
      <c r="Q1496">
        <v>0</v>
      </c>
      <c r="R1496">
        <v>0</v>
      </c>
      <c r="S1496">
        <v>0</v>
      </c>
      <c r="T1496">
        <v>172.9377106</v>
      </c>
      <c r="U1496">
        <f t="shared" si="46"/>
        <v>0</v>
      </c>
      <c r="V1496">
        <f t="shared" si="47"/>
        <v>0</v>
      </c>
    </row>
    <row r="1497" spans="1:22" x14ac:dyDescent="0.2">
      <c r="A1497" t="s">
        <v>2634</v>
      </c>
      <c r="B1497" t="s">
        <v>33</v>
      </c>
      <c r="C1497" t="s">
        <v>76</v>
      </c>
      <c r="D1497" t="s">
        <v>77</v>
      </c>
      <c r="E1497" s="1" t="s">
        <v>99</v>
      </c>
      <c r="F1497" t="s">
        <v>100</v>
      </c>
      <c r="G1497">
        <v>40</v>
      </c>
      <c r="H1497">
        <v>79155</v>
      </c>
      <c r="I1497">
        <v>0</v>
      </c>
      <c r="J1497">
        <v>114</v>
      </c>
      <c r="K1497">
        <v>97</v>
      </c>
      <c r="L1497">
        <v>-79155</v>
      </c>
      <c r="M1497">
        <v>1</v>
      </c>
      <c r="N1497">
        <v>0</v>
      </c>
      <c r="O1497" s="1" t="s">
        <v>2646</v>
      </c>
      <c r="P1497">
        <v>0</v>
      </c>
      <c r="Q1497">
        <v>0</v>
      </c>
      <c r="R1497">
        <v>0</v>
      </c>
      <c r="S1497">
        <v>0</v>
      </c>
      <c r="T1497">
        <v>172.9377106</v>
      </c>
      <c r="U1497">
        <f t="shared" si="46"/>
        <v>0</v>
      </c>
      <c r="V1497">
        <f t="shared" si="47"/>
        <v>0</v>
      </c>
    </row>
    <row r="1498" spans="1:22" x14ac:dyDescent="0.2">
      <c r="A1498" t="s">
        <v>2634</v>
      </c>
      <c r="B1498" t="s">
        <v>33</v>
      </c>
      <c r="C1498" t="s">
        <v>76</v>
      </c>
      <c r="D1498" t="s">
        <v>77</v>
      </c>
      <c r="E1498" s="1" t="s">
        <v>89</v>
      </c>
      <c r="F1498" t="s">
        <v>90</v>
      </c>
      <c r="G1498">
        <v>36</v>
      </c>
      <c r="H1498">
        <v>6302</v>
      </c>
      <c r="I1498">
        <v>0</v>
      </c>
      <c r="J1498">
        <v>58</v>
      </c>
      <c r="K1498">
        <v>37</v>
      </c>
      <c r="L1498">
        <v>-6302</v>
      </c>
      <c r="M1498">
        <v>1</v>
      </c>
      <c r="N1498">
        <v>0</v>
      </c>
      <c r="O1498" s="1" t="s">
        <v>2647</v>
      </c>
      <c r="P1498">
        <v>0</v>
      </c>
      <c r="Q1498">
        <v>0</v>
      </c>
      <c r="R1498">
        <v>0</v>
      </c>
      <c r="S1498">
        <v>0</v>
      </c>
      <c r="T1498">
        <v>172.9377106</v>
      </c>
      <c r="U1498">
        <f t="shared" si="46"/>
        <v>0</v>
      </c>
      <c r="V1498">
        <f t="shared" si="47"/>
        <v>0</v>
      </c>
    </row>
    <row r="1499" spans="1:22" x14ac:dyDescent="0.2">
      <c r="A1499" t="s">
        <v>2634</v>
      </c>
      <c r="B1499" t="s">
        <v>33</v>
      </c>
      <c r="C1499" t="s">
        <v>76</v>
      </c>
      <c r="D1499" t="s">
        <v>77</v>
      </c>
      <c r="E1499">
        <v>18</v>
      </c>
      <c r="F1499" t="s">
        <v>147</v>
      </c>
      <c r="G1499">
        <v>90</v>
      </c>
      <c r="H1499">
        <v>53881</v>
      </c>
      <c r="I1499">
        <v>0</v>
      </c>
      <c r="J1499">
        <v>120</v>
      </c>
      <c r="K1499">
        <v>103</v>
      </c>
      <c r="L1499">
        <v>-53881</v>
      </c>
      <c r="M1499">
        <v>1</v>
      </c>
      <c r="N1499">
        <v>0</v>
      </c>
      <c r="O1499" s="1" t="s">
        <v>2648</v>
      </c>
      <c r="P1499">
        <v>0</v>
      </c>
      <c r="Q1499">
        <v>0</v>
      </c>
      <c r="R1499">
        <v>0</v>
      </c>
      <c r="S1499">
        <v>0</v>
      </c>
      <c r="T1499">
        <v>172.9377106</v>
      </c>
      <c r="U1499">
        <f t="shared" si="46"/>
        <v>0</v>
      </c>
      <c r="V1499">
        <f t="shared" si="47"/>
        <v>0</v>
      </c>
    </row>
    <row r="1500" spans="1:22" x14ac:dyDescent="0.2">
      <c r="A1500" t="s">
        <v>2634</v>
      </c>
      <c r="B1500" t="s">
        <v>33</v>
      </c>
      <c r="C1500" t="s">
        <v>76</v>
      </c>
      <c r="D1500" t="s">
        <v>77</v>
      </c>
      <c r="E1500">
        <v>20</v>
      </c>
      <c r="F1500" t="s">
        <v>104</v>
      </c>
      <c r="G1500">
        <v>94</v>
      </c>
      <c r="H1500">
        <v>12843</v>
      </c>
      <c r="I1500">
        <v>0</v>
      </c>
      <c r="J1500">
        <v>108</v>
      </c>
      <c r="K1500">
        <v>103</v>
      </c>
      <c r="L1500">
        <v>-12843</v>
      </c>
      <c r="M1500">
        <v>1</v>
      </c>
      <c r="N1500">
        <v>0</v>
      </c>
      <c r="O1500" s="1" t="s">
        <v>2649</v>
      </c>
      <c r="P1500">
        <v>0</v>
      </c>
      <c r="Q1500">
        <v>0</v>
      </c>
      <c r="R1500">
        <v>0</v>
      </c>
      <c r="S1500">
        <v>0</v>
      </c>
      <c r="T1500">
        <v>172.9377106</v>
      </c>
      <c r="U1500">
        <f t="shared" si="46"/>
        <v>0</v>
      </c>
      <c r="V1500">
        <f t="shared" si="47"/>
        <v>0</v>
      </c>
    </row>
    <row r="1501" spans="1:22" x14ac:dyDescent="0.2">
      <c r="A1501" t="s">
        <v>2634</v>
      </c>
      <c r="B1501" t="s">
        <v>33</v>
      </c>
      <c r="C1501" t="s">
        <v>76</v>
      </c>
      <c r="D1501" t="s">
        <v>77</v>
      </c>
      <c r="E1501">
        <v>13</v>
      </c>
      <c r="F1501" t="s">
        <v>91</v>
      </c>
      <c r="G1501">
        <v>69</v>
      </c>
      <c r="H1501">
        <v>9673</v>
      </c>
      <c r="I1501">
        <v>0</v>
      </c>
      <c r="J1501">
        <v>87</v>
      </c>
      <c r="K1501">
        <v>91</v>
      </c>
      <c r="L1501">
        <v>-9673</v>
      </c>
      <c r="M1501">
        <v>1</v>
      </c>
      <c r="N1501">
        <v>0</v>
      </c>
      <c r="O1501" s="1" t="s">
        <v>2650</v>
      </c>
      <c r="P1501">
        <v>0</v>
      </c>
      <c r="Q1501">
        <v>0</v>
      </c>
      <c r="R1501">
        <v>0</v>
      </c>
      <c r="S1501">
        <v>0</v>
      </c>
      <c r="T1501">
        <v>172.9377106</v>
      </c>
      <c r="U1501">
        <f t="shared" si="46"/>
        <v>0</v>
      </c>
      <c r="V1501">
        <f t="shared" si="47"/>
        <v>0</v>
      </c>
    </row>
    <row r="1502" spans="1:22" x14ac:dyDescent="0.2">
      <c r="A1502" t="s">
        <v>2634</v>
      </c>
      <c r="B1502" t="s">
        <v>33</v>
      </c>
      <c r="C1502" t="s">
        <v>76</v>
      </c>
      <c r="D1502" t="s">
        <v>77</v>
      </c>
      <c r="E1502" s="1" t="s">
        <v>89</v>
      </c>
      <c r="F1502" t="s">
        <v>90</v>
      </c>
      <c r="G1502">
        <v>34</v>
      </c>
      <c r="H1502">
        <v>13798</v>
      </c>
      <c r="I1502">
        <v>0</v>
      </c>
      <c r="J1502">
        <v>103</v>
      </c>
      <c r="K1502">
        <v>87</v>
      </c>
      <c r="L1502">
        <v>-13798</v>
      </c>
      <c r="M1502">
        <v>1</v>
      </c>
      <c r="N1502">
        <v>0</v>
      </c>
      <c r="O1502" s="1" t="s">
        <v>2651</v>
      </c>
      <c r="P1502">
        <v>0</v>
      </c>
      <c r="Q1502">
        <v>0</v>
      </c>
      <c r="R1502">
        <v>0</v>
      </c>
      <c r="S1502">
        <v>0</v>
      </c>
      <c r="T1502">
        <v>172.9377106</v>
      </c>
      <c r="U1502">
        <f t="shared" si="46"/>
        <v>0</v>
      </c>
      <c r="V1502">
        <f t="shared" si="47"/>
        <v>0</v>
      </c>
    </row>
    <row r="1503" spans="1:22" x14ac:dyDescent="0.2">
      <c r="A1503" t="s">
        <v>2634</v>
      </c>
      <c r="B1503" t="s">
        <v>33</v>
      </c>
      <c r="C1503" t="s">
        <v>76</v>
      </c>
      <c r="D1503" t="s">
        <v>77</v>
      </c>
      <c r="E1503">
        <v>11</v>
      </c>
      <c r="F1503" t="s">
        <v>127</v>
      </c>
      <c r="G1503">
        <v>61</v>
      </c>
      <c r="H1503">
        <v>5979</v>
      </c>
      <c r="I1503">
        <v>3611</v>
      </c>
      <c r="J1503">
        <v>93</v>
      </c>
      <c r="K1503">
        <v>93</v>
      </c>
      <c r="L1503">
        <v>-2368</v>
      </c>
      <c r="M1503" s="1" t="s">
        <v>2652</v>
      </c>
      <c r="N1503" s="1" t="s">
        <v>2653</v>
      </c>
      <c r="O1503" s="1" t="s">
        <v>2654</v>
      </c>
      <c r="P1503">
        <v>0</v>
      </c>
      <c r="Q1503">
        <v>0</v>
      </c>
      <c r="R1503">
        <v>0</v>
      </c>
      <c r="S1503">
        <v>0</v>
      </c>
      <c r="T1503">
        <v>172.9377106</v>
      </c>
      <c r="U1503">
        <f t="shared" si="46"/>
        <v>0</v>
      </c>
      <c r="V1503">
        <f t="shared" si="47"/>
        <v>0</v>
      </c>
    </row>
    <row r="1504" spans="1:22" x14ac:dyDescent="0.2">
      <c r="A1504" t="s">
        <v>2634</v>
      </c>
      <c r="B1504" t="s">
        <v>33</v>
      </c>
      <c r="C1504" t="s">
        <v>76</v>
      </c>
      <c r="D1504" t="s">
        <v>77</v>
      </c>
      <c r="E1504">
        <v>15</v>
      </c>
      <c r="F1504" t="s">
        <v>88</v>
      </c>
      <c r="G1504">
        <v>73</v>
      </c>
      <c r="H1504">
        <v>744447</v>
      </c>
      <c r="I1504">
        <v>0</v>
      </c>
      <c r="J1504">
        <v>86</v>
      </c>
      <c r="K1504">
        <v>103</v>
      </c>
      <c r="L1504">
        <v>-744447</v>
      </c>
      <c r="M1504">
        <v>1</v>
      </c>
      <c r="N1504">
        <v>0</v>
      </c>
      <c r="O1504">
        <v>2.9927510128620501E-3</v>
      </c>
      <c r="P1504">
        <v>0</v>
      </c>
      <c r="Q1504">
        <v>0</v>
      </c>
      <c r="R1504">
        <v>0</v>
      </c>
      <c r="S1504">
        <v>0</v>
      </c>
      <c r="T1504">
        <v>172.9377106</v>
      </c>
      <c r="U1504">
        <f t="shared" si="46"/>
        <v>0</v>
      </c>
      <c r="V1504">
        <f t="shared" si="47"/>
        <v>0</v>
      </c>
    </row>
    <row r="1505" spans="1:22" x14ac:dyDescent="0.2">
      <c r="A1505" t="s">
        <v>2634</v>
      </c>
      <c r="B1505" t="s">
        <v>33</v>
      </c>
      <c r="C1505" t="s">
        <v>76</v>
      </c>
      <c r="D1505" t="s">
        <v>77</v>
      </c>
      <c r="E1505" s="1" t="s">
        <v>93</v>
      </c>
      <c r="F1505" t="s">
        <v>94</v>
      </c>
      <c r="G1505">
        <v>44</v>
      </c>
      <c r="H1505">
        <v>2394</v>
      </c>
      <c r="I1505">
        <v>0</v>
      </c>
      <c r="J1505">
        <v>136</v>
      </c>
      <c r="K1505">
        <v>103</v>
      </c>
      <c r="L1505">
        <v>-2394</v>
      </c>
      <c r="M1505">
        <v>1</v>
      </c>
      <c r="N1505">
        <v>0</v>
      </c>
      <c r="O1505" s="1" t="s">
        <v>2655</v>
      </c>
      <c r="P1505">
        <v>0</v>
      </c>
      <c r="Q1505">
        <v>0</v>
      </c>
      <c r="R1505">
        <v>0</v>
      </c>
      <c r="S1505">
        <v>0</v>
      </c>
      <c r="T1505">
        <v>172.9377106</v>
      </c>
      <c r="U1505">
        <f t="shared" si="46"/>
        <v>0</v>
      </c>
      <c r="V1505">
        <f t="shared" si="47"/>
        <v>0</v>
      </c>
    </row>
    <row r="1506" spans="1:22" x14ac:dyDescent="0.2">
      <c r="A1506" t="s">
        <v>2634</v>
      </c>
      <c r="B1506" t="s">
        <v>33</v>
      </c>
      <c r="C1506" t="s">
        <v>76</v>
      </c>
      <c r="D1506" t="s">
        <v>77</v>
      </c>
      <c r="E1506">
        <v>11</v>
      </c>
      <c r="F1506" t="s">
        <v>127</v>
      </c>
      <c r="G1506">
        <v>63</v>
      </c>
      <c r="H1506">
        <v>272</v>
      </c>
      <c r="I1506">
        <v>0</v>
      </c>
      <c r="J1506">
        <v>121</v>
      </c>
      <c r="K1506">
        <v>108</v>
      </c>
      <c r="L1506">
        <v>-272</v>
      </c>
      <c r="M1506">
        <v>1</v>
      </c>
      <c r="N1506">
        <v>0</v>
      </c>
      <c r="O1506" s="1" t="s">
        <v>2656</v>
      </c>
      <c r="P1506">
        <v>0</v>
      </c>
      <c r="Q1506">
        <v>0</v>
      </c>
      <c r="R1506">
        <v>0</v>
      </c>
      <c r="S1506">
        <v>0</v>
      </c>
      <c r="T1506">
        <v>172.9377106</v>
      </c>
      <c r="U1506">
        <f t="shared" si="46"/>
        <v>0</v>
      </c>
      <c r="V1506">
        <f t="shared" si="47"/>
        <v>0</v>
      </c>
    </row>
    <row r="1507" spans="1:22" x14ac:dyDescent="0.2">
      <c r="A1507" t="s">
        <v>2634</v>
      </c>
      <c r="B1507" t="s">
        <v>33</v>
      </c>
      <c r="C1507" t="s">
        <v>76</v>
      </c>
      <c r="D1507" t="s">
        <v>77</v>
      </c>
      <c r="E1507">
        <v>10</v>
      </c>
      <c r="F1507" t="s">
        <v>119</v>
      </c>
      <c r="G1507">
        <v>48</v>
      </c>
      <c r="H1507">
        <v>337828</v>
      </c>
      <c r="I1507">
        <v>0</v>
      </c>
      <c r="J1507">
        <v>120</v>
      </c>
      <c r="K1507">
        <v>97</v>
      </c>
      <c r="L1507">
        <v>-337828</v>
      </c>
      <c r="M1507">
        <v>1</v>
      </c>
      <c r="N1507">
        <v>0</v>
      </c>
      <c r="O1507">
        <v>1.35810217406096E-3</v>
      </c>
      <c r="P1507">
        <v>0</v>
      </c>
      <c r="Q1507">
        <v>0</v>
      </c>
      <c r="R1507">
        <v>0</v>
      </c>
      <c r="S1507">
        <v>0</v>
      </c>
      <c r="T1507">
        <v>172.9377106</v>
      </c>
      <c r="U1507">
        <f t="shared" si="46"/>
        <v>0</v>
      </c>
      <c r="V1507">
        <f t="shared" si="47"/>
        <v>0</v>
      </c>
    </row>
    <row r="1508" spans="1:22" x14ac:dyDescent="0.2">
      <c r="A1508" t="s">
        <v>2634</v>
      </c>
      <c r="B1508" t="s">
        <v>33</v>
      </c>
      <c r="C1508" t="s">
        <v>76</v>
      </c>
      <c r="D1508" t="s">
        <v>77</v>
      </c>
      <c r="E1508">
        <v>21</v>
      </c>
      <c r="F1508" t="s">
        <v>212</v>
      </c>
      <c r="G1508">
        <v>97</v>
      </c>
      <c r="H1508">
        <v>118</v>
      </c>
      <c r="I1508">
        <v>0</v>
      </c>
      <c r="J1508">
        <v>94</v>
      </c>
      <c r="K1508">
        <v>90</v>
      </c>
      <c r="L1508">
        <v>-118</v>
      </c>
      <c r="M1508">
        <v>1</v>
      </c>
      <c r="N1508">
        <v>0</v>
      </c>
      <c r="O1508" s="1" t="s">
        <v>2657</v>
      </c>
      <c r="P1508">
        <v>0</v>
      </c>
      <c r="Q1508">
        <v>0</v>
      </c>
      <c r="R1508">
        <v>0</v>
      </c>
      <c r="S1508">
        <v>0</v>
      </c>
      <c r="T1508">
        <v>172.9377106</v>
      </c>
      <c r="U1508">
        <f t="shared" si="46"/>
        <v>0</v>
      </c>
      <c r="V1508">
        <f t="shared" si="47"/>
        <v>0</v>
      </c>
    </row>
    <row r="1509" spans="1:22" x14ac:dyDescent="0.2">
      <c r="A1509" t="s">
        <v>2634</v>
      </c>
      <c r="B1509" t="s">
        <v>33</v>
      </c>
      <c r="C1509" t="s">
        <v>76</v>
      </c>
      <c r="D1509" t="s">
        <v>77</v>
      </c>
      <c r="E1509" s="1" t="s">
        <v>138</v>
      </c>
      <c r="F1509" t="s">
        <v>139</v>
      </c>
      <c r="G1509">
        <v>21</v>
      </c>
      <c r="H1509">
        <v>106</v>
      </c>
      <c r="I1509">
        <v>0</v>
      </c>
      <c r="J1509">
        <v>119</v>
      </c>
      <c r="K1509">
        <v>99</v>
      </c>
      <c r="L1509">
        <v>-106</v>
      </c>
      <c r="M1509">
        <v>1</v>
      </c>
      <c r="N1509">
        <v>0</v>
      </c>
      <c r="O1509" s="1" t="s">
        <v>2658</v>
      </c>
      <c r="P1509">
        <v>0</v>
      </c>
      <c r="Q1509">
        <v>0</v>
      </c>
      <c r="R1509">
        <v>0</v>
      </c>
      <c r="S1509">
        <v>0</v>
      </c>
      <c r="T1509">
        <v>172.9377106</v>
      </c>
      <c r="U1509">
        <f t="shared" si="46"/>
        <v>0</v>
      </c>
      <c r="V1509">
        <f t="shared" si="47"/>
        <v>0</v>
      </c>
    </row>
    <row r="1510" spans="1:22" x14ac:dyDescent="0.2">
      <c r="A1510" t="s">
        <v>2634</v>
      </c>
      <c r="B1510" t="s">
        <v>33</v>
      </c>
      <c r="C1510" t="s">
        <v>76</v>
      </c>
      <c r="D1510" t="s">
        <v>77</v>
      </c>
      <c r="E1510">
        <v>12</v>
      </c>
      <c r="F1510" t="s">
        <v>194</v>
      </c>
      <c r="G1510">
        <v>64</v>
      </c>
      <c r="H1510">
        <v>6274</v>
      </c>
      <c r="I1510">
        <v>0</v>
      </c>
      <c r="J1510">
        <v>82</v>
      </c>
      <c r="K1510">
        <v>94</v>
      </c>
      <c r="L1510">
        <v>-6274</v>
      </c>
      <c r="M1510">
        <v>1</v>
      </c>
      <c r="N1510">
        <v>0</v>
      </c>
      <c r="O1510" s="1" t="s">
        <v>2659</v>
      </c>
      <c r="P1510">
        <v>0</v>
      </c>
      <c r="Q1510">
        <v>0</v>
      </c>
      <c r="R1510">
        <v>0</v>
      </c>
      <c r="S1510">
        <v>0</v>
      </c>
      <c r="T1510">
        <v>172.9377106</v>
      </c>
      <c r="U1510">
        <f t="shared" si="46"/>
        <v>0</v>
      </c>
      <c r="V1510">
        <f t="shared" si="47"/>
        <v>0</v>
      </c>
    </row>
    <row r="1511" spans="1:22" x14ac:dyDescent="0.2">
      <c r="A1511" t="s">
        <v>2634</v>
      </c>
      <c r="B1511" t="s">
        <v>33</v>
      </c>
      <c r="C1511" t="s">
        <v>76</v>
      </c>
      <c r="D1511" t="s">
        <v>77</v>
      </c>
      <c r="E1511">
        <v>11</v>
      </c>
      <c r="F1511" t="s">
        <v>127</v>
      </c>
      <c r="G1511">
        <v>57</v>
      </c>
      <c r="H1511">
        <v>147</v>
      </c>
      <c r="I1511">
        <v>0</v>
      </c>
      <c r="J1511">
        <v>82</v>
      </c>
      <c r="K1511">
        <v>78</v>
      </c>
      <c r="L1511">
        <v>-147</v>
      </c>
      <c r="M1511">
        <v>1</v>
      </c>
      <c r="N1511">
        <v>0</v>
      </c>
      <c r="O1511" s="1" t="s">
        <v>2660</v>
      </c>
      <c r="P1511">
        <v>0</v>
      </c>
      <c r="Q1511">
        <v>0</v>
      </c>
      <c r="R1511">
        <v>0</v>
      </c>
      <c r="S1511">
        <v>0</v>
      </c>
      <c r="T1511">
        <v>172.9377106</v>
      </c>
      <c r="U1511">
        <f t="shared" si="46"/>
        <v>0</v>
      </c>
      <c r="V1511">
        <f t="shared" si="47"/>
        <v>0</v>
      </c>
    </row>
    <row r="1512" spans="1:22" x14ac:dyDescent="0.2">
      <c r="A1512" t="s">
        <v>2634</v>
      </c>
      <c r="B1512" t="s">
        <v>33</v>
      </c>
      <c r="C1512" t="s">
        <v>76</v>
      </c>
      <c r="D1512" t="s">
        <v>77</v>
      </c>
      <c r="E1512">
        <v>15</v>
      </c>
      <c r="F1512" t="s">
        <v>88</v>
      </c>
      <c r="G1512">
        <v>83</v>
      </c>
      <c r="H1512">
        <v>894</v>
      </c>
      <c r="I1512">
        <v>0</v>
      </c>
      <c r="J1512">
        <v>111</v>
      </c>
      <c r="K1512">
        <v>85</v>
      </c>
      <c r="L1512">
        <v>-894</v>
      </c>
      <c r="M1512">
        <v>1</v>
      </c>
      <c r="N1512">
        <v>0</v>
      </c>
      <c r="O1512" s="1" t="s">
        <v>2661</v>
      </c>
      <c r="P1512">
        <v>0</v>
      </c>
      <c r="Q1512">
        <v>0</v>
      </c>
      <c r="R1512">
        <v>0</v>
      </c>
      <c r="S1512">
        <v>0</v>
      </c>
      <c r="T1512">
        <v>172.9377106</v>
      </c>
      <c r="U1512">
        <f t="shared" si="46"/>
        <v>0</v>
      </c>
      <c r="V1512">
        <f t="shared" si="47"/>
        <v>0</v>
      </c>
    </row>
    <row r="1513" spans="1:22" x14ac:dyDescent="0.2">
      <c r="A1513" t="s">
        <v>2634</v>
      </c>
      <c r="B1513" t="s">
        <v>33</v>
      </c>
      <c r="C1513" t="s">
        <v>76</v>
      </c>
      <c r="D1513" t="s">
        <v>77</v>
      </c>
      <c r="E1513" s="1" t="s">
        <v>163</v>
      </c>
      <c r="F1513" t="s">
        <v>224</v>
      </c>
      <c r="G1513">
        <v>42</v>
      </c>
      <c r="H1513">
        <v>58</v>
      </c>
      <c r="I1513">
        <v>0</v>
      </c>
      <c r="J1513">
        <v>120</v>
      </c>
      <c r="K1513">
        <v>99</v>
      </c>
      <c r="L1513">
        <v>-58</v>
      </c>
      <c r="M1513">
        <v>1</v>
      </c>
      <c r="N1513">
        <v>0</v>
      </c>
      <c r="O1513" s="1" t="s">
        <v>2662</v>
      </c>
      <c r="P1513">
        <v>0</v>
      </c>
      <c r="Q1513">
        <v>0</v>
      </c>
      <c r="R1513">
        <v>0</v>
      </c>
      <c r="S1513">
        <v>0</v>
      </c>
      <c r="T1513">
        <v>172.9377106</v>
      </c>
      <c r="U1513">
        <f t="shared" si="46"/>
        <v>0</v>
      </c>
      <c r="V1513">
        <f t="shared" si="47"/>
        <v>0</v>
      </c>
    </row>
    <row r="1514" spans="1:22" x14ac:dyDescent="0.2">
      <c r="A1514" t="s">
        <v>2634</v>
      </c>
      <c r="B1514" t="s">
        <v>33</v>
      </c>
      <c r="C1514" t="s">
        <v>76</v>
      </c>
      <c r="D1514" t="s">
        <v>77</v>
      </c>
      <c r="E1514" s="1" t="s">
        <v>89</v>
      </c>
      <c r="F1514" t="s">
        <v>90</v>
      </c>
      <c r="G1514">
        <v>30</v>
      </c>
      <c r="H1514">
        <v>329744</v>
      </c>
      <c r="I1514">
        <v>0</v>
      </c>
      <c r="J1514">
        <v>77</v>
      </c>
      <c r="K1514">
        <v>91</v>
      </c>
      <c r="L1514">
        <v>-329744</v>
      </c>
      <c r="M1514">
        <v>1</v>
      </c>
      <c r="N1514">
        <v>0</v>
      </c>
      <c r="O1514">
        <v>1.32560368969877E-3</v>
      </c>
      <c r="P1514">
        <v>0</v>
      </c>
      <c r="Q1514">
        <v>0</v>
      </c>
      <c r="R1514">
        <v>0</v>
      </c>
      <c r="S1514">
        <v>0</v>
      </c>
      <c r="T1514">
        <v>172.9377106</v>
      </c>
      <c r="U1514">
        <f t="shared" si="46"/>
        <v>0</v>
      </c>
      <c r="V1514">
        <f t="shared" si="47"/>
        <v>0</v>
      </c>
    </row>
    <row r="1515" spans="1:22" x14ac:dyDescent="0.2">
      <c r="A1515" t="s">
        <v>2634</v>
      </c>
      <c r="B1515" t="s">
        <v>33</v>
      </c>
      <c r="C1515" t="s">
        <v>76</v>
      </c>
      <c r="D1515" t="s">
        <v>77</v>
      </c>
      <c r="E1515" s="1" t="s">
        <v>89</v>
      </c>
      <c r="F1515" t="s">
        <v>90</v>
      </c>
      <c r="G1515">
        <v>38</v>
      </c>
      <c r="H1515">
        <v>135</v>
      </c>
      <c r="I1515">
        <v>0</v>
      </c>
      <c r="J1515">
        <v>134</v>
      </c>
      <c r="K1515">
        <v>87</v>
      </c>
      <c r="L1515">
        <v>-135</v>
      </c>
      <c r="M1515">
        <v>1</v>
      </c>
      <c r="N1515">
        <v>0</v>
      </c>
      <c r="O1515" s="1" t="s">
        <v>2663</v>
      </c>
      <c r="P1515">
        <v>0</v>
      </c>
      <c r="Q1515">
        <v>0</v>
      </c>
      <c r="R1515">
        <v>0</v>
      </c>
      <c r="S1515">
        <v>0</v>
      </c>
      <c r="T1515">
        <v>172.9377106</v>
      </c>
      <c r="U1515">
        <f t="shared" si="46"/>
        <v>0</v>
      </c>
      <c r="V1515">
        <f t="shared" si="47"/>
        <v>0</v>
      </c>
    </row>
    <row r="1516" spans="1:22" x14ac:dyDescent="0.2">
      <c r="A1516" t="s">
        <v>2634</v>
      </c>
      <c r="B1516" t="s">
        <v>33</v>
      </c>
      <c r="C1516" t="s">
        <v>76</v>
      </c>
      <c r="D1516" t="s">
        <v>77</v>
      </c>
      <c r="E1516">
        <v>18</v>
      </c>
      <c r="F1516" t="s">
        <v>147</v>
      </c>
      <c r="G1516">
        <v>91</v>
      </c>
      <c r="H1516">
        <v>22</v>
      </c>
      <c r="I1516">
        <v>0</v>
      </c>
      <c r="J1516">
        <v>100</v>
      </c>
      <c r="K1516">
        <v>69</v>
      </c>
      <c r="L1516">
        <v>-22</v>
      </c>
      <c r="M1516">
        <v>1</v>
      </c>
      <c r="N1516">
        <v>0</v>
      </c>
      <c r="O1516" s="1" t="s">
        <v>2664</v>
      </c>
      <c r="P1516">
        <v>0</v>
      </c>
      <c r="Q1516">
        <v>0</v>
      </c>
      <c r="R1516">
        <v>0</v>
      </c>
      <c r="S1516">
        <v>0</v>
      </c>
      <c r="T1516">
        <v>172.9377106</v>
      </c>
      <c r="U1516">
        <f t="shared" si="46"/>
        <v>0</v>
      </c>
      <c r="V1516">
        <f t="shared" si="47"/>
        <v>0</v>
      </c>
    </row>
    <row r="1517" spans="1:22" x14ac:dyDescent="0.2">
      <c r="A1517" t="s">
        <v>2634</v>
      </c>
      <c r="B1517" t="s">
        <v>33</v>
      </c>
      <c r="C1517" t="s">
        <v>76</v>
      </c>
      <c r="D1517" t="s">
        <v>77</v>
      </c>
      <c r="E1517" s="1" t="s">
        <v>110</v>
      </c>
      <c r="F1517" t="s">
        <v>111</v>
      </c>
      <c r="G1517">
        <v>15</v>
      </c>
      <c r="H1517">
        <v>0</v>
      </c>
      <c r="I1517">
        <v>27466</v>
      </c>
      <c r="J1517">
        <v>110</v>
      </c>
      <c r="K1517">
        <v>66</v>
      </c>
      <c r="L1517">
        <v>27466</v>
      </c>
      <c r="M1517">
        <v>0</v>
      </c>
      <c r="N1517">
        <v>1</v>
      </c>
      <c r="O1517" s="1" t="s">
        <v>2665</v>
      </c>
      <c r="P1517">
        <v>0</v>
      </c>
      <c r="Q1517">
        <v>0</v>
      </c>
      <c r="R1517">
        <v>0</v>
      </c>
      <c r="S1517">
        <v>0</v>
      </c>
      <c r="T1517">
        <v>172.9377106</v>
      </c>
      <c r="U1517">
        <f t="shared" si="46"/>
        <v>0</v>
      </c>
      <c r="V1517">
        <f t="shared" si="47"/>
        <v>0</v>
      </c>
    </row>
    <row r="1518" spans="1:22" x14ac:dyDescent="0.2">
      <c r="A1518" t="s">
        <v>2666</v>
      </c>
      <c r="B1518" t="s">
        <v>34</v>
      </c>
      <c r="C1518" t="s">
        <v>76</v>
      </c>
      <c r="D1518" t="s">
        <v>77</v>
      </c>
      <c r="E1518" s="1" t="s">
        <v>82</v>
      </c>
      <c r="F1518" t="s">
        <v>83</v>
      </c>
      <c r="G1518">
        <v>10</v>
      </c>
      <c r="H1518">
        <v>126839315</v>
      </c>
      <c r="I1518">
        <v>0</v>
      </c>
      <c r="J1518">
        <v>49</v>
      </c>
      <c r="K1518">
        <v>65</v>
      </c>
      <c r="L1518">
        <v>-126839315</v>
      </c>
      <c r="M1518">
        <v>1</v>
      </c>
      <c r="N1518">
        <v>0</v>
      </c>
      <c r="O1518" s="1" t="s">
        <v>2667</v>
      </c>
      <c r="P1518">
        <v>0</v>
      </c>
      <c r="Q1518">
        <v>0</v>
      </c>
      <c r="R1518">
        <v>0</v>
      </c>
      <c r="S1518">
        <v>0</v>
      </c>
      <c r="T1518">
        <v>25.946113820000001</v>
      </c>
      <c r="U1518">
        <f t="shared" si="46"/>
        <v>0</v>
      </c>
      <c r="V1518">
        <f t="shared" si="47"/>
        <v>0</v>
      </c>
    </row>
    <row r="1519" spans="1:22" x14ac:dyDescent="0.2">
      <c r="A1519" t="s">
        <v>2666</v>
      </c>
      <c r="B1519" t="s">
        <v>34</v>
      </c>
      <c r="C1519" t="s">
        <v>76</v>
      </c>
      <c r="D1519" t="s">
        <v>77</v>
      </c>
      <c r="E1519" s="1" t="s">
        <v>89</v>
      </c>
      <c r="F1519" t="s">
        <v>90</v>
      </c>
      <c r="G1519">
        <v>28</v>
      </c>
      <c r="H1519">
        <v>8229630</v>
      </c>
      <c r="I1519">
        <v>0</v>
      </c>
      <c r="J1519">
        <v>85</v>
      </c>
      <c r="K1519">
        <v>85</v>
      </c>
      <c r="L1519">
        <v>-8229630</v>
      </c>
      <c r="M1519">
        <v>1</v>
      </c>
      <c r="N1519">
        <v>0</v>
      </c>
      <c r="O1519">
        <v>7.3967387074986603E-3</v>
      </c>
      <c r="P1519">
        <v>0</v>
      </c>
      <c r="Q1519">
        <v>0</v>
      </c>
      <c r="R1519">
        <v>0</v>
      </c>
      <c r="S1519">
        <v>0</v>
      </c>
      <c r="T1519">
        <v>25.946113820000001</v>
      </c>
      <c r="U1519">
        <f t="shared" si="46"/>
        <v>0</v>
      </c>
      <c r="V1519">
        <f t="shared" si="47"/>
        <v>0</v>
      </c>
    </row>
    <row r="1520" spans="1:22" x14ac:dyDescent="0.2">
      <c r="A1520" t="s">
        <v>2666</v>
      </c>
      <c r="B1520" t="s">
        <v>34</v>
      </c>
      <c r="C1520" t="s">
        <v>76</v>
      </c>
      <c r="D1520" t="s">
        <v>77</v>
      </c>
      <c r="E1520">
        <v>10</v>
      </c>
      <c r="F1520" t="s">
        <v>119</v>
      </c>
      <c r="G1520">
        <v>48</v>
      </c>
      <c r="H1520">
        <v>3005078</v>
      </c>
      <c r="I1520">
        <v>0</v>
      </c>
      <c r="J1520">
        <v>95</v>
      </c>
      <c r="K1520">
        <v>97</v>
      </c>
      <c r="L1520">
        <v>-3005078</v>
      </c>
      <c r="M1520">
        <v>1</v>
      </c>
      <c r="N1520">
        <v>0</v>
      </c>
      <c r="O1520">
        <v>2.7009448494832301E-3</v>
      </c>
      <c r="P1520">
        <v>0</v>
      </c>
      <c r="Q1520">
        <v>0</v>
      </c>
      <c r="R1520">
        <v>0</v>
      </c>
      <c r="S1520">
        <v>0</v>
      </c>
      <c r="T1520">
        <v>25.946113820000001</v>
      </c>
      <c r="U1520">
        <f t="shared" si="46"/>
        <v>0</v>
      </c>
      <c r="V1520">
        <f t="shared" si="47"/>
        <v>0</v>
      </c>
    </row>
    <row r="1521" spans="1:22" x14ac:dyDescent="0.2">
      <c r="A1521" t="s">
        <v>2666</v>
      </c>
      <c r="B1521" t="s">
        <v>34</v>
      </c>
      <c r="C1521" t="s">
        <v>76</v>
      </c>
      <c r="D1521" t="s">
        <v>77</v>
      </c>
      <c r="E1521" s="1" t="s">
        <v>85</v>
      </c>
      <c r="F1521" t="s">
        <v>86</v>
      </c>
      <c r="G1521">
        <v>27</v>
      </c>
      <c r="H1521">
        <v>401301512</v>
      </c>
      <c r="I1521">
        <v>700237</v>
      </c>
      <c r="J1521">
        <v>69</v>
      </c>
      <c r="K1521">
        <v>55</v>
      </c>
      <c r="L1521">
        <v>-400601275</v>
      </c>
      <c r="M1521" s="1" t="s">
        <v>2668</v>
      </c>
      <c r="N1521">
        <v>1.7418755061187499E-3</v>
      </c>
      <c r="O1521" s="1" t="s">
        <v>2669</v>
      </c>
      <c r="P1521">
        <v>0</v>
      </c>
      <c r="Q1521">
        <v>0</v>
      </c>
      <c r="R1521">
        <v>0</v>
      </c>
      <c r="S1521">
        <v>0</v>
      </c>
      <c r="T1521">
        <v>25.946113820000001</v>
      </c>
      <c r="U1521">
        <f t="shared" si="46"/>
        <v>0</v>
      </c>
      <c r="V1521">
        <f t="shared" si="47"/>
        <v>0</v>
      </c>
    </row>
    <row r="1522" spans="1:22" x14ac:dyDescent="0.2">
      <c r="A1522" t="s">
        <v>2666</v>
      </c>
      <c r="B1522" t="s">
        <v>34</v>
      </c>
      <c r="C1522" t="s">
        <v>76</v>
      </c>
      <c r="D1522" t="s">
        <v>77</v>
      </c>
      <c r="E1522" s="1" t="s">
        <v>89</v>
      </c>
      <c r="F1522" t="s">
        <v>90</v>
      </c>
      <c r="G1522">
        <v>36</v>
      </c>
      <c r="H1522">
        <v>167492</v>
      </c>
      <c r="I1522">
        <v>0</v>
      </c>
      <c r="J1522">
        <v>41</v>
      </c>
      <c r="K1522">
        <v>37</v>
      </c>
      <c r="L1522">
        <v>-167492</v>
      </c>
      <c r="M1522">
        <v>1</v>
      </c>
      <c r="N1522">
        <v>0</v>
      </c>
      <c r="O1522" s="1" t="s">
        <v>2670</v>
      </c>
      <c r="P1522">
        <v>0</v>
      </c>
      <c r="Q1522">
        <v>0</v>
      </c>
      <c r="R1522">
        <v>0</v>
      </c>
      <c r="S1522">
        <v>0</v>
      </c>
      <c r="T1522">
        <v>25.946113820000001</v>
      </c>
      <c r="U1522">
        <f t="shared" si="46"/>
        <v>0</v>
      </c>
      <c r="V1522">
        <f t="shared" si="47"/>
        <v>0</v>
      </c>
    </row>
    <row r="1523" spans="1:22" x14ac:dyDescent="0.2">
      <c r="A1523" t="s">
        <v>2666</v>
      </c>
      <c r="B1523" t="s">
        <v>34</v>
      </c>
      <c r="C1523" t="s">
        <v>76</v>
      </c>
      <c r="D1523" t="s">
        <v>77</v>
      </c>
      <c r="E1523">
        <v>16</v>
      </c>
      <c r="F1523" t="s">
        <v>95</v>
      </c>
      <c r="G1523">
        <v>85</v>
      </c>
      <c r="H1523">
        <v>1601</v>
      </c>
      <c r="I1523">
        <v>0</v>
      </c>
      <c r="J1523">
        <v>144</v>
      </c>
      <c r="K1523">
        <v>117</v>
      </c>
      <c r="L1523">
        <v>-1601</v>
      </c>
      <c r="M1523">
        <v>1</v>
      </c>
      <c r="N1523">
        <v>0</v>
      </c>
      <c r="O1523" s="1" t="s">
        <v>2671</v>
      </c>
      <c r="P1523">
        <v>0</v>
      </c>
      <c r="Q1523">
        <v>0</v>
      </c>
      <c r="R1523">
        <v>0</v>
      </c>
      <c r="S1523">
        <v>0</v>
      </c>
      <c r="T1523">
        <v>25.946113820000001</v>
      </c>
      <c r="U1523">
        <f t="shared" si="46"/>
        <v>0</v>
      </c>
      <c r="V1523">
        <f t="shared" si="47"/>
        <v>0</v>
      </c>
    </row>
    <row r="1524" spans="1:22" x14ac:dyDescent="0.2">
      <c r="A1524" t="s">
        <v>2666</v>
      </c>
      <c r="B1524" t="s">
        <v>34</v>
      </c>
      <c r="C1524" t="s">
        <v>76</v>
      </c>
      <c r="D1524" t="s">
        <v>77</v>
      </c>
      <c r="E1524" s="1" t="s">
        <v>89</v>
      </c>
      <c r="F1524" t="s">
        <v>90</v>
      </c>
      <c r="G1524">
        <v>30</v>
      </c>
      <c r="H1524">
        <v>101701</v>
      </c>
      <c r="I1524">
        <v>0</v>
      </c>
      <c r="J1524">
        <v>99</v>
      </c>
      <c r="K1524">
        <v>91</v>
      </c>
      <c r="L1524">
        <v>-101701</v>
      </c>
      <c r="M1524">
        <v>1</v>
      </c>
      <c r="N1524">
        <v>0</v>
      </c>
      <c r="O1524" s="1" t="s">
        <v>2672</v>
      </c>
      <c r="P1524">
        <v>0</v>
      </c>
      <c r="Q1524">
        <v>0</v>
      </c>
      <c r="R1524">
        <v>0</v>
      </c>
      <c r="S1524">
        <v>0</v>
      </c>
      <c r="T1524">
        <v>25.946113820000001</v>
      </c>
      <c r="U1524">
        <f t="shared" si="46"/>
        <v>0</v>
      </c>
      <c r="V1524">
        <f t="shared" si="47"/>
        <v>0</v>
      </c>
    </row>
    <row r="1525" spans="1:22" x14ac:dyDescent="0.2">
      <c r="A1525" t="s">
        <v>2666</v>
      </c>
      <c r="B1525" t="s">
        <v>34</v>
      </c>
      <c r="C1525" t="s">
        <v>76</v>
      </c>
      <c r="D1525" t="s">
        <v>77</v>
      </c>
      <c r="E1525">
        <v>16</v>
      </c>
      <c r="F1525" t="s">
        <v>95</v>
      </c>
      <c r="G1525">
        <v>84</v>
      </c>
      <c r="H1525">
        <v>5465</v>
      </c>
      <c r="I1525">
        <v>0</v>
      </c>
      <c r="J1525">
        <v>143</v>
      </c>
      <c r="K1525">
        <v>117</v>
      </c>
      <c r="L1525">
        <v>-5465</v>
      </c>
      <c r="M1525">
        <v>1</v>
      </c>
      <c r="N1525">
        <v>0</v>
      </c>
      <c r="O1525" s="1" t="s">
        <v>2673</v>
      </c>
      <c r="P1525">
        <v>0</v>
      </c>
      <c r="Q1525">
        <v>0</v>
      </c>
      <c r="R1525">
        <v>0</v>
      </c>
      <c r="S1525">
        <v>0</v>
      </c>
      <c r="T1525">
        <v>25.946113820000001</v>
      </c>
      <c r="U1525">
        <f t="shared" si="46"/>
        <v>0</v>
      </c>
      <c r="V1525">
        <f t="shared" si="47"/>
        <v>0</v>
      </c>
    </row>
    <row r="1526" spans="1:22" x14ac:dyDescent="0.2">
      <c r="A1526" t="s">
        <v>2666</v>
      </c>
      <c r="B1526" t="s">
        <v>34</v>
      </c>
      <c r="C1526" t="s">
        <v>76</v>
      </c>
      <c r="D1526" t="s">
        <v>77</v>
      </c>
      <c r="E1526" s="1" t="s">
        <v>155</v>
      </c>
      <c r="F1526" t="s">
        <v>156</v>
      </c>
      <c r="G1526" s="1" t="s">
        <v>110</v>
      </c>
      <c r="H1526">
        <v>0</v>
      </c>
      <c r="I1526">
        <v>488395416</v>
      </c>
      <c r="J1526">
        <v>108</v>
      </c>
      <c r="K1526">
        <v>5</v>
      </c>
      <c r="L1526">
        <v>488395416</v>
      </c>
      <c r="M1526">
        <v>0</v>
      </c>
      <c r="N1526">
        <v>1</v>
      </c>
      <c r="O1526" s="1" t="s">
        <v>2674</v>
      </c>
      <c r="P1526">
        <v>0</v>
      </c>
      <c r="Q1526">
        <v>1</v>
      </c>
      <c r="R1526">
        <v>0</v>
      </c>
      <c r="S1526">
        <v>1</v>
      </c>
      <c r="T1526">
        <v>25.946113820000001</v>
      </c>
      <c r="U1526">
        <f t="shared" si="46"/>
        <v>1</v>
      </c>
      <c r="V1526">
        <f t="shared" si="47"/>
        <v>1</v>
      </c>
    </row>
    <row r="1527" spans="1:22" x14ac:dyDescent="0.2">
      <c r="A1527" t="s">
        <v>2666</v>
      </c>
      <c r="B1527" t="s">
        <v>34</v>
      </c>
      <c r="C1527" t="s">
        <v>76</v>
      </c>
      <c r="D1527" t="s">
        <v>77</v>
      </c>
      <c r="E1527" s="1" t="s">
        <v>138</v>
      </c>
      <c r="F1527" t="s">
        <v>139</v>
      </c>
      <c r="G1527">
        <v>16</v>
      </c>
      <c r="H1527">
        <v>0</v>
      </c>
      <c r="I1527">
        <v>213191</v>
      </c>
      <c r="J1527">
        <v>83</v>
      </c>
      <c r="K1527">
        <v>46</v>
      </c>
      <c r="L1527">
        <v>213191</v>
      </c>
      <c r="M1527">
        <v>0</v>
      </c>
      <c r="N1527">
        <v>1</v>
      </c>
      <c r="O1527" s="1" t="s">
        <v>2675</v>
      </c>
      <c r="P1527">
        <v>0</v>
      </c>
      <c r="Q1527">
        <v>0</v>
      </c>
      <c r="R1527">
        <v>0</v>
      </c>
      <c r="S1527">
        <v>0</v>
      </c>
      <c r="T1527">
        <v>25.946113820000001</v>
      </c>
      <c r="U1527">
        <f t="shared" si="46"/>
        <v>0</v>
      </c>
      <c r="V1527">
        <f t="shared" si="47"/>
        <v>0</v>
      </c>
    </row>
    <row r="1528" spans="1:22" x14ac:dyDescent="0.2">
      <c r="A1528" t="s">
        <v>2666</v>
      </c>
      <c r="B1528" t="s">
        <v>34</v>
      </c>
      <c r="C1528" t="s">
        <v>76</v>
      </c>
      <c r="D1528" t="s">
        <v>77</v>
      </c>
      <c r="E1528" s="1" t="s">
        <v>138</v>
      </c>
      <c r="F1528" t="s">
        <v>139</v>
      </c>
      <c r="G1528">
        <v>23</v>
      </c>
      <c r="H1528">
        <v>0</v>
      </c>
      <c r="I1528">
        <v>9664279</v>
      </c>
      <c r="J1528">
        <v>95</v>
      </c>
      <c r="K1528">
        <v>32</v>
      </c>
      <c r="L1528">
        <v>9664279</v>
      </c>
      <c r="M1528">
        <v>0</v>
      </c>
      <c r="N1528">
        <v>1</v>
      </c>
      <c r="O1528">
        <v>8.6861920352879103E-3</v>
      </c>
      <c r="P1528">
        <v>0</v>
      </c>
      <c r="Q1528">
        <v>0</v>
      </c>
      <c r="R1528">
        <v>0</v>
      </c>
      <c r="S1528">
        <v>0</v>
      </c>
      <c r="T1528">
        <v>25.946113820000001</v>
      </c>
      <c r="U1528">
        <f t="shared" si="46"/>
        <v>0</v>
      </c>
      <c r="V1528">
        <f t="shared" si="47"/>
        <v>0</v>
      </c>
    </row>
    <row r="1529" spans="1:22" x14ac:dyDescent="0.2">
      <c r="A1529" t="s">
        <v>2666</v>
      </c>
      <c r="B1529" t="s">
        <v>34</v>
      </c>
      <c r="C1529" t="s">
        <v>76</v>
      </c>
      <c r="D1529" t="s">
        <v>77</v>
      </c>
      <c r="E1529">
        <v>99</v>
      </c>
      <c r="F1529" t="s">
        <v>78</v>
      </c>
      <c r="G1529">
        <v>99</v>
      </c>
      <c r="H1529">
        <v>0</v>
      </c>
      <c r="I1529">
        <v>70019834</v>
      </c>
      <c r="J1529">
        <v>117</v>
      </c>
      <c r="K1529">
        <v>21</v>
      </c>
      <c r="L1529">
        <v>70019834</v>
      </c>
      <c r="M1529">
        <v>0</v>
      </c>
      <c r="N1529">
        <v>1</v>
      </c>
      <c r="O1529">
        <v>6.2933378103320697E-2</v>
      </c>
      <c r="P1529">
        <v>0</v>
      </c>
      <c r="Q1529">
        <v>0</v>
      </c>
      <c r="R1529">
        <v>0</v>
      </c>
      <c r="S1529">
        <v>0</v>
      </c>
      <c r="T1529">
        <v>25.946113820000001</v>
      </c>
      <c r="U1529">
        <f t="shared" si="46"/>
        <v>0</v>
      </c>
      <c r="V1529">
        <f t="shared" si="47"/>
        <v>0</v>
      </c>
    </row>
    <row r="1530" spans="1:22" x14ac:dyDescent="0.2">
      <c r="A1530" t="s">
        <v>2676</v>
      </c>
      <c r="B1530" t="s">
        <v>35</v>
      </c>
      <c r="C1530" t="s">
        <v>76</v>
      </c>
      <c r="D1530" t="s">
        <v>77</v>
      </c>
      <c r="E1530" s="1" t="s">
        <v>85</v>
      </c>
      <c r="F1530" t="s">
        <v>86</v>
      </c>
      <c r="G1530">
        <v>27</v>
      </c>
      <c r="H1530">
        <v>3853865307</v>
      </c>
      <c r="I1530">
        <v>20</v>
      </c>
      <c r="J1530">
        <v>36</v>
      </c>
      <c r="K1530">
        <v>89</v>
      </c>
      <c r="L1530">
        <v>-3853865287</v>
      </c>
      <c r="M1530">
        <v>0.99999999481040502</v>
      </c>
      <c r="N1530" s="1" t="s">
        <v>2677</v>
      </c>
      <c r="O1530" s="1" t="s">
        <v>2678</v>
      </c>
      <c r="P1530">
        <v>0</v>
      </c>
      <c r="Q1530">
        <v>0</v>
      </c>
      <c r="R1530">
        <v>0</v>
      </c>
      <c r="S1530">
        <v>0</v>
      </c>
      <c r="T1530">
        <v>19.93039817</v>
      </c>
      <c r="U1530">
        <f t="shared" si="46"/>
        <v>0</v>
      </c>
      <c r="V1530">
        <f t="shared" si="47"/>
        <v>0</v>
      </c>
    </row>
    <row r="1531" spans="1:22" x14ac:dyDescent="0.2">
      <c r="A1531" t="s">
        <v>2676</v>
      </c>
      <c r="B1531" t="s">
        <v>35</v>
      </c>
      <c r="C1531" t="s">
        <v>76</v>
      </c>
      <c r="D1531" t="s">
        <v>77</v>
      </c>
      <c r="E1531" s="1" t="s">
        <v>82</v>
      </c>
      <c r="F1531" t="s">
        <v>83</v>
      </c>
      <c r="G1531">
        <v>10</v>
      </c>
      <c r="H1531">
        <v>476399087</v>
      </c>
      <c r="I1531">
        <v>0</v>
      </c>
      <c r="J1531">
        <v>16</v>
      </c>
      <c r="K1531">
        <v>65</v>
      </c>
      <c r="L1531">
        <v>-476399087</v>
      </c>
      <c r="M1531">
        <v>1</v>
      </c>
      <c r="N1531">
        <v>0</v>
      </c>
      <c r="O1531">
        <v>6.02147082646965E-2</v>
      </c>
      <c r="P1531">
        <v>0</v>
      </c>
      <c r="Q1531">
        <v>0</v>
      </c>
      <c r="R1531">
        <v>0</v>
      </c>
      <c r="S1531">
        <v>0</v>
      </c>
      <c r="T1531">
        <v>19.93039817</v>
      </c>
      <c r="U1531">
        <f t="shared" si="46"/>
        <v>0</v>
      </c>
      <c r="V1531">
        <f t="shared" si="47"/>
        <v>0</v>
      </c>
    </row>
    <row r="1532" spans="1:22" x14ac:dyDescent="0.2">
      <c r="A1532" t="s">
        <v>2676</v>
      </c>
      <c r="B1532" t="s">
        <v>35</v>
      </c>
      <c r="C1532" t="s">
        <v>76</v>
      </c>
      <c r="D1532" t="s">
        <v>77</v>
      </c>
      <c r="E1532">
        <v>15</v>
      </c>
      <c r="F1532" t="s">
        <v>88</v>
      </c>
      <c r="G1532">
        <v>72</v>
      </c>
      <c r="H1532">
        <v>410715418</v>
      </c>
      <c r="I1532">
        <v>298852</v>
      </c>
      <c r="J1532">
        <v>36</v>
      </c>
      <c r="K1532">
        <v>57</v>
      </c>
      <c r="L1532">
        <v>-410416566</v>
      </c>
      <c r="M1532" s="1" t="s">
        <v>2679</v>
      </c>
      <c r="N1532" s="1" t="s">
        <v>2680</v>
      </c>
      <c r="O1532" s="1" t="s">
        <v>2681</v>
      </c>
      <c r="P1532">
        <v>0</v>
      </c>
      <c r="Q1532">
        <v>0</v>
      </c>
      <c r="R1532">
        <v>0</v>
      </c>
      <c r="S1532">
        <v>0</v>
      </c>
      <c r="T1532">
        <v>19.93039817</v>
      </c>
      <c r="U1532">
        <f t="shared" si="46"/>
        <v>0</v>
      </c>
      <c r="V1532">
        <f t="shared" si="47"/>
        <v>0</v>
      </c>
    </row>
    <row r="1533" spans="1:22" x14ac:dyDescent="0.2">
      <c r="A1533" t="s">
        <v>2676</v>
      </c>
      <c r="B1533" t="s">
        <v>35</v>
      </c>
      <c r="C1533" t="s">
        <v>76</v>
      </c>
      <c r="D1533" t="s">
        <v>77</v>
      </c>
      <c r="E1533" s="1" t="s">
        <v>85</v>
      </c>
      <c r="F1533" t="s">
        <v>86</v>
      </c>
      <c r="G1533">
        <v>25</v>
      </c>
      <c r="H1533">
        <v>413664356</v>
      </c>
      <c r="I1533">
        <v>2481404</v>
      </c>
      <c r="J1533">
        <v>6</v>
      </c>
      <c r="K1533">
        <v>36</v>
      </c>
      <c r="L1533">
        <v>-411182952</v>
      </c>
      <c r="M1533" s="1" t="s">
        <v>2682</v>
      </c>
      <c r="N1533">
        <v>5.96282417968165E-3</v>
      </c>
      <c r="O1533" s="1" t="s">
        <v>2683</v>
      </c>
      <c r="P1533">
        <v>0</v>
      </c>
      <c r="Q1533">
        <v>0</v>
      </c>
      <c r="R1533">
        <v>1</v>
      </c>
      <c r="S1533">
        <v>0</v>
      </c>
      <c r="T1533">
        <v>19.93039817</v>
      </c>
      <c r="U1533">
        <f t="shared" si="46"/>
        <v>0</v>
      </c>
      <c r="V1533">
        <f t="shared" si="47"/>
        <v>1</v>
      </c>
    </row>
    <row r="1534" spans="1:22" x14ac:dyDescent="0.2">
      <c r="A1534" t="s">
        <v>2676</v>
      </c>
      <c r="B1534" t="s">
        <v>35</v>
      </c>
      <c r="C1534" t="s">
        <v>76</v>
      </c>
      <c r="D1534" t="s">
        <v>77</v>
      </c>
      <c r="E1534" s="1" t="s">
        <v>89</v>
      </c>
      <c r="F1534" t="s">
        <v>90</v>
      </c>
      <c r="G1534">
        <v>28</v>
      </c>
      <c r="H1534">
        <v>762909600</v>
      </c>
      <c r="I1534">
        <v>10262</v>
      </c>
      <c r="J1534">
        <v>13</v>
      </c>
      <c r="K1534">
        <v>78</v>
      </c>
      <c r="L1534">
        <v>-762899338</v>
      </c>
      <c r="M1534">
        <v>0.99998654904595996</v>
      </c>
      <c r="N1534" s="1" t="s">
        <v>2684</v>
      </c>
      <c r="O1534">
        <v>9.6429649370156106E-2</v>
      </c>
      <c r="P1534">
        <v>0</v>
      </c>
      <c r="Q1534">
        <v>0</v>
      </c>
      <c r="R1534">
        <v>0</v>
      </c>
      <c r="S1534">
        <v>0</v>
      </c>
      <c r="T1534">
        <v>19.93039817</v>
      </c>
      <c r="U1534">
        <f t="shared" si="46"/>
        <v>0</v>
      </c>
      <c r="V1534">
        <f t="shared" si="47"/>
        <v>0</v>
      </c>
    </row>
    <row r="1535" spans="1:22" x14ac:dyDescent="0.2">
      <c r="A1535" t="s">
        <v>2676</v>
      </c>
      <c r="B1535" t="s">
        <v>35</v>
      </c>
      <c r="C1535" t="s">
        <v>76</v>
      </c>
      <c r="D1535" t="s">
        <v>77</v>
      </c>
      <c r="E1535" s="1" t="s">
        <v>138</v>
      </c>
      <c r="F1535" t="s">
        <v>139</v>
      </c>
      <c r="G1535">
        <v>23</v>
      </c>
      <c r="H1535">
        <v>190076458</v>
      </c>
      <c r="I1535">
        <v>28266970</v>
      </c>
      <c r="J1535">
        <v>11</v>
      </c>
      <c r="K1535">
        <v>26</v>
      </c>
      <c r="L1535">
        <v>-161809488</v>
      </c>
      <c r="M1535" s="1" t="s">
        <v>2685</v>
      </c>
      <c r="N1535" s="1" t="s">
        <v>2686</v>
      </c>
      <c r="O1535">
        <v>2.75976301745804E-2</v>
      </c>
      <c r="P1535">
        <v>0</v>
      </c>
      <c r="Q1535">
        <v>0</v>
      </c>
      <c r="R1535">
        <v>0</v>
      </c>
      <c r="S1535">
        <v>0</v>
      </c>
      <c r="T1535">
        <v>19.93039817</v>
      </c>
      <c r="U1535">
        <f t="shared" si="46"/>
        <v>0</v>
      </c>
      <c r="V1535">
        <f t="shared" si="47"/>
        <v>0</v>
      </c>
    </row>
    <row r="1536" spans="1:22" x14ac:dyDescent="0.2">
      <c r="A1536" t="s">
        <v>2676</v>
      </c>
      <c r="B1536" t="s">
        <v>35</v>
      </c>
      <c r="C1536" t="s">
        <v>76</v>
      </c>
      <c r="D1536" t="s">
        <v>77</v>
      </c>
      <c r="E1536" s="1" t="s">
        <v>89</v>
      </c>
      <c r="F1536" t="s">
        <v>90</v>
      </c>
      <c r="G1536">
        <v>31</v>
      </c>
      <c r="H1536">
        <v>314773560</v>
      </c>
      <c r="I1536">
        <v>0</v>
      </c>
      <c r="J1536">
        <v>32</v>
      </c>
      <c r="K1536">
        <v>51</v>
      </c>
      <c r="L1536">
        <v>-314773560</v>
      </c>
      <c r="M1536">
        <v>1</v>
      </c>
      <c r="N1536">
        <v>0</v>
      </c>
      <c r="O1536">
        <v>3.9785966434566097E-2</v>
      </c>
      <c r="P1536">
        <v>0</v>
      </c>
      <c r="Q1536">
        <v>0</v>
      </c>
      <c r="R1536">
        <v>0</v>
      </c>
      <c r="S1536">
        <v>0</v>
      </c>
      <c r="T1536">
        <v>19.93039817</v>
      </c>
      <c r="U1536">
        <f t="shared" si="46"/>
        <v>0</v>
      </c>
      <c r="V1536">
        <f t="shared" si="47"/>
        <v>0</v>
      </c>
    </row>
    <row r="1537" spans="1:22" x14ac:dyDescent="0.2">
      <c r="A1537" t="s">
        <v>2676</v>
      </c>
      <c r="B1537" t="s">
        <v>35</v>
      </c>
      <c r="C1537" t="s">
        <v>76</v>
      </c>
      <c r="D1537" t="s">
        <v>77</v>
      </c>
      <c r="E1537" s="1" t="s">
        <v>110</v>
      </c>
      <c r="F1537" t="s">
        <v>111</v>
      </c>
      <c r="G1537">
        <v>15</v>
      </c>
      <c r="H1537">
        <v>35567226</v>
      </c>
      <c r="I1537">
        <v>645365</v>
      </c>
      <c r="J1537">
        <v>30</v>
      </c>
      <c r="K1537">
        <v>45</v>
      </c>
      <c r="L1537">
        <v>-34921861</v>
      </c>
      <c r="M1537" s="1" t="s">
        <v>2687</v>
      </c>
      <c r="N1537">
        <v>1.7821563775980501E-2</v>
      </c>
      <c r="O1537">
        <v>4.5771091130864701E-3</v>
      </c>
      <c r="P1537">
        <v>0</v>
      </c>
      <c r="Q1537">
        <v>0</v>
      </c>
      <c r="R1537">
        <v>0</v>
      </c>
      <c r="S1537">
        <v>0</v>
      </c>
      <c r="T1537">
        <v>19.93039817</v>
      </c>
      <c r="U1537">
        <f t="shared" si="46"/>
        <v>0</v>
      </c>
      <c r="V1537">
        <f t="shared" si="47"/>
        <v>0</v>
      </c>
    </row>
    <row r="1538" spans="1:22" x14ac:dyDescent="0.2">
      <c r="A1538" t="s">
        <v>2676</v>
      </c>
      <c r="B1538" t="s">
        <v>35</v>
      </c>
      <c r="C1538" t="s">
        <v>76</v>
      </c>
      <c r="D1538" t="s">
        <v>77</v>
      </c>
      <c r="E1538">
        <v>15</v>
      </c>
      <c r="F1538" t="s">
        <v>88</v>
      </c>
      <c r="G1538">
        <v>82</v>
      </c>
      <c r="H1538">
        <v>17227199</v>
      </c>
      <c r="I1538">
        <v>226</v>
      </c>
      <c r="J1538">
        <v>14</v>
      </c>
      <c r="K1538">
        <v>88</v>
      </c>
      <c r="L1538">
        <v>-17226973</v>
      </c>
      <c r="M1538" s="1" t="s">
        <v>2688</v>
      </c>
      <c r="N1538" s="1" t="s">
        <v>2689</v>
      </c>
      <c r="O1538">
        <v>2.1774692664911399E-3</v>
      </c>
      <c r="P1538">
        <v>0</v>
      </c>
      <c r="Q1538">
        <v>0</v>
      </c>
      <c r="R1538">
        <v>0</v>
      </c>
      <c r="S1538">
        <v>0</v>
      </c>
      <c r="T1538">
        <v>19.93039817</v>
      </c>
      <c r="U1538">
        <f t="shared" si="46"/>
        <v>0</v>
      </c>
      <c r="V1538">
        <f t="shared" si="47"/>
        <v>0</v>
      </c>
    </row>
    <row r="1539" spans="1:22" x14ac:dyDescent="0.2">
      <c r="A1539" t="s">
        <v>2676</v>
      </c>
      <c r="B1539" t="s">
        <v>35</v>
      </c>
      <c r="C1539" t="s">
        <v>76</v>
      </c>
      <c r="D1539" t="s">
        <v>77</v>
      </c>
      <c r="E1539" s="1" t="s">
        <v>93</v>
      </c>
      <c r="F1539" t="s">
        <v>94</v>
      </c>
      <c r="G1539">
        <v>44</v>
      </c>
      <c r="H1539">
        <v>8577521</v>
      </c>
      <c r="I1539">
        <v>5941</v>
      </c>
      <c r="J1539">
        <v>72</v>
      </c>
      <c r="K1539">
        <v>84</v>
      </c>
      <c r="L1539">
        <v>-8571580</v>
      </c>
      <c r="M1539" s="1" t="s">
        <v>2690</v>
      </c>
      <c r="N1539" s="1" t="s">
        <v>2691</v>
      </c>
      <c r="O1539">
        <v>1.08491110569888E-3</v>
      </c>
      <c r="P1539">
        <v>0</v>
      </c>
      <c r="Q1539">
        <v>0</v>
      </c>
      <c r="R1539">
        <v>0</v>
      </c>
      <c r="S1539">
        <v>0</v>
      </c>
      <c r="T1539">
        <v>19.93039817</v>
      </c>
      <c r="U1539">
        <f t="shared" ref="U1539:U1602" si="48">IF(OR(P1539=1,Q1539=1),1,0)</f>
        <v>0</v>
      </c>
      <c r="V1539">
        <f t="shared" ref="V1539:V1602" si="49">IF(OR(R1539=1,S1539=1),1,0)</f>
        <v>0</v>
      </c>
    </row>
    <row r="1540" spans="1:22" x14ac:dyDescent="0.2">
      <c r="A1540" t="s">
        <v>2676</v>
      </c>
      <c r="B1540" t="s">
        <v>35</v>
      </c>
      <c r="C1540" t="s">
        <v>76</v>
      </c>
      <c r="D1540" t="s">
        <v>77</v>
      </c>
      <c r="E1540">
        <v>16</v>
      </c>
      <c r="F1540" t="s">
        <v>95</v>
      </c>
      <c r="G1540">
        <v>84</v>
      </c>
      <c r="H1540">
        <v>4797820</v>
      </c>
      <c r="I1540">
        <v>2192643</v>
      </c>
      <c r="J1540">
        <v>79</v>
      </c>
      <c r="K1540">
        <v>73</v>
      </c>
      <c r="L1540">
        <v>-2605177</v>
      </c>
      <c r="M1540" s="1" t="s">
        <v>2692</v>
      </c>
      <c r="N1540" s="1" t="s">
        <v>2693</v>
      </c>
      <c r="O1540" s="1" t="s">
        <v>2694</v>
      </c>
      <c r="P1540">
        <v>0</v>
      </c>
      <c r="Q1540">
        <v>0</v>
      </c>
      <c r="R1540">
        <v>0</v>
      </c>
      <c r="S1540">
        <v>0</v>
      </c>
      <c r="T1540">
        <v>19.93039817</v>
      </c>
      <c r="U1540">
        <f t="shared" si="48"/>
        <v>0</v>
      </c>
      <c r="V1540">
        <f t="shared" si="49"/>
        <v>0</v>
      </c>
    </row>
    <row r="1541" spans="1:22" x14ac:dyDescent="0.2">
      <c r="A1541" t="s">
        <v>2676</v>
      </c>
      <c r="B1541" t="s">
        <v>35</v>
      </c>
      <c r="C1541" t="s">
        <v>76</v>
      </c>
      <c r="D1541" t="s">
        <v>77</v>
      </c>
      <c r="E1541">
        <v>10</v>
      </c>
      <c r="F1541" t="s">
        <v>119</v>
      </c>
      <c r="G1541">
        <v>48</v>
      </c>
      <c r="H1541">
        <v>25554746</v>
      </c>
      <c r="I1541">
        <v>12592</v>
      </c>
      <c r="J1541">
        <v>59</v>
      </c>
      <c r="K1541">
        <v>78</v>
      </c>
      <c r="L1541">
        <v>-25542154</v>
      </c>
      <c r="M1541" s="1" t="s">
        <v>2695</v>
      </c>
      <c r="N1541" s="1" t="s">
        <v>2696</v>
      </c>
      <c r="O1541">
        <v>3.2315968707448098E-3</v>
      </c>
      <c r="P1541">
        <v>0</v>
      </c>
      <c r="Q1541">
        <v>0</v>
      </c>
      <c r="R1541">
        <v>0</v>
      </c>
      <c r="S1541">
        <v>0</v>
      </c>
      <c r="T1541">
        <v>19.93039817</v>
      </c>
      <c r="U1541">
        <f t="shared" si="48"/>
        <v>0</v>
      </c>
      <c r="V1541">
        <f t="shared" si="49"/>
        <v>0</v>
      </c>
    </row>
    <row r="1542" spans="1:22" x14ac:dyDescent="0.2">
      <c r="A1542" t="s">
        <v>2676</v>
      </c>
      <c r="B1542" t="s">
        <v>35</v>
      </c>
      <c r="C1542" t="s">
        <v>76</v>
      </c>
      <c r="D1542" t="s">
        <v>77</v>
      </c>
      <c r="E1542">
        <v>15</v>
      </c>
      <c r="F1542" t="s">
        <v>88</v>
      </c>
      <c r="G1542">
        <v>76</v>
      </c>
      <c r="H1542">
        <v>47277040</v>
      </c>
      <c r="I1542">
        <v>1029</v>
      </c>
      <c r="J1542">
        <v>48</v>
      </c>
      <c r="K1542">
        <v>83</v>
      </c>
      <c r="L1542">
        <v>-47276011</v>
      </c>
      <c r="M1542" s="1" t="s">
        <v>2697</v>
      </c>
      <c r="N1542" s="1" t="s">
        <v>2698</v>
      </c>
      <c r="O1542">
        <v>5.9757359109993196E-3</v>
      </c>
      <c r="P1542">
        <v>0</v>
      </c>
      <c r="Q1542">
        <v>0</v>
      </c>
      <c r="R1542">
        <v>0</v>
      </c>
      <c r="S1542">
        <v>0</v>
      </c>
      <c r="T1542">
        <v>19.93039817</v>
      </c>
      <c r="U1542">
        <f t="shared" si="48"/>
        <v>0</v>
      </c>
      <c r="V1542">
        <f t="shared" si="49"/>
        <v>0</v>
      </c>
    </row>
    <row r="1543" spans="1:22" x14ac:dyDescent="0.2">
      <c r="A1543" t="s">
        <v>2676</v>
      </c>
      <c r="B1543" t="s">
        <v>35</v>
      </c>
      <c r="C1543" t="s">
        <v>76</v>
      </c>
      <c r="D1543" t="s">
        <v>77</v>
      </c>
      <c r="E1543" s="1" t="s">
        <v>99</v>
      </c>
      <c r="F1543" t="s">
        <v>100</v>
      </c>
      <c r="G1543">
        <v>39</v>
      </c>
      <c r="H1543">
        <v>38380586</v>
      </c>
      <c r="I1543">
        <v>2749843</v>
      </c>
      <c r="J1543">
        <v>29</v>
      </c>
      <c r="K1543">
        <v>64</v>
      </c>
      <c r="L1543">
        <v>-35630743</v>
      </c>
      <c r="M1543" s="1" t="s">
        <v>2699</v>
      </c>
      <c r="N1543">
        <v>6.6856657391052204E-2</v>
      </c>
      <c r="O1543">
        <v>5.1987017830636799E-3</v>
      </c>
      <c r="P1543">
        <v>0</v>
      </c>
      <c r="Q1543">
        <v>0</v>
      </c>
      <c r="R1543">
        <v>0</v>
      </c>
      <c r="S1543">
        <v>0</v>
      </c>
      <c r="T1543">
        <v>19.93039817</v>
      </c>
      <c r="U1543">
        <f t="shared" si="48"/>
        <v>0</v>
      </c>
      <c r="V1543">
        <f t="shared" si="49"/>
        <v>0</v>
      </c>
    </row>
    <row r="1544" spans="1:22" x14ac:dyDescent="0.2">
      <c r="A1544" t="s">
        <v>2676</v>
      </c>
      <c r="B1544" t="s">
        <v>35</v>
      </c>
      <c r="C1544" t="s">
        <v>76</v>
      </c>
      <c r="D1544" t="s">
        <v>77</v>
      </c>
      <c r="E1544" s="1" t="s">
        <v>82</v>
      </c>
      <c r="F1544" t="s">
        <v>83</v>
      </c>
      <c r="G1544" s="1" t="s">
        <v>99</v>
      </c>
      <c r="H1544">
        <v>1081586</v>
      </c>
      <c r="I1544">
        <v>334247355</v>
      </c>
      <c r="J1544">
        <v>58</v>
      </c>
      <c r="K1544">
        <v>7</v>
      </c>
      <c r="L1544">
        <v>333165769</v>
      </c>
      <c r="M1544">
        <v>3.2254478148368302E-3</v>
      </c>
      <c r="N1544" s="1" t="s">
        <v>2700</v>
      </c>
      <c r="O1544">
        <v>4.2384074415794601E-2</v>
      </c>
      <c r="P1544">
        <v>0</v>
      </c>
      <c r="Q1544">
        <v>0</v>
      </c>
      <c r="R1544">
        <v>0</v>
      </c>
      <c r="S1544">
        <v>1</v>
      </c>
      <c r="T1544">
        <v>19.93039817</v>
      </c>
      <c r="U1544">
        <f t="shared" si="48"/>
        <v>0</v>
      </c>
      <c r="V1544">
        <f t="shared" si="49"/>
        <v>1</v>
      </c>
    </row>
    <row r="1545" spans="1:22" x14ac:dyDescent="0.2">
      <c r="A1545" t="s">
        <v>2676</v>
      </c>
      <c r="B1545" t="s">
        <v>35</v>
      </c>
      <c r="C1545" t="s">
        <v>76</v>
      </c>
      <c r="D1545" t="s">
        <v>77</v>
      </c>
      <c r="E1545">
        <v>10</v>
      </c>
      <c r="F1545" t="s">
        <v>119</v>
      </c>
      <c r="G1545">
        <v>47</v>
      </c>
      <c r="H1545">
        <v>2303879</v>
      </c>
      <c r="I1545">
        <v>0</v>
      </c>
      <c r="J1545">
        <v>44</v>
      </c>
      <c r="K1545">
        <v>37</v>
      </c>
      <c r="L1545">
        <v>-2303879</v>
      </c>
      <c r="M1545">
        <v>1</v>
      </c>
      <c r="N1545">
        <v>0</v>
      </c>
      <c r="O1545" s="1" t="s">
        <v>2701</v>
      </c>
      <c r="P1545">
        <v>0</v>
      </c>
      <c r="Q1545">
        <v>0</v>
      </c>
      <c r="R1545">
        <v>0</v>
      </c>
      <c r="S1545">
        <v>0</v>
      </c>
      <c r="T1545">
        <v>19.93039817</v>
      </c>
      <c r="U1545">
        <f t="shared" si="48"/>
        <v>0</v>
      </c>
      <c r="V1545">
        <f t="shared" si="49"/>
        <v>0</v>
      </c>
    </row>
    <row r="1546" spans="1:22" x14ac:dyDescent="0.2">
      <c r="A1546" t="s">
        <v>2676</v>
      </c>
      <c r="B1546" t="s">
        <v>35</v>
      </c>
      <c r="C1546" t="s">
        <v>76</v>
      </c>
      <c r="D1546" t="s">
        <v>77</v>
      </c>
      <c r="E1546" s="1" t="s">
        <v>89</v>
      </c>
      <c r="F1546" t="s">
        <v>90</v>
      </c>
      <c r="G1546">
        <v>33</v>
      </c>
      <c r="H1546">
        <v>4005304</v>
      </c>
      <c r="I1546">
        <v>9001591</v>
      </c>
      <c r="J1546">
        <v>40</v>
      </c>
      <c r="K1546">
        <v>41</v>
      </c>
      <c r="L1546">
        <v>4996287</v>
      </c>
      <c r="M1546" s="1" t="s">
        <v>2702</v>
      </c>
      <c r="N1546">
        <v>0.6920630173458</v>
      </c>
      <c r="O1546">
        <v>1.64401320075271E-3</v>
      </c>
      <c r="P1546">
        <v>0</v>
      </c>
      <c r="Q1546">
        <v>0</v>
      </c>
      <c r="R1546">
        <v>0</v>
      </c>
      <c r="S1546">
        <v>0</v>
      </c>
      <c r="T1546">
        <v>19.93039817</v>
      </c>
      <c r="U1546">
        <f t="shared" si="48"/>
        <v>0</v>
      </c>
      <c r="V1546">
        <f t="shared" si="49"/>
        <v>0</v>
      </c>
    </row>
    <row r="1547" spans="1:22" x14ac:dyDescent="0.2">
      <c r="A1547" t="s">
        <v>2676</v>
      </c>
      <c r="B1547" t="s">
        <v>35</v>
      </c>
      <c r="C1547" t="s">
        <v>76</v>
      </c>
      <c r="D1547" t="s">
        <v>77</v>
      </c>
      <c r="E1547" s="1" t="s">
        <v>99</v>
      </c>
      <c r="F1547" t="s">
        <v>100</v>
      </c>
      <c r="G1547">
        <v>40</v>
      </c>
      <c r="H1547">
        <v>2658308</v>
      </c>
      <c r="I1547">
        <v>608</v>
      </c>
      <c r="J1547">
        <v>70</v>
      </c>
      <c r="K1547">
        <v>90</v>
      </c>
      <c r="L1547">
        <v>-2657700</v>
      </c>
      <c r="M1547" s="1" t="s">
        <v>2703</v>
      </c>
      <c r="N1547" s="1" t="s">
        <v>2704</v>
      </c>
      <c r="O1547" s="1" t="s">
        <v>2705</v>
      </c>
      <c r="P1547">
        <v>0</v>
      </c>
      <c r="Q1547">
        <v>0</v>
      </c>
      <c r="R1547">
        <v>0</v>
      </c>
      <c r="S1547">
        <v>0</v>
      </c>
      <c r="T1547">
        <v>19.93039817</v>
      </c>
      <c r="U1547">
        <f t="shared" si="48"/>
        <v>0</v>
      </c>
      <c r="V1547">
        <f t="shared" si="49"/>
        <v>0</v>
      </c>
    </row>
    <row r="1548" spans="1:22" x14ac:dyDescent="0.2">
      <c r="A1548" t="s">
        <v>2676</v>
      </c>
      <c r="B1548" t="s">
        <v>35</v>
      </c>
      <c r="C1548" t="s">
        <v>76</v>
      </c>
      <c r="D1548" t="s">
        <v>77</v>
      </c>
      <c r="E1548">
        <v>13</v>
      </c>
      <c r="F1548" t="s">
        <v>91</v>
      </c>
      <c r="G1548">
        <v>70</v>
      </c>
      <c r="H1548">
        <v>708432</v>
      </c>
      <c r="I1548">
        <v>52038</v>
      </c>
      <c r="J1548">
        <v>65</v>
      </c>
      <c r="K1548">
        <v>62</v>
      </c>
      <c r="L1548">
        <v>-656394</v>
      </c>
      <c r="M1548" s="1" t="s">
        <v>2706</v>
      </c>
      <c r="N1548">
        <v>6.8428734861335702E-2</v>
      </c>
      <c r="O1548" s="1" t="s">
        <v>2707</v>
      </c>
      <c r="P1548">
        <v>0</v>
      </c>
      <c r="Q1548">
        <v>0</v>
      </c>
      <c r="R1548">
        <v>0</v>
      </c>
      <c r="S1548">
        <v>0</v>
      </c>
      <c r="T1548">
        <v>19.93039817</v>
      </c>
      <c r="U1548">
        <f t="shared" si="48"/>
        <v>0</v>
      </c>
      <c r="V1548">
        <f t="shared" si="49"/>
        <v>0</v>
      </c>
    </row>
    <row r="1549" spans="1:22" x14ac:dyDescent="0.2">
      <c r="A1549" t="s">
        <v>2676</v>
      </c>
      <c r="B1549" t="s">
        <v>35</v>
      </c>
      <c r="C1549" t="s">
        <v>76</v>
      </c>
      <c r="D1549" t="s">
        <v>77</v>
      </c>
      <c r="E1549" s="1" t="s">
        <v>89</v>
      </c>
      <c r="F1549" t="s">
        <v>90</v>
      </c>
      <c r="G1549">
        <v>29</v>
      </c>
      <c r="H1549">
        <v>7893637</v>
      </c>
      <c r="I1549">
        <v>26927</v>
      </c>
      <c r="J1549">
        <v>62</v>
      </c>
      <c r="K1549">
        <v>69</v>
      </c>
      <c r="L1549">
        <v>-7866710</v>
      </c>
      <c r="M1549" s="1" t="s">
        <v>2708</v>
      </c>
      <c r="N1549">
        <v>3.3996316423931402E-3</v>
      </c>
      <c r="O1549">
        <v>1.00112377115419E-3</v>
      </c>
      <c r="P1549">
        <v>0</v>
      </c>
      <c r="Q1549">
        <v>0</v>
      </c>
      <c r="R1549">
        <v>0</v>
      </c>
      <c r="S1549">
        <v>0</v>
      </c>
      <c r="T1549">
        <v>19.93039817</v>
      </c>
      <c r="U1549">
        <f t="shared" si="48"/>
        <v>0</v>
      </c>
      <c r="V1549">
        <f t="shared" si="49"/>
        <v>0</v>
      </c>
    </row>
    <row r="1550" spans="1:22" x14ac:dyDescent="0.2">
      <c r="A1550" t="s">
        <v>2676</v>
      </c>
      <c r="B1550" t="s">
        <v>35</v>
      </c>
      <c r="C1550" t="s">
        <v>76</v>
      </c>
      <c r="D1550" t="s">
        <v>77</v>
      </c>
      <c r="E1550">
        <v>16</v>
      </c>
      <c r="F1550" t="s">
        <v>95</v>
      </c>
      <c r="G1550">
        <v>85</v>
      </c>
      <c r="H1550">
        <v>8257999</v>
      </c>
      <c r="I1550">
        <v>1495073</v>
      </c>
      <c r="J1550">
        <v>71</v>
      </c>
      <c r="K1550">
        <v>68</v>
      </c>
      <c r="L1550">
        <v>-6762926</v>
      </c>
      <c r="M1550" s="1" t="s">
        <v>2709</v>
      </c>
      <c r="N1550" s="1" t="s">
        <v>2710</v>
      </c>
      <c r="O1550">
        <v>1.23274456477827E-3</v>
      </c>
      <c r="P1550">
        <v>0</v>
      </c>
      <c r="Q1550">
        <v>0</v>
      </c>
      <c r="R1550">
        <v>0</v>
      </c>
      <c r="S1550">
        <v>0</v>
      </c>
      <c r="T1550">
        <v>19.93039817</v>
      </c>
      <c r="U1550">
        <f t="shared" si="48"/>
        <v>0</v>
      </c>
      <c r="V1550">
        <f t="shared" si="49"/>
        <v>0</v>
      </c>
    </row>
    <row r="1551" spans="1:22" x14ac:dyDescent="0.2">
      <c r="A1551" t="s">
        <v>2676</v>
      </c>
      <c r="B1551" t="s">
        <v>35</v>
      </c>
      <c r="C1551" t="s">
        <v>76</v>
      </c>
      <c r="D1551" t="s">
        <v>77</v>
      </c>
      <c r="E1551" s="1" t="s">
        <v>138</v>
      </c>
      <c r="F1551" t="s">
        <v>139</v>
      </c>
      <c r="G1551">
        <v>21</v>
      </c>
      <c r="H1551">
        <v>1580853</v>
      </c>
      <c r="I1551">
        <v>110121</v>
      </c>
      <c r="J1551">
        <v>49</v>
      </c>
      <c r="K1551">
        <v>79</v>
      </c>
      <c r="L1551">
        <v>-1470732</v>
      </c>
      <c r="M1551" s="1" t="s">
        <v>2711</v>
      </c>
      <c r="N1551">
        <v>6.5122822704547695E-2</v>
      </c>
      <c r="O1551" s="1" t="s">
        <v>2712</v>
      </c>
      <c r="P1551">
        <v>0</v>
      </c>
      <c r="Q1551">
        <v>0</v>
      </c>
      <c r="R1551">
        <v>0</v>
      </c>
      <c r="S1551">
        <v>0</v>
      </c>
      <c r="T1551">
        <v>19.93039817</v>
      </c>
      <c r="U1551">
        <f t="shared" si="48"/>
        <v>0</v>
      </c>
      <c r="V1551">
        <f t="shared" si="49"/>
        <v>0</v>
      </c>
    </row>
    <row r="1552" spans="1:22" x14ac:dyDescent="0.2">
      <c r="A1552" t="s">
        <v>2676</v>
      </c>
      <c r="B1552" t="s">
        <v>35</v>
      </c>
      <c r="C1552" t="s">
        <v>76</v>
      </c>
      <c r="D1552" t="s">
        <v>77</v>
      </c>
      <c r="E1552">
        <v>18</v>
      </c>
      <c r="F1552" t="s">
        <v>147</v>
      </c>
      <c r="G1552">
        <v>90</v>
      </c>
      <c r="H1552">
        <v>2777691</v>
      </c>
      <c r="I1552">
        <v>7326</v>
      </c>
      <c r="J1552">
        <v>69</v>
      </c>
      <c r="K1552">
        <v>92</v>
      </c>
      <c r="L1552">
        <v>-2770365</v>
      </c>
      <c r="M1552" s="1" t="s">
        <v>2713</v>
      </c>
      <c r="N1552">
        <v>2.6305045893795201E-3</v>
      </c>
      <c r="O1552" s="1" t="s">
        <v>2714</v>
      </c>
      <c r="P1552">
        <v>0</v>
      </c>
      <c r="Q1552">
        <v>0</v>
      </c>
      <c r="R1552">
        <v>0</v>
      </c>
      <c r="S1552">
        <v>0</v>
      </c>
      <c r="T1552">
        <v>19.93039817</v>
      </c>
      <c r="U1552">
        <f t="shared" si="48"/>
        <v>0</v>
      </c>
      <c r="V1552">
        <f t="shared" si="49"/>
        <v>0</v>
      </c>
    </row>
    <row r="1553" spans="1:22" x14ac:dyDescent="0.2">
      <c r="A1553" t="s">
        <v>2676</v>
      </c>
      <c r="B1553" t="s">
        <v>35</v>
      </c>
      <c r="C1553" t="s">
        <v>76</v>
      </c>
      <c r="D1553" t="s">
        <v>77</v>
      </c>
      <c r="E1553" s="1" t="s">
        <v>89</v>
      </c>
      <c r="F1553" t="s">
        <v>90</v>
      </c>
      <c r="G1553">
        <v>32</v>
      </c>
      <c r="H1553">
        <v>2675515</v>
      </c>
      <c r="I1553">
        <v>0</v>
      </c>
      <c r="J1553">
        <v>31</v>
      </c>
      <c r="K1553">
        <v>80</v>
      </c>
      <c r="L1553">
        <v>-2675515</v>
      </c>
      <c r="M1553">
        <v>1</v>
      </c>
      <c r="N1553">
        <v>0</v>
      </c>
      <c r="O1553" s="1" t="s">
        <v>2715</v>
      </c>
      <c r="P1553">
        <v>0</v>
      </c>
      <c r="Q1553">
        <v>0</v>
      </c>
      <c r="R1553">
        <v>0</v>
      </c>
      <c r="S1553">
        <v>0</v>
      </c>
      <c r="T1553">
        <v>19.93039817</v>
      </c>
      <c r="U1553">
        <f t="shared" si="48"/>
        <v>0</v>
      </c>
      <c r="V1553">
        <f t="shared" si="49"/>
        <v>0</v>
      </c>
    </row>
    <row r="1554" spans="1:22" x14ac:dyDescent="0.2">
      <c r="A1554" t="s">
        <v>2676</v>
      </c>
      <c r="B1554" t="s">
        <v>35</v>
      </c>
      <c r="C1554" t="s">
        <v>76</v>
      </c>
      <c r="D1554" t="s">
        <v>77</v>
      </c>
      <c r="E1554">
        <v>20</v>
      </c>
      <c r="F1554" t="s">
        <v>104</v>
      </c>
      <c r="G1554">
        <v>95</v>
      </c>
      <c r="H1554">
        <v>995766</v>
      </c>
      <c r="I1554">
        <v>0</v>
      </c>
      <c r="J1554">
        <v>40</v>
      </c>
      <c r="K1554">
        <v>91</v>
      </c>
      <c r="L1554">
        <v>-995766</v>
      </c>
      <c r="M1554">
        <v>1</v>
      </c>
      <c r="N1554">
        <v>0</v>
      </c>
      <c r="O1554" s="1" t="s">
        <v>2716</v>
      </c>
      <c r="P1554">
        <v>0</v>
      </c>
      <c r="Q1554">
        <v>0</v>
      </c>
      <c r="R1554">
        <v>0</v>
      </c>
      <c r="S1554">
        <v>0</v>
      </c>
      <c r="T1554">
        <v>19.93039817</v>
      </c>
      <c r="U1554">
        <f t="shared" si="48"/>
        <v>0</v>
      </c>
      <c r="V1554">
        <f t="shared" si="49"/>
        <v>0</v>
      </c>
    </row>
    <row r="1555" spans="1:22" x14ac:dyDescent="0.2">
      <c r="A1555" t="s">
        <v>2676</v>
      </c>
      <c r="B1555" t="s">
        <v>35</v>
      </c>
      <c r="C1555" t="s">
        <v>76</v>
      </c>
      <c r="D1555" t="s">
        <v>77</v>
      </c>
      <c r="E1555" s="1" t="s">
        <v>89</v>
      </c>
      <c r="F1555" t="s">
        <v>90</v>
      </c>
      <c r="G1555">
        <v>30</v>
      </c>
      <c r="H1555">
        <v>30444871</v>
      </c>
      <c r="I1555">
        <v>256</v>
      </c>
      <c r="J1555">
        <v>17</v>
      </c>
      <c r="K1555">
        <v>84</v>
      </c>
      <c r="L1555">
        <v>-30444615</v>
      </c>
      <c r="M1555" s="1" t="s">
        <v>2717</v>
      </c>
      <c r="N1555" s="1" t="s">
        <v>2718</v>
      </c>
      <c r="O1555">
        <v>3.8481275267150802E-3</v>
      </c>
      <c r="P1555">
        <v>0</v>
      </c>
      <c r="Q1555">
        <v>0</v>
      </c>
      <c r="R1555">
        <v>0</v>
      </c>
      <c r="S1555">
        <v>0</v>
      </c>
      <c r="T1555">
        <v>19.93039817</v>
      </c>
      <c r="U1555">
        <f t="shared" si="48"/>
        <v>0</v>
      </c>
      <c r="V1555">
        <f t="shared" si="49"/>
        <v>0</v>
      </c>
    </row>
    <row r="1556" spans="1:22" x14ac:dyDescent="0.2">
      <c r="A1556" t="s">
        <v>2676</v>
      </c>
      <c r="B1556" t="s">
        <v>35</v>
      </c>
      <c r="C1556" t="s">
        <v>76</v>
      </c>
      <c r="D1556" t="s">
        <v>77</v>
      </c>
      <c r="E1556" s="1" t="s">
        <v>138</v>
      </c>
      <c r="F1556" t="s">
        <v>139</v>
      </c>
      <c r="G1556">
        <v>16</v>
      </c>
      <c r="H1556">
        <v>2091435</v>
      </c>
      <c r="I1556">
        <v>660867</v>
      </c>
      <c r="J1556">
        <v>22</v>
      </c>
      <c r="K1556">
        <v>36</v>
      </c>
      <c r="L1556">
        <v>-1430568</v>
      </c>
      <c r="M1556" s="1" t="s">
        <v>2719</v>
      </c>
      <c r="N1556" s="1" t="s">
        <v>2720</v>
      </c>
      <c r="O1556" s="1" t="s">
        <v>2721</v>
      </c>
      <c r="P1556">
        <v>0</v>
      </c>
      <c r="Q1556">
        <v>0</v>
      </c>
      <c r="R1556">
        <v>0</v>
      </c>
      <c r="S1556">
        <v>0</v>
      </c>
      <c r="T1556">
        <v>19.93039817</v>
      </c>
      <c r="U1556">
        <f t="shared" si="48"/>
        <v>0</v>
      </c>
      <c r="V1556">
        <f t="shared" si="49"/>
        <v>0</v>
      </c>
    </row>
    <row r="1557" spans="1:22" x14ac:dyDescent="0.2">
      <c r="A1557" t="s">
        <v>2676</v>
      </c>
      <c r="B1557" t="s">
        <v>35</v>
      </c>
      <c r="C1557" t="s">
        <v>76</v>
      </c>
      <c r="D1557" t="s">
        <v>77</v>
      </c>
      <c r="E1557" s="1" t="s">
        <v>89</v>
      </c>
      <c r="F1557" t="s">
        <v>90</v>
      </c>
      <c r="G1557">
        <v>38</v>
      </c>
      <c r="H1557">
        <v>2795778</v>
      </c>
      <c r="I1557">
        <v>51</v>
      </c>
      <c r="J1557">
        <v>64</v>
      </c>
      <c r="K1557">
        <v>85</v>
      </c>
      <c r="L1557">
        <v>-2795727</v>
      </c>
      <c r="M1557" s="1" t="s">
        <v>2722</v>
      </c>
      <c r="N1557" s="1" t="s">
        <v>2723</v>
      </c>
      <c r="O1557" s="1" t="s">
        <v>2724</v>
      </c>
      <c r="P1557">
        <v>0</v>
      </c>
      <c r="Q1557">
        <v>0</v>
      </c>
      <c r="R1557">
        <v>0</v>
      </c>
      <c r="S1557">
        <v>0</v>
      </c>
      <c r="T1557">
        <v>19.93039817</v>
      </c>
      <c r="U1557">
        <f t="shared" si="48"/>
        <v>0</v>
      </c>
      <c r="V1557">
        <f t="shared" si="49"/>
        <v>0</v>
      </c>
    </row>
    <row r="1558" spans="1:22" x14ac:dyDescent="0.2">
      <c r="A1558" t="s">
        <v>2676</v>
      </c>
      <c r="B1558" t="s">
        <v>35</v>
      </c>
      <c r="C1558" t="s">
        <v>76</v>
      </c>
      <c r="D1558" t="s">
        <v>77</v>
      </c>
      <c r="E1558" s="1" t="s">
        <v>89</v>
      </c>
      <c r="F1558" t="s">
        <v>90</v>
      </c>
      <c r="G1558">
        <v>34</v>
      </c>
      <c r="H1558">
        <v>1705495</v>
      </c>
      <c r="I1558">
        <v>33649</v>
      </c>
      <c r="J1558">
        <v>42</v>
      </c>
      <c r="K1558">
        <v>70</v>
      </c>
      <c r="L1558">
        <v>-1671846</v>
      </c>
      <c r="M1558" s="1" t="s">
        <v>2725</v>
      </c>
      <c r="N1558" s="1" t="s">
        <v>2726</v>
      </c>
      <c r="O1558" s="1" t="s">
        <v>2727</v>
      </c>
      <c r="P1558">
        <v>0</v>
      </c>
      <c r="Q1558">
        <v>0</v>
      </c>
      <c r="R1558">
        <v>0</v>
      </c>
      <c r="S1558">
        <v>0</v>
      </c>
      <c r="T1558">
        <v>19.93039817</v>
      </c>
      <c r="U1558">
        <f t="shared" si="48"/>
        <v>0</v>
      </c>
      <c r="V1558">
        <f t="shared" si="49"/>
        <v>0</v>
      </c>
    </row>
    <row r="1559" spans="1:22" x14ac:dyDescent="0.2">
      <c r="A1559" t="s">
        <v>2676</v>
      </c>
      <c r="B1559" t="s">
        <v>35</v>
      </c>
      <c r="C1559" t="s">
        <v>76</v>
      </c>
      <c r="D1559" t="s">
        <v>77</v>
      </c>
      <c r="E1559" s="1" t="s">
        <v>138</v>
      </c>
      <c r="F1559" t="s">
        <v>139</v>
      </c>
      <c r="G1559">
        <v>22</v>
      </c>
      <c r="H1559">
        <v>1045599</v>
      </c>
      <c r="I1559">
        <v>12</v>
      </c>
      <c r="J1559">
        <v>65</v>
      </c>
      <c r="K1559">
        <v>95</v>
      </c>
      <c r="L1559">
        <v>-1045587</v>
      </c>
      <c r="M1559" s="1" t="s">
        <v>2728</v>
      </c>
      <c r="N1559" s="1" t="s">
        <v>2729</v>
      </c>
      <c r="O1559" s="1" t="s">
        <v>2730</v>
      </c>
      <c r="P1559">
        <v>0</v>
      </c>
      <c r="Q1559">
        <v>0</v>
      </c>
      <c r="R1559">
        <v>0</v>
      </c>
      <c r="S1559">
        <v>0</v>
      </c>
      <c r="T1559">
        <v>19.93039817</v>
      </c>
      <c r="U1559">
        <f t="shared" si="48"/>
        <v>0</v>
      </c>
      <c r="V1559">
        <f t="shared" si="49"/>
        <v>0</v>
      </c>
    </row>
    <row r="1560" spans="1:22" x14ac:dyDescent="0.2">
      <c r="A1560" t="s">
        <v>2676</v>
      </c>
      <c r="B1560" t="s">
        <v>35</v>
      </c>
      <c r="C1560" t="s">
        <v>76</v>
      </c>
      <c r="D1560" t="s">
        <v>77</v>
      </c>
      <c r="E1560" s="1" t="s">
        <v>82</v>
      </c>
      <c r="F1560" t="s">
        <v>83</v>
      </c>
      <c r="G1560">
        <v>12</v>
      </c>
      <c r="H1560">
        <v>2568623</v>
      </c>
      <c r="I1560">
        <v>1350596</v>
      </c>
      <c r="J1560">
        <v>44</v>
      </c>
      <c r="K1560">
        <v>42</v>
      </c>
      <c r="L1560">
        <v>-1218027</v>
      </c>
      <c r="M1560" s="1" t="s">
        <v>2731</v>
      </c>
      <c r="N1560" s="1" t="s">
        <v>2732</v>
      </c>
      <c r="O1560" s="1" t="s">
        <v>2733</v>
      </c>
      <c r="P1560">
        <v>0</v>
      </c>
      <c r="Q1560">
        <v>0</v>
      </c>
      <c r="R1560">
        <v>0</v>
      </c>
      <c r="S1560">
        <v>0</v>
      </c>
      <c r="T1560">
        <v>19.93039817</v>
      </c>
      <c r="U1560">
        <f t="shared" si="48"/>
        <v>0</v>
      </c>
      <c r="V1560">
        <f t="shared" si="49"/>
        <v>0</v>
      </c>
    </row>
    <row r="1561" spans="1:22" x14ac:dyDescent="0.2">
      <c r="A1561" t="s">
        <v>2676</v>
      </c>
      <c r="B1561" t="s">
        <v>35</v>
      </c>
      <c r="C1561" t="s">
        <v>76</v>
      </c>
      <c r="D1561" t="s">
        <v>77</v>
      </c>
      <c r="E1561">
        <v>11</v>
      </c>
      <c r="F1561" t="s">
        <v>127</v>
      </c>
      <c r="G1561">
        <v>53</v>
      </c>
      <c r="H1561">
        <v>2796157</v>
      </c>
      <c r="I1561">
        <v>0</v>
      </c>
      <c r="J1561">
        <v>8</v>
      </c>
      <c r="K1561">
        <v>49</v>
      </c>
      <c r="L1561">
        <v>-2796157</v>
      </c>
      <c r="M1561">
        <v>1</v>
      </c>
      <c r="N1561">
        <v>0</v>
      </c>
      <c r="O1561" s="1" t="s">
        <v>2734</v>
      </c>
      <c r="P1561">
        <v>0</v>
      </c>
      <c r="Q1561">
        <v>0</v>
      </c>
      <c r="R1561">
        <v>1</v>
      </c>
      <c r="S1561">
        <v>0</v>
      </c>
      <c r="T1561">
        <v>19.93039817</v>
      </c>
      <c r="U1561">
        <f t="shared" si="48"/>
        <v>0</v>
      </c>
      <c r="V1561">
        <f t="shared" si="49"/>
        <v>1</v>
      </c>
    </row>
    <row r="1562" spans="1:22" x14ac:dyDescent="0.2">
      <c r="A1562" t="s">
        <v>2676</v>
      </c>
      <c r="B1562" t="s">
        <v>35</v>
      </c>
      <c r="C1562" t="s">
        <v>76</v>
      </c>
      <c r="D1562" t="s">
        <v>77</v>
      </c>
      <c r="E1562">
        <v>11</v>
      </c>
      <c r="F1562" t="s">
        <v>127</v>
      </c>
      <c r="G1562">
        <v>52</v>
      </c>
      <c r="H1562">
        <v>715346</v>
      </c>
      <c r="I1562">
        <v>0</v>
      </c>
      <c r="J1562">
        <v>18</v>
      </c>
      <c r="K1562">
        <v>67</v>
      </c>
      <c r="L1562">
        <v>-715346</v>
      </c>
      <c r="M1562">
        <v>1</v>
      </c>
      <c r="N1562">
        <v>0</v>
      </c>
      <c r="O1562" s="1" t="s">
        <v>2735</v>
      </c>
      <c r="P1562">
        <v>0</v>
      </c>
      <c r="Q1562">
        <v>0</v>
      </c>
      <c r="R1562">
        <v>0</v>
      </c>
      <c r="S1562">
        <v>0</v>
      </c>
      <c r="T1562">
        <v>19.93039817</v>
      </c>
      <c r="U1562">
        <f t="shared" si="48"/>
        <v>0</v>
      </c>
      <c r="V1562">
        <f t="shared" si="49"/>
        <v>0</v>
      </c>
    </row>
    <row r="1563" spans="1:22" x14ac:dyDescent="0.2">
      <c r="A1563" t="s">
        <v>2676</v>
      </c>
      <c r="B1563" t="s">
        <v>35</v>
      </c>
      <c r="C1563" t="s">
        <v>76</v>
      </c>
      <c r="D1563" t="s">
        <v>77</v>
      </c>
      <c r="E1563">
        <v>11</v>
      </c>
      <c r="F1563" t="s">
        <v>127</v>
      </c>
      <c r="G1563">
        <v>51</v>
      </c>
      <c r="H1563">
        <v>1129190</v>
      </c>
      <c r="I1563">
        <v>38656</v>
      </c>
      <c r="J1563">
        <v>10</v>
      </c>
      <c r="K1563">
        <v>39</v>
      </c>
      <c r="L1563">
        <v>-1090534</v>
      </c>
      <c r="M1563" s="1" t="s">
        <v>2736</v>
      </c>
      <c r="N1563">
        <v>3.3100254656864003E-2</v>
      </c>
      <c r="O1563" s="1" t="s">
        <v>2737</v>
      </c>
      <c r="P1563">
        <v>0</v>
      </c>
      <c r="Q1563">
        <v>0</v>
      </c>
      <c r="R1563">
        <v>1</v>
      </c>
      <c r="S1563">
        <v>0</v>
      </c>
      <c r="T1563">
        <v>19.93039817</v>
      </c>
      <c r="U1563">
        <f t="shared" si="48"/>
        <v>0</v>
      </c>
      <c r="V1563">
        <f t="shared" si="49"/>
        <v>1</v>
      </c>
    </row>
    <row r="1564" spans="1:22" x14ac:dyDescent="0.2">
      <c r="A1564" t="s">
        <v>2676</v>
      </c>
      <c r="B1564" t="s">
        <v>35</v>
      </c>
      <c r="C1564" t="s">
        <v>76</v>
      </c>
      <c r="D1564" t="s">
        <v>77</v>
      </c>
      <c r="E1564">
        <v>11</v>
      </c>
      <c r="F1564" t="s">
        <v>127</v>
      </c>
      <c r="G1564">
        <v>63</v>
      </c>
      <c r="H1564">
        <v>177540</v>
      </c>
      <c r="I1564">
        <v>1346662</v>
      </c>
      <c r="J1564">
        <v>53</v>
      </c>
      <c r="K1564">
        <v>49</v>
      </c>
      <c r="L1564">
        <v>1169122</v>
      </c>
      <c r="M1564" s="1" t="s">
        <v>2738</v>
      </c>
      <c r="N1564" s="1" t="s">
        <v>2739</v>
      </c>
      <c r="O1564" s="1" t="s">
        <v>2740</v>
      </c>
      <c r="P1564">
        <v>0</v>
      </c>
      <c r="Q1564">
        <v>0</v>
      </c>
      <c r="R1564">
        <v>0</v>
      </c>
      <c r="S1564">
        <v>0</v>
      </c>
      <c r="T1564">
        <v>19.93039817</v>
      </c>
      <c r="U1564">
        <f t="shared" si="48"/>
        <v>0</v>
      </c>
      <c r="V1564">
        <f t="shared" si="49"/>
        <v>0</v>
      </c>
    </row>
    <row r="1565" spans="1:22" x14ac:dyDescent="0.2">
      <c r="A1565" t="s">
        <v>2676</v>
      </c>
      <c r="B1565" t="s">
        <v>35</v>
      </c>
      <c r="C1565" t="s">
        <v>76</v>
      </c>
      <c r="D1565" t="s">
        <v>77</v>
      </c>
      <c r="E1565">
        <v>17</v>
      </c>
      <c r="F1565" t="s">
        <v>97</v>
      </c>
      <c r="G1565">
        <v>87</v>
      </c>
      <c r="H1565">
        <v>2481306</v>
      </c>
      <c r="I1565">
        <v>54318085</v>
      </c>
      <c r="J1565">
        <v>76</v>
      </c>
      <c r="K1565">
        <v>37</v>
      </c>
      <c r="L1565">
        <v>51836779</v>
      </c>
      <c r="M1565">
        <v>4.3685433176563399E-2</v>
      </c>
      <c r="N1565" s="1" t="s">
        <v>2741</v>
      </c>
      <c r="O1565">
        <v>7.17918831502174E-3</v>
      </c>
      <c r="P1565">
        <v>0</v>
      </c>
      <c r="Q1565">
        <v>0</v>
      </c>
      <c r="R1565">
        <v>0</v>
      </c>
      <c r="S1565">
        <v>0</v>
      </c>
      <c r="T1565">
        <v>19.93039817</v>
      </c>
      <c r="U1565">
        <f t="shared" si="48"/>
        <v>0</v>
      </c>
      <c r="V1565">
        <f t="shared" si="49"/>
        <v>0</v>
      </c>
    </row>
    <row r="1566" spans="1:22" x14ac:dyDescent="0.2">
      <c r="A1566" t="s">
        <v>2676</v>
      </c>
      <c r="B1566" t="s">
        <v>35</v>
      </c>
      <c r="C1566" t="s">
        <v>76</v>
      </c>
      <c r="D1566" t="s">
        <v>77</v>
      </c>
      <c r="E1566">
        <v>20</v>
      </c>
      <c r="F1566" t="s">
        <v>104</v>
      </c>
      <c r="G1566">
        <v>94</v>
      </c>
      <c r="H1566">
        <v>582039</v>
      </c>
      <c r="I1566">
        <v>226774</v>
      </c>
      <c r="J1566">
        <v>64</v>
      </c>
      <c r="K1566">
        <v>66</v>
      </c>
      <c r="L1566">
        <v>-355265</v>
      </c>
      <c r="M1566">
        <v>0.71962122270537199</v>
      </c>
      <c r="N1566" s="1" t="s">
        <v>2742</v>
      </c>
      <c r="O1566" s="1" t="s">
        <v>2743</v>
      </c>
      <c r="P1566">
        <v>0</v>
      </c>
      <c r="Q1566">
        <v>0</v>
      </c>
      <c r="R1566">
        <v>0</v>
      </c>
      <c r="S1566">
        <v>0</v>
      </c>
      <c r="T1566">
        <v>19.93039817</v>
      </c>
      <c r="U1566">
        <f t="shared" si="48"/>
        <v>0</v>
      </c>
      <c r="V1566">
        <f t="shared" si="49"/>
        <v>0</v>
      </c>
    </row>
    <row r="1567" spans="1:22" x14ac:dyDescent="0.2">
      <c r="A1567" t="s">
        <v>2676</v>
      </c>
      <c r="B1567" t="s">
        <v>35</v>
      </c>
      <c r="C1567" t="s">
        <v>76</v>
      </c>
      <c r="D1567" t="s">
        <v>77</v>
      </c>
      <c r="E1567" s="1" t="s">
        <v>155</v>
      </c>
      <c r="F1567" t="s">
        <v>156</v>
      </c>
      <c r="G1567" s="1" t="s">
        <v>110</v>
      </c>
      <c r="H1567">
        <v>861313</v>
      </c>
      <c r="I1567">
        <v>71130843</v>
      </c>
      <c r="J1567">
        <v>61</v>
      </c>
      <c r="K1567">
        <v>13</v>
      </c>
      <c r="L1567">
        <v>70269530</v>
      </c>
      <c r="M1567">
        <v>1.19639839651419E-2</v>
      </c>
      <c r="N1567">
        <v>0.98803601603485802</v>
      </c>
      <c r="O1567">
        <v>9.0994856816056808E-3</v>
      </c>
      <c r="P1567">
        <v>0</v>
      </c>
      <c r="Q1567">
        <v>0</v>
      </c>
      <c r="R1567">
        <v>0</v>
      </c>
      <c r="S1567">
        <v>0</v>
      </c>
      <c r="T1567">
        <v>19.93039817</v>
      </c>
      <c r="U1567">
        <f t="shared" si="48"/>
        <v>0</v>
      </c>
      <c r="V1567">
        <f t="shared" si="49"/>
        <v>0</v>
      </c>
    </row>
    <row r="1568" spans="1:22" x14ac:dyDescent="0.2">
      <c r="A1568" t="s">
        <v>2676</v>
      </c>
      <c r="B1568" t="s">
        <v>35</v>
      </c>
      <c r="C1568" t="s">
        <v>76</v>
      </c>
      <c r="D1568" t="s">
        <v>77</v>
      </c>
      <c r="E1568" s="1" t="s">
        <v>82</v>
      </c>
      <c r="F1568" t="s">
        <v>83</v>
      </c>
      <c r="G1568" s="1" t="s">
        <v>93</v>
      </c>
      <c r="H1568">
        <v>95157</v>
      </c>
      <c r="I1568">
        <v>202180</v>
      </c>
      <c r="J1568">
        <v>60</v>
      </c>
      <c r="K1568">
        <v>74</v>
      </c>
      <c r="L1568">
        <v>107023</v>
      </c>
      <c r="M1568" s="1" t="s">
        <v>2744</v>
      </c>
      <c r="N1568" s="1" t="s">
        <v>2745</v>
      </c>
      <c r="O1568" s="1" t="s">
        <v>2746</v>
      </c>
      <c r="P1568">
        <v>0</v>
      </c>
      <c r="Q1568">
        <v>0</v>
      </c>
      <c r="R1568">
        <v>0</v>
      </c>
      <c r="S1568">
        <v>0</v>
      </c>
      <c r="T1568">
        <v>19.93039817</v>
      </c>
      <c r="U1568">
        <f t="shared" si="48"/>
        <v>0</v>
      </c>
      <c r="V1568">
        <f t="shared" si="49"/>
        <v>0</v>
      </c>
    </row>
    <row r="1569" spans="1:22" x14ac:dyDescent="0.2">
      <c r="A1569" t="s">
        <v>2676</v>
      </c>
      <c r="B1569" t="s">
        <v>35</v>
      </c>
      <c r="C1569" t="s">
        <v>76</v>
      </c>
      <c r="D1569" t="s">
        <v>77</v>
      </c>
      <c r="E1569">
        <v>19</v>
      </c>
      <c r="F1569" t="s">
        <v>838</v>
      </c>
      <c r="G1569">
        <v>93</v>
      </c>
      <c r="H1569">
        <v>1846166</v>
      </c>
      <c r="I1569">
        <v>0</v>
      </c>
      <c r="J1569">
        <v>22</v>
      </c>
      <c r="K1569">
        <v>36</v>
      </c>
      <c r="L1569">
        <v>-1846166</v>
      </c>
      <c r="M1569">
        <v>1</v>
      </c>
      <c r="N1569">
        <v>0</v>
      </c>
      <c r="O1569" s="1" t="s">
        <v>2747</v>
      </c>
      <c r="P1569">
        <v>0</v>
      </c>
      <c r="Q1569">
        <v>0</v>
      </c>
      <c r="R1569">
        <v>0</v>
      </c>
      <c r="S1569">
        <v>0</v>
      </c>
      <c r="T1569">
        <v>19.93039817</v>
      </c>
      <c r="U1569">
        <f t="shared" si="48"/>
        <v>0</v>
      </c>
      <c r="V1569">
        <f t="shared" si="49"/>
        <v>0</v>
      </c>
    </row>
    <row r="1570" spans="1:22" x14ac:dyDescent="0.2">
      <c r="A1570" t="s">
        <v>2676</v>
      </c>
      <c r="B1570" t="s">
        <v>35</v>
      </c>
      <c r="C1570" t="s">
        <v>76</v>
      </c>
      <c r="D1570" t="s">
        <v>77</v>
      </c>
      <c r="E1570">
        <v>11</v>
      </c>
      <c r="F1570" t="s">
        <v>127</v>
      </c>
      <c r="G1570">
        <v>60</v>
      </c>
      <c r="H1570">
        <v>15133</v>
      </c>
      <c r="I1570">
        <v>0</v>
      </c>
      <c r="J1570">
        <v>22</v>
      </c>
      <c r="K1570">
        <v>60</v>
      </c>
      <c r="L1570">
        <v>-15133</v>
      </c>
      <c r="M1570">
        <v>1</v>
      </c>
      <c r="N1570">
        <v>0</v>
      </c>
      <c r="O1570" s="1" t="s">
        <v>2748</v>
      </c>
      <c r="P1570">
        <v>0</v>
      </c>
      <c r="Q1570">
        <v>0</v>
      </c>
      <c r="R1570">
        <v>0</v>
      </c>
      <c r="S1570">
        <v>0</v>
      </c>
      <c r="T1570">
        <v>19.93039817</v>
      </c>
      <c r="U1570">
        <f t="shared" si="48"/>
        <v>0</v>
      </c>
      <c r="V1570">
        <f t="shared" si="49"/>
        <v>0</v>
      </c>
    </row>
    <row r="1571" spans="1:22" x14ac:dyDescent="0.2">
      <c r="A1571" t="s">
        <v>2676</v>
      </c>
      <c r="B1571" t="s">
        <v>35</v>
      </c>
      <c r="C1571" t="s">
        <v>76</v>
      </c>
      <c r="D1571" t="s">
        <v>77</v>
      </c>
      <c r="E1571">
        <v>15</v>
      </c>
      <c r="F1571" t="s">
        <v>88</v>
      </c>
      <c r="G1571">
        <v>73</v>
      </c>
      <c r="H1571">
        <v>3224203</v>
      </c>
      <c r="I1571">
        <v>341313</v>
      </c>
      <c r="J1571">
        <v>65</v>
      </c>
      <c r="K1571">
        <v>70</v>
      </c>
      <c r="L1571">
        <v>-2882890</v>
      </c>
      <c r="M1571" s="1" t="s">
        <v>2749</v>
      </c>
      <c r="N1571">
        <v>9.5726116500388703E-2</v>
      </c>
      <c r="O1571" s="1" t="s">
        <v>2750</v>
      </c>
      <c r="P1571">
        <v>0</v>
      </c>
      <c r="Q1571">
        <v>0</v>
      </c>
      <c r="R1571">
        <v>0</v>
      </c>
      <c r="S1571">
        <v>0</v>
      </c>
      <c r="T1571">
        <v>19.93039817</v>
      </c>
      <c r="U1571">
        <f t="shared" si="48"/>
        <v>0</v>
      </c>
      <c r="V1571">
        <f t="shared" si="49"/>
        <v>0</v>
      </c>
    </row>
    <row r="1572" spans="1:22" x14ac:dyDescent="0.2">
      <c r="A1572" t="s">
        <v>2676</v>
      </c>
      <c r="B1572" t="s">
        <v>35</v>
      </c>
      <c r="C1572" t="s">
        <v>76</v>
      </c>
      <c r="D1572" t="s">
        <v>77</v>
      </c>
      <c r="E1572">
        <v>15</v>
      </c>
      <c r="F1572" t="s">
        <v>88</v>
      </c>
      <c r="G1572">
        <v>81</v>
      </c>
      <c r="H1572">
        <v>4256457</v>
      </c>
      <c r="I1572">
        <v>0</v>
      </c>
      <c r="J1572">
        <v>33</v>
      </c>
      <c r="K1572">
        <v>59</v>
      </c>
      <c r="L1572">
        <v>-4256457</v>
      </c>
      <c r="M1572">
        <v>1</v>
      </c>
      <c r="N1572">
        <v>0</v>
      </c>
      <c r="O1572" s="1" t="s">
        <v>2751</v>
      </c>
      <c r="P1572">
        <v>0</v>
      </c>
      <c r="Q1572">
        <v>0</v>
      </c>
      <c r="R1572">
        <v>0</v>
      </c>
      <c r="S1572">
        <v>0</v>
      </c>
      <c r="T1572">
        <v>19.93039817</v>
      </c>
      <c r="U1572">
        <f t="shared" si="48"/>
        <v>0</v>
      </c>
      <c r="V1572">
        <f t="shared" si="49"/>
        <v>0</v>
      </c>
    </row>
    <row r="1573" spans="1:22" x14ac:dyDescent="0.2">
      <c r="A1573" t="s">
        <v>2676</v>
      </c>
      <c r="B1573" t="s">
        <v>35</v>
      </c>
      <c r="C1573" t="s">
        <v>76</v>
      </c>
      <c r="D1573" t="s">
        <v>77</v>
      </c>
      <c r="E1573">
        <v>11</v>
      </c>
      <c r="F1573" t="s">
        <v>127</v>
      </c>
      <c r="G1573">
        <v>54</v>
      </c>
      <c r="H1573">
        <v>9460</v>
      </c>
      <c r="I1573">
        <v>7855</v>
      </c>
      <c r="J1573">
        <v>59</v>
      </c>
      <c r="K1573">
        <v>62</v>
      </c>
      <c r="L1573">
        <v>-1605</v>
      </c>
      <c r="M1573" s="1" t="s">
        <v>2752</v>
      </c>
      <c r="N1573" s="1" t="s">
        <v>2753</v>
      </c>
      <c r="O1573" s="1" t="s">
        <v>2754</v>
      </c>
      <c r="P1573">
        <v>0</v>
      </c>
      <c r="Q1573">
        <v>0</v>
      </c>
      <c r="R1573">
        <v>0</v>
      </c>
      <c r="S1573">
        <v>0</v>
      </c>
      <c r="T1573">
        <v>19.93039817</v>
      </c>
      <c r="U1573">
        <f t="shared" si="48"/>
        <v>0</v>
      </c>
      <c r="V1573">
        <f t="shared" si="49"/>
        <v>0</v>
      </c>
    </row>
    <row r="1574" spans="1:22" x14ac:dyDescent="0.2">
      <c r="A1574" t="s">
        <v>2676</v>
      </c>
      <c r="B1574" t="s">
        <v>35</v>
      </c>
      <c r="C1574" t="s">
        <v>76</v>
      </c>
      <c r="D1574" t="s">
        <v>77</v>
      </c>
      <c r="E1574" s="1" t="s">
        <v>138</v>
      </c>
      <c r="F1574" t="s">
        <v>139</v>
      </c>
      <c r="G1574">
        <v>24</v>
      </c>
      <c r="H1574">
        <v>781735</v>
      </c>
      <c r="I1574">
        <v>167</v>
      </c>
      <c r="J1574">
        <v>41</v>
      </c>
      <c r="K1574">
        <v>78</v>
      </c>
      <c r="L1574">
        <v>-781568</v>
      </c>
      <c r="M1574" s="1" t="s">
        <v>2755</v>
      </c>
      <c r="N1574" s="1" t="s">
        <v>2756</v>
      </c>
      <c r="O1574" s="1" t="s">
        <v>2757</v>
      </c>
      <c r="P1574">
        <v>0</v>
      </c>
      <c r="Q1574">
        <v>0</v>
      </c>
      <c r="R1574">
        <v>0</v>
      </c>
      <c r="S1574">
        <v>0</v>
      </c>
      <c r="T1574">
        <v>19.93039817</v>
      </c>
      <c r="U1574">
        <f t="shared" si="48"/>
        <v>0</v>
      </c>
      <c r="V1574">
        <f t="shared" si="49"/>
        <v>0</v>
      </c>
    </row>
    <row r="1575" spans="1:22" x14ac:dyDescent="0.2">
      <c r="A1575" t="s">
        <v>2676</v>
      </c>
      <c r="B1575" t="s">
        <v>35</v>
      </c>
      <c r="C1575" t="s">
        <v>76</v>
      </c>
      <c r="D1575" t="s">
        <v>77</v>
      </c>
      <c r="E1575">
        <v>14</v>
      </c>
      <c r="F1575" t="s">
        <v>261</v>
      </c>
      <c r="G1575">
        <v>71</v>
      </c>
      <c r="H1575">
        <v>46827</v>
      </c>
      <c r="I1575">
        <v>1247</v>
      </c>
      <c r="J1575">
        <v>65</v>
      </c>
      <c r="K1575">
        <v>77</v>
      </c>
      <c r="L1575">
        <v>-45580</v>
      </c>
      <c r="M1575" s="1" t="s">
        <v>2758</v>
      </c>
      <c r="N1575">
        <v>2.59391771019678E-2</v>
      </c>
      <c r="O1575" s="1" t="s">
        <v>2759</v>
      </c>
      <c r="P1575">
        <v>0</v>
      </c>
      <c r="Q1575">
        <v>0</v>
      </c>
      <c r="R1575">
        <v>0</v>
      </c>
      <c r="S1575">
        <v>0</v>
      </c>
      <c r="T1575">
        <v>19.93039817</v>
      </c>
      <c r="U1575">
        <f t="shared" si="48"/>
        <v>0</v>
      </c>
      <c r="V1575">
        <f t="shared" si="49"/>
        <v>0</v>
      </c>
    </row>
    <row r="1576" spans="1:22" x14ac:dyDescent="0.2">
      <c r="A1576" t="s">
        <v>2676</v>
      </c>
      <c r="B1576" t="s">
        <v>35</v>
      </c>
      <c r="C1576" t="s">
        <v>76</v>
      </c>
      <c r="D1576" t="s">
        <v>77</v>
      </c>
      <c r="E1576">
        <v>13</v>
      </c>
      <c r="F1576" t="s">
        <v>91</v>
      </c>
      <c r="G1576">
        <v>69</v>
      </c>
      <c r="H1576">
        <v>16556</v>
      </c>
      <c r="I1576">
        <v>2877964</v>
      </c>
      <c r="J1576">
        <v>79</v>
      </c>
      <c r="K1576">
        <v>37</v>
      </c>
      <c r="L1576">
        <v>2861408</v>
      </c>
      <c r="M1576">
        <v>5.7197739176098198E-3</v>
      </c>
      <c r="N1576" s="1" t="s">
        <v>2760</v>
      </c>
      <c r="O1576" s="1" t="s">
        <v>2761</v>
      </c>
      <c r="P1576">
        <v>0</v>
      </c>
      <c r="Q1576">
        <v>0</v>
      </c>
      <c r="R1576">
        <v>0</v>
      </c>
      <c r="S1576">
        <v>0</v>
      </c>
      <c r="T1576">
        <v>19.93039817</v>
      </c>
      <c r="U1576">
        <f t="shared" si="48"/>
        <v>0</v>
      </c>
      <c r="V1576">
        <f t="shared" si="49"/>
        <v>0</v>
      </c>
    </row>
    <row r="1577" spans="1:22" x14ac:dyDescent="0.2">
      <c r="A1577" t="s">
        <v>2676</v>
      </c>
      <c r="B1577" t="s">
        <v>35</v>
      </c>
      <c r="C1577" t="s">
        <v>76</v>
      </c>
      <c r="D1577" t="s">
        <v>77</v>
      </c>
      <c r="E1577">
        <v>20</v>
      </c>
      <c r="F1577" t="s">
        <v>104</v>
      </c>
      <c r="G1577">
        <v>96</v>
      </c>
      <c r="H1577">
        <v>31399</v>
      </c>
      <c r="I1577">
        <v>458</v>
      </c>
      <c r="J1577">
        <v>67</v>
      </c>
      <c r="K1577">
        <v>82</v>
      </c>
      <c r="L1577">
        <v>-30941</v>
      </c>
      <c r="M1577" s="1" t="s">
        <v>2762</v>
      </c>
      <c r="N1577" s="1" t="s">
        <v>2763</v>
      </c>
      <c r="O1577" s="1" t="s">
        <v>2764</v>
      </c>
      <c r="P1577">
        <v>0</v>
      </c>
      <c r="Q1577">
        <v>0</v>
      </c>
      <c r="R1577">
        <v>0</v>
      </c>
      <c r="S1577">
        <v>0</v>
      </c>
      <c r="T1577">
        <v>19.93039817</v>
      </c>
      <c r="U1577">
        <f t="shared" si="48"/>
        <v>0</v>
      </c>
      <c r="V1577">
        <f t="shared" si="49"/>
        <v>0</v>
      </c>
    </row>
    <row r="1578" spans="1:22" x14ac:dyDescent="0.2">
      <c r="A1578" t="s">
        <v>2676</v>
      </c>
      <c r="B1578" t="s">
        <v>35</v>
      </c>
      <c r="C1578" t="s">
        <v>76</v>
      </c>
      <c r="D1578" t="s">
        <v>77</v>
      </c>
      <c r="E1578">
        <v>11</v>
      </c>
      <c r="F1578" t="s">
        <v>127</v>
      </c>
      <c r="G1578">
        <v>62</v>
      </c>
      <c r="H1578">
        <v>27652</v>
      </c>
      <c r="I1578">
        <v>228863</v>
      </c>
      <c r="J1578">
        <v>74</v>
      </c>
      <c r="K1578">
        <v>69</v>
      </c>
      <c r="L1578">
        <v>201211</v>
      </c>
      <c r="M1578" s="1" t="s">
        <v>2765</v>
      </c>
      <c r="N1578" s="1" t="s">
        <v>2766</v>
      </c>
      <c r="O1578" s="1" t="s">
        <v>2767</v>
      </c>
      <c r="P1578">
        <v>0</v>
      </c>
      <c r="Q1578">
        <v>0</v>
      </c>
      <c r="R1578">
        <v>0</v>
      </c>
      <c r="S1578">
        <v>0</v>
      </c>
      <c r="T1578">
        <v>19.93039817</v>
      </c>
      <c r="U1578">
        <f t="shared" si="48"/>
        <v>0</v>
      </c>
      <c r="V1578">
        <f t="shared" si="49"/>
        <v>0</v>
      </c>
    </row>
    <row r="1579" spans="1:22" x14ac:dyDescent="0.2">
      <c r="A1579" t="s">
        <v>2676</v>
      </c>
      <c r="B1579" t="s">
        <v>35</v>
      </c>
      <c r="C1579" t="s">
        <v>76</v>
      </c>
      <c r="D1579" t="s">
        <v>77</v>
      </c>
      <c r="E1579">
        <v>10</v>
      </c>
      <c r="F1579" t="s">
        <v>119</v>
      </c>
      <c r="G1579">
        <v>49</v>
      </c>
      <c r="H1579">
        <v>9949</v>
      </c>
      <c r="I1579">
        <v>5180</v>
      </c>
      <c r="J1579">
        <v>93</v>
      </c>
      <c r="K1579">
        <v>73</v>
      </c>
      <c r="L1579">
        <v>-4769</v>
      </c>
      <c r="M1579">
        <v>0.65761121025844405</v>
      </c>
      <c r="N1579" s="1" t="s">
        <v>2768</v>
      </c>
      <c r="O1579" s="1" t="s">
        <v>2769</v>
      </c>
      <c r="P1579">
        <v>0</v>
      </c>
      <c r="Q1579">
        <v>0</v>
      </c>
      <c r="R1579">
        <v>0</v>
      </c>
      <c r="S1579">
        <v>0</v>
      </c>
      <c r="T1579">
        <v>19.93039817</v>
      </c>
      <c r="U1579">
        <f t="shared" si="48"/>
        <v>0</v>
      </c>
      <c r="V1579">
        <f t="shared" si="49"/>
        <v>0</v>
      </c>
    </row>
    <row r="1580" spans="1:22" x14ac:dyDescent="0.2">
      <c r="A1580" t="s">
        <v>2676</v>
      </c>
      <c r="B1580" t="s">
        <v>35</v>
      </c>
      <c r="C1580" t="s">
        <v>76</v>
      </c>
      <c r="D1580" t="s">
        <v>77</v>
      </c>
      <c r="E1580">
        <v>12</v>
      </c>
      <c r="F1580" t="s">
        <v>194</v>
      </c>
      <c r="G1580">
        <v>67</v>
      </c>
      <c r="H1580">
        <v>462</v>
      </c>
      <c r="I1580">
        <v>0</v>
      </c>
      <c r="J1580">
        <v>64</v>
      </c>
      <c r="K1580">
        <v>62</v>
      </c>
      <c r="L1580">
        <v>-462</v>
      </c>
      <c r="M1580">
        <v>1</v>
      </c>
      <c r="N1580">
        <v>0</v>
      </c>
      <c r="O1580" s="1" t="s">
        <v>2770</v>
      </c>
      <c r="P1580">
        <v>0</v>
      </c>
      <c r="Q1580">
        <v>0</v>
      </c>
      <c r="R1580">
        <v>0</v>
      </c>
      <c r="S1580">
        <v>0</v>
      </c>
      <c r="T1580">
        <v>19.93039817</v>
      </c>
      <c r="U1580">
        <f t="shared" si="48"/>
        <v>0</v>
      </c>
      <c r="V1580">
        <f t="shared" si="49"/>
        <v>0</v>
      </c>
    </row>
    <row r="1581" spans="1:22" x14ac:dyDescent="0.2">
      <c r="A1581" t="s">
        <v>2676</v>
      </c>
      <c r="B1581" t="s">
        <v>35</v>
      </c>
      <c r="C1581" t="s">
        <v>76</v>
      </c>
      <c r="D1581" t="s">
        <v>77</v>
      </c>
      <c r="E1581" s="1" t="s">
        <v>82</v>
      </c>
      <c r="F1581" t="s">
        <v>83</v>
      </c>
      <c r="G1581" s="1" t="s">
        <v>163</v>
      </c>
      <c r="H1581">
        <v>47853</v>
      </c>
      <c r="I1581">
        <v>634463017</v>
      </c>
      <c r="J1581">
        <v>47</v>
      </c>
      <c r="K1581">
        <v>9</v>
      </c>
      <c r="L1581">
        <v>634415164</v>
      </c>
      <c r="M1581" s="1" t="s">
        <v>2771</v>
      </c>
      <c r="N1581" s="1" t="s">
        <v>2772</v>
      </c>
      <c r="O1581">
        <v>8.0199328610024698E-2</v>
      </c>
      <c r="P1581">
        <v>0</v>
      </c>
      <c r="Q1581">
        <v>0</v>
      </c>
      <c r="R1581">
        <v>0</v>
      </c>
      <c r="S1581">
        <v>1</v>
      </c>
      <c r="T1581">
        <v>19.93039817</v>
      </c>
      <c r="U1581">
        <f t="shared" si="48"/>
        <v>0</v>
      </c>
      <c r="V1581">
        <f t="shared" si="49"/>
        <v>1</v>
      </c>
    </row>
    <row r="1582" spans="1:22" x14ac:dyDescent="0.2">
      <c r="A1582" t="s">
        <v>2676</v>
      </c>
      <c r="B1582" t="s">
        <v>35</v>
      </c>
      <c r="C1582" t="s">
        <v>76</v>
      </c>
      <c r="D1582" t="s">
        <v>77</v>
      </c>
      <c r="E1582">
        <v>13</v>
      </c>
      <c r="F1582" t="s">
        <v>91</v>
      </c>
      <c r="G1582">
        <v>68</v>
      </c>
      <c r="H1582">
        <v>129591</v>
      </c>
      <c r="I1582">
        <v>267027</v>
      </c>
      <c r="J1582">
        <v>81</v>
      </c>
      <c r="K1582">
        <v>56</v>
      </c>
      <c r="L1582">
        <v>137436</v>
      </c>
      <c r="M1582" s="1" t="s">
        <v>2773</v>
      </c>
      <c r="N1582" s="1" t="s">
        <v>2774</v>
      </c>
      <c r="O1582" s="1" t="s">
        <v>2775</v>
      </c>
      <c r="P1582">
        <v>0</v>
      </c>
      <c r="Q1582">
        <v>0</v>
      </c>
      <c r="R1582">
        <v>0</v>
      </c>
      <c r="S1582">
        <v>0</v>
      </c>
      <c r="T1582">
        <v>19.93039817</v>
      </c>
      <c r="U1582">
        <f t="shared" si="48"/>
        <v>0</v>
      </c>
      <c r="V1582">
        <f t="shared" si="49"/>
        <v>0</v>
      </c>
    </row>
    <row r="1583" spans="1:22" x14ac:dyDescent="0.2">
      <c r="A1583" t="s">
        <v>2676</v>
      </c>
      <c r="B1583" t="s">
        <v>35</v>
      </c>
      <c r="C1583" t="s">
        <v>76</v>
      </c>
      <c r="D1583" t="s">
        <v>77</v>
      </c>
      <c r="E1583">
        <v>15</v>
      </c>
      <c r="F1583" t="s">
        <v>88</v>
      </c>
      <c r="G1583">
        <v>83</v>
      </c>
      <c r="H1583">
        <v>289759</v>
      </c>
      <c r="I1583">
        <v>1420160</v>
      </c>
      <c r="J1583">
        <v>44</v>
      </c>
      <c r="K1583">
        <v>46</v>
      </c>
      <c r="L1583">
        <v>1130401</v>
      </c>
      <c r="M1583" s="1" t="s">
        <v>2776</v>
      </c>
      <c r="N1583" s="1" t="s">
        <v>2777</v>
      </c>
      <c r="O1583" s="1" t="s">
        <v>2778</v>
      </c>
      <c r="P1583">
        <v>0</v>
      </c>
      <c r="Q1583">
        <v>0</v>
      </c>
      <c r="R1583">
        <v>0</v>
      </c>
      <c r="S1583">
        <v>0</v>
      </c>
      <c r="T1583">
        <v>19.93039817</v>
      </c>
      <c r="U1583">
        <f t="shared" si="48"/>
        <v>0</v>
      </c>
      <c r="V1583">
        <f t="shared" si="49"/>
        <v>0</v>
      </c>
    </row>
    <row r="1584" spans="1:22" x14ac:dyDescent="0.2">
      <c r="A1584" t="s">
        <v>2676</v>
      </c>
      <c r="B1584" t="s">
        <v>35</v>
      </c>
      <c r="C1584" t="s">
        <v>76</v>
      </c>
      <c r="D1584" t="s">
        <v>77</v>
      </c>
      <c r="E1584" s="1" t="s">
        <v>138</v>
      </c>
      <c r="F1584" t="s">
        <v>139</v>
      </c>
      <c r="G1584">
        <v>20</v>
      </c>
      <c r="H1584">
        <v>17587</v>
      </c>
      <c r="I1584">
        <v>1536023</v>
      </c>
      <c r="J1584">
        <v>62</v>
      </c>
      <c r="K1584">
        <v>58</v>
      </c>
      <c r="L1584">
        <v>1518436</v>
      </c>
      <c r="M1584">
        <v>1.13200867656619E-2</v>
      </c>
      <c r="N1584" s="1" t="s">
        <v>2779</v>
      </c>
      <c r="O1584" s="1" t="s">
        <v>2780</v>
      </c>
      <c r="P1584">
        <v>0</v>
      </c>
      <c r="Q1584">
        <v>0</v>
      </c>
      <c r="R1584">
        <v>0</v>
      </c>
      <c r="S1584">
        <v>0</v>
      </c>
      <c r="T1584">
        <v>19.93039817</v>
      </c>
      <c r="U1584">
        <f t="shared" si="48"/>
        <v>0</v>
      </c>
      <c r="V1584">
        <f t="shared" si="49"/>
        <v>0</v>
      </c>
    </row>
    <row r="1585" spans="1:22" x14ac:dyDescent="0.2">
      <c r="A1585" t="s">
        <v>2676</v>
      </c>
      <c r="B1585" t="s">
        <v>35</v>
      </c>
      <c r="C1585" t="s">
        <v>76</v>
      </c>
      <c r="D1585" t="s">
        <v>77</v>
      </c>
      <c r="E1585" s="1" t="s">
        <v>82</v>
      </c>
      <c r="F1585" t="s">
        <v>83</v>
      </c>
      <c r="G1585">
        <v>14</v>
      </c>
      <c r="H1585">
        <v>75</v>
      </c>
      <c r="I1585">
        <v>78</v>
      </c>
      <c r="J1585">
        <v>39</v>
      </c>
      <c r="K1585">
        <v>49</v>
      </c>
      <c r="L1585">
        <v>3</v>
      </c>
      <c r="M1585" s="1" t="s">
        <v>2781</v>
      </c>
      <c r="N1585" s="1" t="s">
        <v>2782</v>
      </c>
      <c r="O1585" s="1" t="s">
        <v>2783</v>
      </c>
      <c r="P1585">
        <v>0</v>
      </c>
      <c r="Q1585">
        <v>0</v>
      </c>
      <c r="R1585">
        <v>0</v>
      </c>
      <c r="S1585">
        <v>0</v>
      </c>
      <c r="T1585">
        <v>19.93039817</v>
      </c>
      <c r="U1585">
        <f t="shared" si="48"/>
        <v>0</v>
      </c>
      <c r="V1585">
        <f t="shared" si="49"/>
        <v>0</v>
      </c>
    </row>
    <row r="1586" spans="1:22" x14ac:dyDescent="0.2">
      <c r="A1586" t="s">
        <v>2676</v>
      </c>
      <c r="B1586" t="s">
        <v>35</v>
      </c>
      <c r="C1586" t="s">
        <v>76</v>
      </c>
      <c r="D1586" t="s">
        <v>77</v>
      </c>
      <c r="E1586" s="1" t="s">
        <v>82</v>
      </c>
      <c r="F1586" t="s">
        <v>83</v>
      </c>
      <c r="G1586" s="1" t="s">
        <v>89</v>
      </c>
      <c r="H1586">
        <v>0</v>
      </c>
      <c r="I1586">
        <v>6</v>
      </c>
      <c r="J1586">
        <v>49</v>
      </c>
      <c r="K1586">
        <v>73</v>
      </c>
      <c r="L1586">
        <v>6</v>
      </c>
      <c r="M1586">
        <v>0</v>
      </c>
      <c r="N1586">
        <v>1</v>
      </c>
      <c r="O1586" s="1" t="s">
        <v>2784</v>
      </c>
      <c r="P1586">
        <v>0</v>
      </c>
      <c r="Q1586">
        <v>0</v>
      </c>
      <c r="R1586">
        <v>0</v>
      </c>
      <c r="S1586">
        <v>0</v>
      </c>
      <c r="T1586">
        <v>19.93039817</v>
      </c>
      <c r="U1586">
        <f t="shared" si="48"/>
        <v>0</v>
      </c>
      <c r="V1586">
        <f t="shared" si="49"/>
        <v>0</v>
      </c>
    </row>
    <row r="1587" spans="1:22" x14ac:dyDescent="0.2">
      <c r="A1587" t="s">
        <v>2676</v>
      </c>
      <c r="B1587" t="s">
        <v>35</v>
      </c>
      <c r="C1587" t="s">
        <v>76</v>
      </c>
      <c r="D1587" t="s">
        <v>77</v>
      </c>
      <c r="E1587" s="1" t="s">
        <v>82</v>
      </c>
      <c r="F1587" t="s">
        <v>83</v>
      </c>
      <c r="G1587">
        <v>13</v>
      </c>
      <c r="H1587">
        <v>0</v>
      </c>
      <c r="I1587">
        <v>618</v>
      </c>
      <c r="J1587">
        <v>59</v>
      </c>
      <c r="K1587">
        <v>56</v>
      </c>
      <c r="L1587">
        <v>618</v>
      </c>
      <c r="M1587">
        <v>0</v>
      </c>
      <c r="N1587">
        <v>1</v>
      </c>
      <c r="O1587" s="1" t="s">
        <v>2785</v>
      </c>
      <c r="P1587">
        <v>0</v>
      </c>
      <c r="Q1587">
        <v>0</v>
      </c>
      <c r="R1587">
        <v>0</v>
      </c>
      <c r="S1587">
        <v>0</v>
      </c>
      <c r="T1587">
        <v>19.93039817</v>
      </c>
      <c r="U1587">
        <f t="shared" si="48"/>
        <v>0</v>
      </c>
      <c r="V1587">
        <f t="shared" si="49"/>
        <v>0</v>
      </c>
    </row>
    <row r="1588" spans="1:22" x14ac:dyDescent="0.2">
      <c r="A1588" t="s">
        <v>2676</v>
      </c>
      <c r="B1588" t="s">
        <v>35</v>
      </c>
      <c r="C1588" t="s">
        <v>76</v>
      </c>
      <c r="D1588" t="s">
        <v>77</v>
      </c>
      <c r="E1588" s="1" t="s">
        <v>155</v>
      </c>
      <c r="F1588" t="s">
        <v>156</v>
      </c>
      <c r="G1588" s="1" t="s">
        <v>138</v>
      </c>
      <c r="H1588">
        <v>74521</v>
      </c>
      <c r="I1588">
        <v>364991</v>
      </c>
      <c r="J1588">
        <v>41</v>
      </c>
      <c r="K1588">
        <v>48</v>
      </c>
      <c r="L1588">
        <v>290470</v>
      </c>
      <c r="M1588" s="1" t="s">
        <v>2786</v>
      </c>
      <c r="N1588" s="1" t="s">
        <v>2787</v>
      </c>
      <c r="O1588" s="1" t="s">
        <v>2788</v>
      </c>
      <c r="P1588">
        <v>0</v>
      </c>
      <c r="Q1588">
        <v>0</v>
      </c>
      <c r="R1588">
        <v>0</v>
      </c>
      <c r="S1588">
        <v>0</v>
      </c>
      <c r="T1588">
        <v>19.93039817</v>
      </c>
      <c r="U1588">
        <f t="shared" si="48"/>
        <v>0</v>
      </c>
      <c r="V1588">
        <f t="shared" si="49"/>
        <v>0</v>
      </c>
    </row>
    <row r="1589" spans="1:22" x14ac:dyDescent="0.2">
      <c r="A1589" t="s">
        <v>2676</v>
      </c>
      <c r="B1589" t="s">
        <v>35</v>
      </c>
      <c r="C1589" t="s">
        <v>76</v>
      </c>
      <c r="D1589" t="s">
        <v>77</v>
      </c>
      <c r="E1589" s="1" t="s">
        <v>163</v>
      </c>
      <c r="F1589" t="s">
        <v>224</v>
      </c>
      <c r="G1589">
        <v>42</v>
      </c>
      <c r="H1589">
        <v>5106</v>
      </c>
      <c r="I1589">
        <v>30680</v>
      </c>
      <c r="J1589">
        <v>78</v>
      </c>
      <c r="K1589">
        <v>61</v>
      </c>
      <c r="L1589">
        <v>25574</v>
      </c>
      <c r="M1589" s="1" t="s">
        <v>2789</v>
      </c>
      <c r="N1589" s="1" t="s">
        <v>2790</v>
      </c>
      <c r="O1589" s="1" t="s">
        <v>2791</v>
      </c>
      <c r="P1589">
        <v>0</v>
      </c>
      <c r="Q1589">
        <v>0</v>
      </c>
      <c r="R1589">
        <v>0</v>
      </c>
      <c r="S1589">
        <v>0</v>
      </c>
      <c r="T1589">
        <v>19.93039817</v>
      </c>
      <c r="U1589">
        <f t="shared" si="48"/>
        <v>0</v>
      </c>
      <c r="V1589">
        <f t="shared" si="49"/>
        <v>0</v>
      </c>
    </row>
    <row r="1590" spans="1:22" x14ac:dyDescent="0.2">
      <c r="A1590" t="s">
        <v>2676</v>
      </c>
      <c r="B1590" t="s">
        <v>35</v>
      </c>
      <c r="C1590" t="s">
        <v>76</v>
      </c>
      <c r="D1590" t="s">
        <v>77</v>
      </c>
      <c r="E1590" s="1" t="s">
        <v>93</v>
      </c>
      <c r="F1590" t="s">
        <v>94</v>
      </c>
      <c r="G1590">
        <v>46</v>
      </c>
      <c r="H1590">
        <v>0</v>
      </c>
      <c r="I1590">
        <v>3512</v>
      </c>
      <c r="J1590">
        <v>47</v>
      </c>
      <c r="K1590">
        <v>39</v>
      </c>
      <c r="L1590">
        <v>3512</v>
      </c>
      <c r="M1590">
        <v>0</v>
      </c>
      <c r="N1590">
        <v>1</v>
      </c>
      <c r="O1590" s="1" t="s">
        <v>2792</v>
      </c>
      <c r="P1590">
        <v>0</v>
      </c>
      <c r="Q1590">
        <v>0</v>
      </c>
      <c r="R1590">
        <v>0</v>
      </c>
      <c r="S1590">
        <v>0</v>
      </c>
      <c r="T1590">
        <v>19.93039817</v>
      </c>
      <c r="U1590">
        <f t="shared" si="48"/>
        <v>0</v>
      </c>
      <c r="V1590">
        <f t="shared" si="49"/>
        <v>0</v>
      </c>
    </row>
    <row r="1591" spans="1:22" x14ac:dyDescent="0.2">
      <c r="A1591" t="s">
        <v>2676</v>
      </c>
      <c r="B1591" t="s">
        <v>35</v>
      </c>
      <c r="C1591" t="s">
        <v>76</v>
      </c>
      <c r="D1591" t="s">
        <v>77</v>
      </c>
      <c r="E1591">
        <v>11</v>
      </c>
      <c r="F1591" t="s">
        <v>127</v>
      </c>
      <c r="G1591">
        <v>55</v>
      </c>
      <c r="H1591">
        <v>1831551</v>
      </c>
      <c r="I1591">
        <v>1110</v>
      </c>
      <c r="J1591">
        <v>15</v>
      </c>
      <c r="K1591">
        <v>57</v>
      </c>
      <c r="L1591">
        <v>-1830441</v>
      </c>
      <c r="M1591" s="1" t="s">
        <v>2793</v>
      </c>
      <c r="N1591" s="1" t="s">
        <v>2794</v>
      </c>
      <c r="O1591" s="1" t="s">
        <v>2795</v>
      </c>
      <c r="P1591">
        <v>0</v>
      </c>
      <c r="Q1591">
        <v>0</v>
      </c>
      <c r="R1591">
        <v>0</v>
      </c>
      <c r="S1591">
        <v>0</v>
      </c>
      <c r="T1591">
        <v>19.93039817</v>
      </c>
      <c r="U1591">
        <f t="shared" si="48"/>
        <v>0</v>
      </c>
      <c r="V1591">
        <f t="shared" si="49"/>
        <v>0</v>
      </c>
    </row>
    <row r="1592" spans="1:22" x14ac:dyDescent="0.2">
      <c r="A1592" t="s">
        <v>2676</v>
      </c>
      <c r="B1592" t="s">
        <v>35</v>
      </c>
      <c r="C1592" t="s">
        <v>76</v>
      </c>
      <c r="D1592" t="s">
        <v>77</v>
      </c>
      <c r="E1592">
        <v>11</v>
      </c>
      <c r="F1592" t="s">
        <v>127</v>
      </c>
      <c r="G1592">
        <v>61</v>
      </c>
      <c r="H1592">
        <v>20052</v>
      </c>
      <c r="I1592">
        <v>240823</v>
      </c>
      <c r="J1592">
        <v>74</v>
      </c>
      <c r="K1592">
        <v>65</v>
      </c>
      <c r="L1592">
        <v>220771</v>
      </c>
      <c r="M1592">
        <v>7.6864398658361199E-2</v>
      </c>
      <c r="N1592" s="1" t="s">
        <v>2796</v>
      </c>
      <c r="O1592" s="1" t="s">
        <v>2797</v>
      </c>
      <c r="P1592">
        <v>0</v>
      </c>
      <c r="Q1592">
        <v>0</v>
      </c>
      <c r="R1592">
        <v>0</v>
      </c>
      <c r="S1592">
        <v>0</v>
      </c>
      <c r="T1592">
        <v>19.93039817</v>
      </c>
      <c r="U1592">
        <f t="shared" si="48"/>
        <v>0</v>
      </c>
      <c r="V1592">
        <f t="shared" si="49"/>
        <v>0</v>
      </c>
    </row>
    <row r="1593" spans="1:22" x14ac:dyDescent="0.2">
      <c r="A1593" t="s">
        <v>2676</v>
      </c>
      <c r="B1593" t="s">
        <v>35</v>
      </c>
      <c r="C1593" t="s">
        <v>76</v>
      </c>
      <c r="D1593" t="s">
        <v>77</v>
      </c>
      <c r="E1593">
        <v>12</v>
      </c>
      <c r="F1593" t="s">
        <v>194</v>
      </c>
      <c r="G1593">
        <v>64</v>
      </c>
      <c r="H1593">
        <v>792</v>
      </c>
      <c r="I1593">
        <v>45187</v>
      </c>
      <c r="J1593">
        <v>105</v>
      </c>
      <c r="K1593">
        <v>70</v>
      </c>
      <c r="L1593">
        <v>44395</v>
      </c>
      <c r="M1593" s="1" t="s">
        <v>2798</v>
      </c>
      <c r="N1593" s="1" t="s">
        <v>2799</v>
      </c>
      <c r="O1593" s="1" t="s">
        <v>2800</v>
      </c>
      <c r="P1593">
        <v>0</v>
      </c>
      <c r="Q1593">
        <v>0</v>
      </c>
      <c r="R1593">
        <v>0</v>
      </c>
      <c r="S1593">
        <v>0</v>
      </c>
      <c r="T1593">
        <v>19.93039817</v>
      </c>
      <c r="U1593">
        <f t="shared" si="48"/>
        <v>0</v>
      </c>
      <c r="V1593">
        <f t="shared" si="49"/>
        <v>0</v>
      </c>
    </row>
    <row r="1594" spans="1:22" x14ac:dyDescent="0.2">
      <c r="A1594" t="s">
        <v>2676</v>
      </c>
      <c r="B1594" t="s">
        <v>35</v>
      </c>
      <c r="C1594" t="s">
        <v>76</v>
      </c>
      <c r="D1594" t="s">
        <v>77</v>
      </c>
      <c r="E1594">
        <v>11</v>
      </c>
      <c r="F1594" t="s">
        <v>127</v>
      </c>
      <c r="G1594">
        <v>57</v>
      </c>
      <c r="H1594">
        <v>2051</v>
      </c>
      <c r="I1594">
        <v>40845</v>
      </c>
      <c r="J1594">
        <v>65</v>
      </c>
      <c r="K1594">
        <v>52</v>
      </c>
      <c r="L1594">
        <v>38794</v>
      </c>
      <c r="M1594">
        <v>4.7813315926892898E-2</v>
      </c>
      <c r="N1594">
        <v>0.95218668407310703</v>
      </c>
      <c r="O1594" s="1" t="s">
        <v>2801</v>
      </c>
      <c r="P1594">
        <v>0</v>
      </c>
      <c r="Q1594">
        <v>0</v>
      </c>
      <c r="R1594">
        <v>0</v>
      </c>
      <c r="S1594">
        <v>0</v>
      </c>
      <c r="T1594">
        <v>19.93039817</v>
      </c>
      <c r="U1594">
        <f t="shared" si="48"/>
        <v>0</v>
      </c>
      <c r="V1594">
        <f t="shared" si="49"/>
        <v>0</v>
      </c>
    </row>
    <row r="1595" spans="1:22" x14ac:dyDescent="0.2">
      <c r="A1595" t="s">
        <v>2676</v>
      </c>
      <c r="B1595" t="s">
        <v>35</v>
      </c>
      <c r="C1595" t="s">
        <v>76</v>
      </c>
      <c r="D1595" t="s">
        <v>77</v>
      </c>
      <c r="E1595">
        <v>11</v>
      </c>
      <c r="F1595" t="s">
        <v>127</v>
      </c>
      <c r="G1595">
        <v>59</v>
      </c>
      <c r="H1595">
        <v>3810</v>
      </c>
      <c r="I1595">
        <v>1065</v>
      </c>
      <c r="J1595">
        <v>73</v>
      </c>
      <c r="K1595">
        <v>60</v>
      </c>
      <c r="L1595">
        <v>-2745</v>
      </c>
      <c r="M1595" s="1" t="s">
        <v>2802</v>
      </c>
      <c r="N1595" s="1" t="s">
        <v>2803</v>
      </c>
      <c r="O1595" s="1" t="s">
        <v>2804</v>
      </c>
      <c r="P1595">
        <v>0</v>
      </c>
      <c r="Q1595">
        <v>0</v>
      </c>
      <c r="R1595">
        <v>0</v>
      </c>
      <c r="S1595">
        <v>0</v>
      </c>
      <c r="T1595">
        <v>19.93039817</v>
      </c>
      <c r="U1595">
        <f t="shared" si="48"/>
        <v>0</v>
      </c>
      <c r="V1595">
        <f t="shared" si="49"/>
        <v>0</v>
      </c>
    </row>
    <row r="1596" spans="1:22" x14ac:dyDescent="0.2">
      <c r="A1596" t="s">
        <v>2676</v>
      </c>
      <c r="B1596" t="s">
        <v>35</v>
      </c>
      <c r="C1596" t="s">
        <v>76</v>
      </c>
      <c r="D1596" t="s">
        <v>77</v>
      </c>
      <c r="E1596">
        <v>15</v>
      </c>
      <c r="F1596" t="s">
        <v>88</v>
      </c>
      <c r="G1596">
        <v>74</v>
      </c>
      <c r="H1596">
        <v>1030</v>
      </c>
      <c r="I1596">
        <v>14474964</v>
      </c>
      <c r="J1596">
        <v>93</v>
      </c>
      <c r="K1596">
        <v>28</v>
      </c>
      <c r="L1596">
        <v>14473934</v>
      </c>
      <c r="M1596" s="1" t="s">
        <v>2805</v>
      </c>
      <c r="N1596" s="1" t="s">
        <v>2806</v>
      </c>
      <c r="O1596">
        <v>1.8297007264237201E-3</v>
      </c>
      <c r="P1596">
        <v>0</v>
      </c>
      <c r="Q1596">
        <v>0</v>
      </c>
      <c r="R1596">
        <v>0</v>
      </c>
      <c r="S1596">
        <v>0</v>
      </c>
      <c r="T1596">
        <v>19.93039817</v>
      </c>
      <c r="U1596">
        <f t="shared" si="48"/>
        <v>0</v>
      </c>
      <c r="V1596">
        <f t="shared" si="49"/>
        <v>0</v>
      </c>
    </row>
    <row r="1597" spans="1:22" x14ac:dyDescent="0.2">
      <c r="A1597" t="s">
        <v>2676</v>
      </c>
      <c r="B1597" t="s">
        <v>35</v>
      </c>
      <c r="C1597" t="s">
        <v>76</v>
      </c>
      <c r="D1597" t="s">
        <v>77</v>
      </c>
      <c r="E1597" s="1" t="s">
        <v>138</v>
      </c>
      <c r="F1597" t="s">
        <v>139</v>
      </c>
      <c r="G1597">
        <v>19</v>
      </c>
      <c r="H1597">
        <v>0</v>
      </c>
      <c r="I1597">
        <v>4515291</v>
      </c>
      <c r="J1597">
        <v>106</v>
      </c>
      <c r="K1597">
        <v>36</v>
      </c>
      <c r="L1597">
        <v>4515291</v>
      </c>
      <c r="M1597">
        <v>0</v>
      </c>
      <c r="N1597">
        <v>1</v>
      </c>
      <c r="O1597" s="1" t="s">
        <v>2807</v>
      </c>
      <c r="P1597">
        <v>0</v>
      </c>
      <c r="Q1597">
        <v>0</v>
      </c>
      <c r="R1597">
        <v>0</v>
      </c>
      <c r="S1597">
        <v>0</v>
      </c>
      <c r="T1597">
        <v>19.93039817</v>
      </c>
      <c r="U1597">
        <f t="shared" si="48"/>
        <v>0</v>
      </c>
      <c r="V1597">
        <f t="shared" si="49"/>
        <v>0</v>
      </c>
    </row>
    <row r="1598" spans="1:22" x14ac:dyDescent="0.2">
      <c r="A1598" t="s">
        <v>2676</v>
      </c>
      <c r="B1598" t="s">
        <v>35</v>
      </c>
      <c r="C1598" t="s">
        <v>76</v>
      </c>
      <c r="D1598" t="s">
        <v>77</v>
      </c>
      <c r="E1598">
        <v>17</v>
      </c>
      <c r="F1598" t="s">
        <v>97</v>
      </c>
      <c r="G1598">
        <v>88</v>
      </c>
      <c r="H1598">
        <v>4629</v>
      </c>
      <c r="I1598">
        <v>823287</v>
      </c>
      <c r="J1598">
        <v>99</v>
      </c>
      <c r="K1598">
        <v>47</v>
      </c>
      <c r="L1598">
        <v>818658</v>
      </c>
      <c r="M1598">
        <v>5.5911469279492096E-3</v>
      </c>
      <c r="N1598" s="1" t="s">
        <v>2808</v>
      </c>
      <c r="O1598" s="1" t="s">
        <v>2809</v>
      </c>
      <c r="P1598">
        <v>0</v>
      </c>
      <c r="Q1598">
        <v>0</v>
      </c>
      <c r="R1598">
        <v>0</v>
      </c>
      <c r="S1598">
        <v>0</v>
      </c>
      <c r="T1598">
        <v>19.93039817</v>
      </c>
      <c r="U1598">
        <f t="shared" si="48"/>
        <v>0</v>
      </c>
      <c r="V1598">
        <f t="shared" si="49"/>
        <v>0</v>
      </c>
    </row>
    <row r="1599" spans="1:22" x14ac:dyDescent="0.2">
      <c r="A1599" t="s">
        <v>2676</v>
      </c>
      <c r="B1599" t="s">
        <v>35</v>
      </c>
      <c r="C1599" t="s">
        <v>76</v>
      </c>
      <c r="D1599" t="s">
        <v>77</v>
      </c>
      <c r="E1599" s="1" t="s">
        <v>85</v>
      </c>
      <c r="F1599" t="s">
        <v>86</v>
      </c>
      <c r="G1599">
        <v>26</v>
      </c>
      <c r="H1599">
        <v>1046805</v>
      </c>
      <c r="I1599">
        <v>1548867</v>
      </c>
      <c r="J1599">
        <v>41</v>
      </c>
      <c r="K1599">
        <v>26</v>
      </c>
      <c r="L1599">
        <v>502062</v>
      </c>
      <c r="M1599" s="1" t="s">
        <v>2810</v>
      </c>
      <c r="N1599" s="1" t="s">
        <v>2811</v>
      </c>
      <c r="O1599" s="1" t="s">
        <v>2812</v>
      </c>
      <c r="P1599">
        <v>0</v>
      </c>
      <c r="Q1599">
        <v>0</v>
      </c>
      <c r="R1599">
        <v>0</v>
      </c>
      <c r="S1599">
        <v>0</v>
      </c>
      <c r="T1599">
        <v>19.93039817</v>
      </c>
      <c r="U1599">
        <f t="shared" si="48"/>
        <v>0</v>
      </c>
      <c r="V1599">
        <f t="shared" si="49"/>
        <v>0</v>
      </c>
    </row>
    <row r="1600" spans="1:22" x14ac:dyDescent="0.2">
      <c r="A1600" t="s">
        <v>2813</v>
      </c>
      <c r="B1600" t="s">
        <v>36</v>
      </c>
      <c r="C1600" t="s">
        <v>76</v>
      </c>
      <c r="D1600" t="s">
        <v>77</v>
      </c>
      <c r="E1600">
        <v>19</v>
      </c>
      <c r="F1600" t="s">
        <v>838</v>
      </c>
      <c r="G1600">
        <v>93</v>
      </c>
      <c r="H1600">
        <v>25235162</v>
      </c>
      <c r="I1600">
        <v>0</v>
      </c>
      <c r="J1600">
        <v>5</v>
      </c>
      <c r="K1600">
        <v>36</v>
      </c>
      <c r="L1600">
        <v>-25235162</v>
      </c>
      <c r="M1600">
        <v>1</v>
      </c>
      <c r="N1600">
        <v>0</v>
      </c>
      <c r="O1600" s="1" t="s">
        <v>2814</v>
      </c>
      <c r="P1600">
        <v>1</v>
      </c>
      <c r="Q1600">
        <v>0</v>
      </c>
      <c r="R1600">
        <v>1</v>
      </c>
      <c r="S1600">
        <v>0</v>
      </c>
      <c r="T1600">
        <v>25.83542374</v>
      </c>
      <c r="U1600">
        <f t="shared" si="48"/>
        <v>1</v>
      </c>
      <c r="V1600">
        <f t="shared" si="49"/>
        <v>1</v>
      </c>
    </row>
    <row r="1601" spans="1:22" x14ac:dyDescent="0.2">
      <c r="A1601" t="s">
        <v>2813</v>
      </c>
      <c r="B1601" t="s">
        <v>36</v>
      </c>
      <c r="C1601" t="s">
        <v>76</v>
      </c>
      <c r="D1601" t="s">
        <v>77</v>
      </c>
      <c r="E1601">
        <v>16</v>
      </c>
      <c r="F1601" t="s">
        <v>95</v>
      </c>
      <c r="G1601">
        <v>85</v>
      </c>
      <c r="H1601">
        <v>2899031</v>
      </c>
      <c r="I1601">
        <v>0</v>
      </c>
      <c r="J1601">
        <v>87</v>
      </c>
      <c r="K1601">
        <v>117</v>
      </c>
      <c r="L1601">
        <v>-2899031</v>
      </c>
      <c r="M1601">
        <v>1</v>
      </c>
      <c r="N1601">
        <v>0</v>
      </c>
      <c r="O1601">
        <v>2.0342371431605302E-2</v>
      </c>
      <c r="P1601">
        <v>0</v>
      </c>
      <c r="Q1601">
        <v>0</v>
      </c>
      <c r="R1601">
        <v>0</v>
      </c>
      <c r="S1601">
        <v>0</v>
      </c>
      <c r="T1601">
        <v>25.83542374</v>
      </c>
      <c r="U1601">
        <f t="shared" si="48"/>
        <v>0</v>
      </c>
      <c r="V1601">
        <f t="shared" si="49"/>
        <v>0</v>
      </c>
    </row>
    <row r="1602" spans="1:22" x14ac:dyDescent="0.2">
      <c r="A1602" t="s">
        <v>2813</v>
      </c>
      <c r="B1602" t="s">
        <v>36</v>
      </c>
      <c r="C1602" t="s">
        <v>76</v>
      </c>
      <c r="D1602" t="s">
        <v>77</v>
      </c>
      <c r="E1602" s="1" t="s">
        <v>89</v>
      </c>
      <c r="F1602" t="s">
        <v>90</v>
      </c>
      <c r="G1602">
        <v>28</v>
      </c>
      <c r="H1602">
        <v>9749569</v>
      </c>
      <c r="I1602">
        <v>5170</v>
      </c>
      <c r="J1602">
        <v>77</v>
      </c>
      <c r="K1602">
        <v>79</v>
      </c>
      <c r="L1602">
        <v>-9744399</v>
      </c>
      <c r="M1602" s="1" t="s">
        <v>2815</v>
      </c>
      <c r="N1602" s="1" t="s">
        <v>2816</v>
      </c>
      <c r="O1602">
        <v>6.8448569179276303E-2</v>
      </c>
      <c r="P1602">
        <v>0</v>
      </c>
      <c r="Q1602">
        <v>0</v>
      </c>
      <c r="R1602">
        <v>0</v>
      </c>
      <c r="S1602">
        <v>0</v>
      </c>
      <c r="T1602">
        <v>25.83542374</v>
      </c>
      <c r="U1602">
        <f t="shared" si="48"/>
        <v>0</v>
      </c>
      <c r="V1602">
        <f t="shared" si="49"/>
        <v>0</v>
      </c>
    </row>
    <row r="1603" spans="1:22" x14ac:dyDescent="0.2">
      <c r="A1603" t="s">
        <v>2813</v>
      </c>
      <c r="B1603" t="s">
        <v>36</v>
      </c>
      <c r="C1603" t="s">
        <v>76</v>
      </c>
      <c r="D1603" t="s">
        <v>77</v>
      </c>
      <c r="E1603" s="1" t="s">
        <v>82</v>
      </c>
      <c r="F1603" t="s">
        <v>83</v>
      </c>
      <c r="G1603">
        <v>10</v>
      </c>
      <c r="H1603">
        <v>58341709</v>
      </c>
      <c r="I1603">
        <v>0</v>
      </c>
      <c r="J1603">
        <v>65</v>
      </c>
      <c r="K1603">
        <v>65</v>
      </c>
      <c r="L1603">
        <v>-58341709</v>
      </c>
      <c r="M1603">
        <v>1</v>
      </c>
      <c r="N1603">
        <v>0</v>
      </c>
      <c r="O1603" s="1" t="s">
        <v>2817</v>
      </c>
      <c r="P1603">
        <v>0</v>
      </c>
      <c r="Q1603">
        <v>0</v>
      </c>
      <c r="R1603">
        <v>0</v>
      </c>
      <c r="S1603">
        <v>0</v>
      </c>
      <c r="T1603">
        <v>25.83542374</v>
      </c>
      <c r="U1603">
        <f t="shared" ref="U1603:U1666" si="50">IF(OR(P1603=1,Q1603=1),1,0)</f>
        <v>0</v>
      </c>
      <c r="V1603">
        <f t="shared" ref="V1603:V1666" si="51">IF(OR(R1603=1,S1603=1),1,0)</f>
        <v>0</v>
      </c>
    </row>
    <row r="1604" spans="1:22" x14ac:dyDescent="0.2">
      <c r="A1604" t="s">
        <v>2813</v>
      </c>
      <c r="B1604" t="s">
        <v>36</v>
      </c>
      <c r="C1604" t="s">
        <v>76</v>
      </c>
      <c r="D1604" t="s">
        <v>77</v>
      </c>
      <c r="E1604">
        <v>18</v>
      </c>
      <c r="F1604" t="s">
        <v>147</v>
      </c>
      <c r="G1604">
        <v>90</v>
      </c>
      <c r="H1604">
        <v>1989260</v>
      </c>
      <c r="I1604">
        <v>0</v>
      </c>
      <c r="J1604">
        <v>72</v>
      </c>
      <c r="K1604">
        <v>103</v>
      </c>
      <c r="L1604">
        <v>-1989260</v>
      </c>
      <c r="M1604">
        <v>1</v>
      </c>
      <c r="N1604">
        <v>0</v>
      </c>
      <c r="O1604" s="1" t="s">
        <v>2818</v>
      </c>
      <c r="P1604">
        <v>0</v>
      </c>
      <c r="Q1604">
        <v>0</v>
      </c>
      <c r="R1604">
        <v>0</v>
      </c>
      <c r="S1604">
        <v>0</v>
      </c>
      <c r="T1604">
        <v>25.83542374</v>
      </c>
      <c r="U1604">
        <f t="shared" si="50"/>
        <v>0</v>
      </c>
      <c r="V1604">
        <f t="shared" si="51"/>
        <v>0</v>
      </c>
    </row>
    <row r="1605" spans="1:22" x14ac:dyDescent="0.2">
      <c r="A1605" t="s">
        <v>2813</v>
      </c>
      <c r="B1605" t="s">
        <v>36</v>
      </c>
      <c r="C1605" t="s">
        <v>76</v>
      </c>
      <c r="D1605" t="s">
        <v>77</v>
      </c>
      <c r="E1605">
        <v>14</v>
      </c>
      <c r="F1605" t="s">
        <v>261</v>
      </c>
      <c r="G1605">
        <v>71</v>
      </c>
      <c r="H1605">
        <v>2149024</v>
      </c>
      <c r="I1605">
        <v>0</v>
      </c>
      <c r="J1605">
        <v>43</v>
      </c>
      <c r="K1605">
        <v>89</v>
      </c>
      <c r="L1605">
        <v>-2149024</v>
      </c>
      <c r="M1605">
        <v>1</v>
      </c>
      <c r="N1605">
        <v>0</v>
      </c>
      <c r="O1605" s="1" t="s">
        <v>2819</v>
      </c>
      <c r="P1605">
        <v>0</v>
      </c>
      <c r="Q1605">
        <v>0</v>
      </c>
      <c r="R1605">
        <v>0</v>
      </c>
      <c r="S1605">
        <v>0</v>
      </c>
      <c r="T1605">
        <v>25.83542374</v>
      </c>
      <c r="U1605">
        <f t="shared" si="50"/>
        <v>0</v>
      </c>
      <c r="V1605">
        <f t="shared" si="51"/>
        <v>0</v>
      </c>
    </row>
    <row r="1606" spans="1:22" x14ac:dyDescent="0.2">
      <c r="A1606" t="s">
        <v>2813</v>
      </c>
      <c r="B1606" t="s">
        <v>36</v>
      </c>
      <c r="C1606" t="s">
        <v>76</v>
      </c>
      <c r="D1606" t="s">
        <v>77</v>
      </c>
      <c r="E1606">
        <v>17</v>
      </c>
      <c r="F1606" t="s">
        <v>97</v>
      </c>
      <c r="G1606">
        <v>89</v>
      </c>
      <c r="H1606">
        <v>593180</v>
      </c>
      <c r="I1606">
        <v>0</v>
      </c>
      <c r="J1606">
        <v>36</v>
      </c>
      <c r="K1606">
        <v>68</v>
      </c>
      <c r="L1606">
        <v>-593180</v>
      </c>
      <c r="M1606">
        <v>1</v>
      </c>
      <c r="N1606">
        <v>0</v>
      </c>
      <c r="O1606">
        <v>4.1623176453786303E-3</v>
      </c>
      <c r="P1606">
        <v>0</v>
      </c>
      <c r="Q1606">
        <v>0</v>
      </c>
      <c r="R1606">
        <v>0</v>
      </c>
      <c r="S1606">
        <v>0</v>
      </c>
      <c r="T1606">
        <v>25.83542374</v>
      </c>
      <c r="U1606">
        <f t="shared" si="50"/>
        <v>0</v>
      </c>
      <c r="V1606">
        <f t="shared" si="51"/>
        <v>0</v>
      </c>
    </row>
    <row r="1607" spans="1:22" x14ac:dyDescent="0.2">
      <c r="A1607" t="s">
        <v>2813</v>
      </c>
      <c r="B1607" t="s">
        <v>36</v>
      </c>
      <c r="C1607" t="s">
        <v>76</v>
      </c>
      <c r="D1607" t="s">
        <v>77</v>
      </c>
      <c r="E1607">
        <v>16</v>
      </c>
      <c r="F1607" t="s">
        <v>95</v>
      </c>
      <c r="G1607">
        <v>84</v>
      </c>
      <c r="H1607">
        <v>1995127</v>
      </c>
      <c r="I1607">
        <v>0</v>
      </c>
      <c r="J1607">
        <v>93</v>
      </c>
      <c r="K1607">
        <v>117</v>
      </c>
      <c r="L1607">
        <v>-1995127</v>
      </c>
      <c r="M1607">
        <v>1</v>
      </c>
      <c r="N1607">
        <v>0</v>
      </c>
      <c r="O1607" s="1" t="s">
        <v>2820</v>
      </c>
      <c r="P1607">
        <v>0</v>
      </c>
      <c r="Q1607">
        <v>0</v>
      </c>
      <c r="R1607">
        <v>0</v>
      </c>
      <c r="S1607">
        <v>0</v>
      </c>
      <c r="T1607">
        <v>25.83542374</v>
      </c>
      <c r="U1607">
        <f t="shared" si="50"/>
        <v>0</v>
      </c>
      <c r="V1607">
        <f t="shared" si="51"/>
        <v>0</v>
      </c>
    </row>
    <row r="1608" spans="1:22" x14ac:dyDescent="0.2">
      <c r="A1608" t="s">
        <v>2813</v>
      </c>
      <c r="B1608" t="s">
        <v>36</v>
      </c>
      <c r="C1608" t="s">
        <v>76</v>
      </c>
      <c r="D1608" t="s">
        <v>77</v>
      </c>
      <c r="E1608">
        <v>17</v>
      </c>
      <c r="F1608" t="s">
        <v>97</v>
      </c>
      <c r="G1608">
        <v>87</v>
      </c>
      <c r="H1608">
        <v>597760</v>
      </c>
      <c r="I1608">
        <v>0</v>
      </c>
      <c r="J1608">
        <v>103</v>
      </c>
      <c r="K1608">
        <v>96</v>
      </c>
      <c r="L1608">
        <v>-597760</v>
      </c>
      <c r="M1608">
        <v>1</v>
      </c>
      <c r="N1608">
        <v>0</v>
      </c>
      <c r="O1608">
        <v>4.1944553014287896E-3</v>
      </c>
      <c r="P1608">
        <v>0</v>
      </c>
      <c r="Q1608">
        <v>0</v>
      </c>
      <c r="R1608">
        <v>0</v>
      </c>
      <c r="S1608">
        <v>0</v>
      </c>
      <c r="T1608">
        <v>25.83542374</v>
      </c>
      <c r="U1608">
        <f t="shared" si="50"/>
        <v>0</v>
      </c>
      <c r="V1608">
        <f t="shared" si="51"/>
        <v>0</v>
      </c>
    </row>
    <row r="1609" spans="1:22" x14ac:dyDescent="0.2">
      <c r="A1609" t="s">
        <v>2813</v>
      </c>
      <c r="B1609" t="s">
        <v>36</v>
      </c>
      <c r="C1609" t="s">
        <v>76</v>
      </c>
      <c r="D1609" t="s">
        <v>77</v>
      </c>
      <c r="E1609">
        <v>11</v>
      </c>
      <c r="F1609" t="s">
        <v>127</v>
      </c>
      <c r="G1609">
        <v>56</v>
      </c>
      <c r="H1609">
        <v>81862</v>
      </c>
      <c r="I1609">
        <v>857</v>
      </c>
      <c r="J1609">
        <v>60</v>
      </c>
      <c r="K1609">
        <v>70</v>
      </c>
      <c r="L1609">
        <v>-81005</v>
      </c>
      <c r="M1609" s="1" t="s">
        <v>2821</v>
      </c>
      <c r="N1609">
        <v>1.0360376697010299E-2</v>
      </c>
      <c r="O1609" s="1" t="s">
        <v>2822</v>
      </c>
      <c r="P1609">
        <v>0</v>
      </c>
      <c r="Q1609">
        <v>0</v>
      </c>
      <c r="R1609">
        <v>0</v>
      </c>
      <c r="S1609">
        <v>0</v>
      </c>
      <c r="T1609">
        <v>25.83542374</v>
      </c>
      <c r="U1609">
        <f t="shared" si="50"/>
        <v>0</v>
      </c>
      <c r="V1609">
        <f t="shared" si="51"/>
        <v>0</v>
      </c>
    </row>
    <row r="1610" spans="1:22" x14ac:dyDescent="0.2">
      <c r="A1610" t="s">
        <v>2813</v>
      </c>
      <c r="B1610" t="s">
        <v>36</v>
      </c>
      <c r="C1610" t="s">
        <v>76</v>
      </c>
      <c r="D1610" t="s">
        <v>77</v>
      </c>
      <c r="E1610" s="1" t="s">
        <v>89</v>
      </c>
      <c r="F1610" t="s">
        <v>90</v>
      </c>
      <c r="G1610">
        <v>32</v>
      </c>
      <c r="H1610">
        <v>274414</v>
      </c>
      <c r="I1610">
        <v>15936</v>
      </c>
      <c r="J1610">
        <v>73</v>
      </c>
      <c r="K1610">
        <v>69</v>
      </c>
      <c r="L1610">
        <v>-258478</v>
      </c>
      <c r="M1610" s="1" t="s">
        <v>2823</v>
      </c>
      <c r="N1610">
        <v>5.4885483037713102E-2</v>
      </c>
      <c r="O1610">
        <v>2.0373730205598402E-3</v>
      </c>
      <c r="P1610">
        <v>0</v>
      </c>
      <c r="Q1610">
        <v>0</v>
      </c>
      <c r="R1610">
        <v>0</v>
      </c>
      <c r="S1610">
        <v>0</v>
      </c>
      <c r="T1610">
        <v>25.83542374</v>
      </c>
      <c r="U1610">
        <f t="shared" si="50"/>
        <v>0</v>
      </c>
      <c r="V1610">
        <f t="shared" si="51"/>
        <v>0</v>
      </c>
    </row>
    <row r="1611" spans="1:22" x14ac:dyDescent="0.2">
      <c r="A1611" t="s">
        <v>2813</v>
      </c>
      <c r="B1611" t="s">
        <v>36</v>
      </c>
      <c r="C1611" t="s">
        <v>76</v>
      </c>
      <c r="D1611" t="s">
        <v>77</v>
      </c>
      <c r="E1611">
        <v>11</v>
      </c>
      <c r="F1611" t="s">
        <v>127</v>
      </c>
      <c r="G1611">
        <v>63</v>
      </c>
      <c r="H1611">
        <v>11219</v>
      </c>
      <c r="I1611">
        <v>901</v>
      </c>
      <c r="J1611">
        <v>97</v>
      </c>
      <c r="K1611">
        <v>93</v>
      </c>
      <c r="L1611">
        <v>-10318</v>
      </c>
      <c r="M1611" s="1" t="s">
        <v>2824</v>
      </c>
      <c r="N1611">
        <v>7.4339933993399304E-2</v>
      </c>
      <c r="O1611" s="1" t="s">
        <v>2825</v>
      </c>
      <c r="P1611">
        <v>0</v>
      </c>
      <c r="Q1611">
        <v>0</v>
      </c>
      <c r="R1611">
        <v>0</v>
      </c>
      <c r="S1611">
        <v>0</v>
      </c>
      <c r="T1611">
        <v>25.83542374</v>
      </c>
      <c r="U1611">
        <f t="shared" si="50"/>
        <v>0</v>
      </c>
      <c r="V1611">
        <f t="shared" si="51"/>
        <v>0</v>
      </c>
    </row>
    <row r="1612" spans="1:22" x14ac:dyDescent="0.2">
      <c r="A1612" t="s">
        <v>2813</v>
      </c>
      <c r="B1612" t="s">
        <v>36</v>
      </c>
      <c r="C1612" t="s">
        <v>76</v>
      </c>
      <c r="D1612" t="s">
        <v>77</v>
      </c>
      <c r="E1612" s="1" t="s">
        <v>93</v>
      </c>
      <c r="F1612" t="s">
        <v>94</v>
      </c>
      <c r="G1612">
        <v>44</v>
      </c>
      <c r="H1612">
        <v>9910</v>
      </c>
      <c r="I1612">
        <v>18607</v>
      </c>
      <c r="J1612">
        <v>132</v>
      </c>
      <c r="K1612">
        <v>76</v>
      </c>
      <c r="L1612">
        <v>8697</v>
      </c>
      <c r="M1612" s="1" t="s">
        <v>2826</v>
      </c>
      <c r="N1612" s="1" t="s">
        <v>2827</v>
      </c>
      <c r="O1612" s="1" t="s">
        <v>2828</v>
      </c>
      <c r="P1612">
        <v>0</v>
      </c>
      <c r="Q1612">
        <v>0</v>
      </c>
      <c r="R1612">
        <v>0</v>
      </c>
      <c r="S1612">
        <v>0</v>
      </c>
      <c r="T1612">
        <v>25.83542374</v>
      </c>
      <c r="U1612">
        <f t="shared" si="50"/>
        <v>0</v>
      </c>
      <c r="V1612">
        <f t="shared" si="51"/>
        <v>0</v>
      </c>
    </row>
    <row r="1613" spans="1:22" x14ac:dyDescent="0.2">
      <c r="A1613" t="s">
        <v>2813</v>
      </c>
      <c r="B1613" t="s">
        <v>36</v>
      </c>
      <c r="C1613" t="s">
        <v>76</v>
      </c>
      <c r="D1613" t="s">
        <v>77</v>
      </c>
      <c r="E1613" s="1" t="s">
        <v>99</v>
      </c>
      <c r="F1613" t="s">
        <v>100</v>
      </c>
      <c r="G1613">
        <v>40</v>
      </c>
      <c r="H1613">
        <v>54458</v>
      </c>
      <c r="I1613">
        <v>2967</v>
      </c>
      <c r="J1613">
        <v>117</v>
      </c>
      <c r="K1613">
        <v>87</v>
      </c>
      <c r="L1613">
        <v>-51491</v>
      </c>
      <c r="M1613" s="1" t="s">
        <v>2829</v>
      </c>
      <c r="N1613">
        <v>5.16673922507618E-2</v>
      </c>
      <c r="O1613" s="1" t="s">
        <v>2830</v>
      </c>
      <c r="P1613">
        <v>0</v>
      </c>
      <c r="Q1613">
        <v>0</v>
      </c>
      <c r="R1613">
        <v>0</v>
      </c>
      <c r="S1613">
        <v>0</v>
      </c>
      <c r="T1613">
        <v>25.83542374</v>
      </c>
      <c r="U1613">
        <f t="shared" si="50"/>
        <v>0</v>
      </c>
      <c r="V1613">
        <f t="shared" si="51"/>
        <v>0</v>
      </c>
    </row>
    <row r="1614" spans="1:22" x14ac:dyDescent="0.2">
      <c r="A1614" t="s">
        <v>2813</v>
      </c>
      <c r="B1614" t="s">
        <v>36</v>
      </c>
      <c r="C1614" t="s">
        <v>76</v>
      </c>
      <c r="D1614" t="s">
        <v>77</v>
      </c>
      <c r="E1614">
        <v>15</v>
      </c>
      <c r="F1614" t="s">
        <v>88</v>
      </c>
      <c r="G1614">
        <v>73</v>
      </c>
      <c r="H1614">
        <v>45584</v>
      </c>
      <c r="I1614">
        <v>4930</v>
      </c>
      <c r="J1614">
        <v>115</v>
      </c>
      <c r="K1614">
        <v>87</v>
      </c>
      <c r="L1614">
        <v>-40654</v>
      </c>
      <c r="M1614" s="1" t="s">
        <v>2831</v>
      </c>
      <c r="N1614">
        <v>9.7596705863720906E-2</v>
      </c>
      <c r="O1614" s="1" t="s">
        <v>2832</v>
      </c>
      <c r="P1614">
        <v>0</v>
      </c>
      <c r="Q1614">
        <v>0</v>
      </c>
      <c r="R1614">
        <v>0</v>
      </c>
      <c r="S1614">
        <v>0</v>
      </c>
      <c r="T1614">
        <v>25.83542374</v>
      </c>
      <c r="U1614">
        <f t="shared" si="50"/>
        <v>0</v>
      </c>
      <c r="V1614">
        <f t="shared" si="51"/>
        <v>0</v>
      </c>
    </row>
    <row r="1615" spans="1:22" x14ac:dyDescent="0.2">
      <c r="A1615" t="s">
        <v>2813</v>
      </c>
      <c r="B1615" t="s">
        <v>36</v>
      </c>
      <c r="C1615" t="s">
        <v>76</v>
      </c>
      <c r="D1615" t="s">
        <v>77</v>
      </c>
      <c r="E1615">
        <v>20</v>
      </c>
      <c r="F1615" t="s">
        <v>104</v>
      </c>
      <c r="G1615">
        <v>94</v>
      </c>
      <c r="H1615">
        <v>9641</v>
      </c>
      <c r="I1615">
        <v>0</v>
      </c>
      <c r="J1615">
        <v>112</v>
      </c>
      <c r="K1615">
        <v>103</v>
      </c>
      <c r="L1615">
        <v>-9641</v>
      </c>
      <c r="M1615">
        <v>1</v>
      </c>
      <c r="N1615">
        <v>0</v>
      </c>
      <c r="O1615" s="1" t="s">
        <v>2833</v>
      </c>
      <c r="P1615">
        <v>0</v>
      </c>
      <c r="Q1615">
        <v>0</v>
      </c>
      <c r="R1615">
        <v>0</v>
      </c>
      <c r="S1615">
        <v>0</v>
      </c>
      <c r="T1615">
        <v>25.83542374</v>
      </c>
      <c r="U1615">
        <f t="shared" si="50"/>
        <v>0</v>
      </c>
      <c r="V1615">
        <f t="shared" si="51"/>
        <v>0</v>
      </c>
    </row>
    <row r="1616" spans="1:22" x14ac:dyDescent="0.2">
      <c r="A1616" t="s">
        <v>2813</v>
      </c>
      <c r="B1616" t="s">
        <v>36</v>
      </c>
      <c r="C1616" t="s">
        <v>76</v>
      </c>
      <c r="D1616" t="s">
        <v>77</v>
      </c>
      <c r="E1616">
        <v>15</v>
      </c>
      <c r="F1616" t="s">
        <v>88</v>
      </c>
      <c r="G1616">
        <v>82</v>
      </c>
      <c r="H1616">
        <v>66206</v>
      </c>
      <c r="I1616">
        <v>516</v>
      </c>
      <c r="J1616">
        <v>97</v>
      </c>
      <c r="K1616">
        <v>86</v>
      </c>
      <c r="L1616">
        <v>-65690</v>
      </c>
      <c r="M1616" s="1" t="s">
        <v>2834</v>
      </c>
      <c r="N1616">
        <v>7.7335811276640302E-3</v>
      </c>
      <c r="O1616" s="1" t="s">
        <v>2835</v>
      </c>
      <c r="P1616">
        <v>0</v>
      </c>
      <c r="Q1616">
        <v>0</v>
      </c>
      <c r="R1616">
        <v>0</v>
      </c>
      <c r="S1616">
        <v>0</v>
      </c>
      <c r="T1616">
        <v>25.83542374</v>
      </c>
      <c r="U1616">
        <f t="shared" si="50"/>
        <v>0</v>
      </c>
      <c r="V1616">
        <f t="shared" si="51"/>
        <v>0</v>
      </c>
    </row>
    <row r="1617" spans="1:22" x14ac:dyDescent="0.2">
      <c r="A1617" t="s">
        <v>2813</v>
      </c>
      <c r="B1617" t="s">
        <v>36</v>
      </c>
      <c r="C1617" t="s">
        <v>76</v>
      </c>
      <c r="D1617" t="s">
        <v>77</v>
      </c>
      <c r="E1617">
        <v>10</v>
      </c>
      <c r="F1617" t="s">
        <v>119</v>
      </c>
      <c r="G1617">
        <v>48</v>
      </c>
      <c r="H1617">
        <v>550194</v>
      </c>
      <c r="I1617">
        <v>517</v>
      </c>
      <c r="J1617">
        <v>117</v>
      </c>
      <c r="K1617">
        <v>86</v>
      </c>
      <c r="L1617">
        <v>-549677</v>
      </c>
      <c r="M1617" s="1" t="s">
        <v>2836</v>
      </c>
      <c r="N1617" s="1" t="s">
        <v>2837</v>
      </c>
      <c r="O1617">
        <v>3.86431456354582E-3</v>
      </c>
      <c r="P1617">
        <v>0</v>
      </c>
      <c r="Q1617">
        <v>0</v>
      </c>
      <c r="R1617">
        <v>0</v>
      </c>
      <c r="S1617">
        <v>0</v>
      </c>
      <c r="T1617">
        <v>25.83542374</v>
      </c>
      <c r="U1617">
        <f t="shared" si="50"/>
        <v>0</v>
      </c>
      <c r="V1617">
        <f t="shared" si="51"/>
        <v>0</v>
      </c>
    </row>
    <row r="1618" spans="1:22" x14ac:dyDescent="0.2">
      <c r="A1618" t="s">
        <v>2813</v>
      </c>
      <c r="B1618" t="s">
        <v>36</v>
      </c>
      <c r="C1618" t="s">
        <v>76</v>
      </c>
      <c r="D1618" t="s">
        <v>77</v>
      </c>
      <c r="E1618" s="1" t="s">
        <v>138</v>
      </c>
      <c r="F1618" t="s">
        <v>139</v>
      </c>
      <c r="G1618">
        <v>22</v>
      </c>
      <c r="H1618">
        <v>9306</v>
      </c>
      <c r="I1618">
        <v>5999</v>
      </c>
      <c r="J1618">
        <v>126</v>
      </c>
      <c r="K1618">
        <v>84</v>
      </c>
      <c r="L1618">
        <v>-3307</v>
      </c>
      <c r="M1618" s="1" t="s">
        <v>2838</v>
      </c>
      <c r="N1618" s="1" t="s">
        <v>2839</v>
      </c>
      <c r="O1618" s="1" t="s">
        <v>2840</v>
      </c>
      <c r="P1618">
        <v>0</v>
      </c>
      <c r="Q1618">
        <v>0</v>
      </c>
      <c r="R1618">
        <v>0</v>
      </c>
      <c r="S1618">
        <v>0</v>
      </c>
      <c r="T1618">
        <v>25.83542374</v>
      </c>
      <c r="U1618">
        <f t="shared" si="50"/>
        <v>0</v>
      </c>
      <c r="V1618">
        <f t="shared" si="51"/>
        <v>0</v>
      </c>
    </row>
    <row r="1619" spans="1:22" x14ac:dyDescent="0.2">
      <c r="A1619" t="s">
        <v>2813</v>
      </c>
      <c r="B1619" t="s">
        <v>36</v>
      </c>
      <c r="C1619" t="s">
        <v>76</v>
      </c>
      <c r="D1619" t="s">
        <v>77</v>
      </c>
      <c r="E1619" s="1" t="s">
        <v>138</v>
      </c>
      <c r="F1619" t="s">
        <v>139</v>
      </c>
      <c r="G1619">
        <v>19</v>
      </c>
      <c r="H1619">
        <v>821</v>
      </c>
      <c r="I1619">
        <v>0</v>
      </c>
      <c r="J1619">
        <v>92</v>
      </c>
      <c r="K1619">
        <v>86</v>
      </c>
      <c r="L1619">
        <v>-821</v>
      </c>
      <c r="M1619">
        <v>1</v>
      </c>
      <c r="N1619">
        <v>0</v>
      </c>
      <c r="O1619" s="1" t="s">
        <v>2841</v>
      </c>
      <c r="P1619">
        <v>0</v>
      </c>
      <c r="Q1619">
        <v>0</v>
      </c>
      <c r="R1619">
        <v>0</v>
      </c>
      <c r="S1619">
        <v>0</v>
      </c>
      <c r="T1619">
        <v>25.83542374</v>
      </c>
      <c r="U1619">
        <f t="shared" si="50"/>
        <v>0</v>
      </c>
      <c r="V1619">
        <f t="shared" si="51"/>
        <v>0</v>
      </c>
    </row>
    <row r="1620" spans="1:22" x14ac:dyDescent="0.2">
      <c r="A1620" t="s">
        <v>2813</v>
      </c>
      <c r="B1620" t="s">
        <v>36</v>
      </c>
      <c r="C1620" t="s">
        <v>76</v>
      </c>
      <c r="D1620" t="s">
        <v>77</v>
      </c>
      <c r="E1620" s="1" t="s">
        <v>155</v>
      </c>
      <c r="F1620" t="s">
        <v>156</v>
      </c>
      <c r="G1620" s="1" t="s">
        <v>82</v>
      </c>
      <c r="H1620">
        <v>447267</v>
      </c>
      <c r="I1620">
        <v>0</v>
      </c>
      <c r="J1620">
        <v>33</v>
      </c>
      <c r="K1620">
        <v>59</v>
      </c>
      <c r="L1620">
        <v>-447267</v>
      </c>
      <c r="M1620">
        <v>1</v>
      </c>
      <c r="N1620">
        <v>0</v>
      </c>
      <c r="O1620">
        <v>3.1384526219622399E-3</v>
      </c>
      <c r="P1620">
        <v>0</v>
      </c>
      <c r="Q1620">
        <v>0</v>
      </c>
      <c r="R1620">
        <v>0</v>
      </c>
      <c r="S1620">
        <v>0</v>
      </c>
      <c r="T1620">
        <v>25.83542374</v>
      </c>
      <c r="U1620">
        <f t="shared" si="50"/>
        <v>0</v>
      </c>
      <c r="V1620">
        <f t="shared" si="51"/>
        <v>0</v>
      </c>
    </row>
    <row r="1621" spans="1:22" x14ac:dyDescent="0.2">
      <c r="A1621" t="s">
        <v>2813</v>
      </c>
      <c r="B1621" t="s">
        <v>36</v>
      </c>
      <c r="C1621" t="s">
        <v>76</v>
      </c>
      <c r="D1621" t="s">
        <v>77</v>
      </c>
      <c r="E1621">
        <v>20</v>
      </c>
      <c r="F1621" t="s">
        <v>104</v>
      </c>
      <c r="G1621">
        <v>96</v>
      </c>
      <c r="H1621">
        <v>650</v>
      </c>
      <c r="I1621">
        <v>2036</v>
      </c>
      <c r="J1621">
        <v>105</v>
      </c>
      <c r="K1621">
        <v>77</v>
      </c>
      <c r="L1621">
        <v>1386</v>
      </c>
      <c r="M1621" s="1" t="s">
        <v>2842</v>
      </c>
      <c r="N1621" s="1" t="s">
        <v>2843</v>
      </c>
      <c r="O1621" s="1" t="s">
        <v>2844</v>
      </c>
      <c r="P1621">
        <v>0</v>
      </c>
      <c r="Q1621">
        <v>0</v>
      </c>
      <c r="R1621">
        <v>0</v>
      </c>
      <c r="S1621">
        <v>0</v>
      </c>
      <c r="T1621">
        <v>25.83542374</v>
      </c>
      <c r="U1621">
        <f t="shared" si="50"/>
        <v>0</v>
      </c>
      <c r="V1621">
        <f t="shared" si="51"/>
        <v>0</v>
      </c>
    </row>
    <row r="1622" spans="1:22" x14ac:dyDescent="0.2">
      <c r="A1622" t="s">
        <v>2813</v>
      </c>
      <c r="B1622" t="s">
        <v>36</v>
      </c>
      <c r="C1622" t="s">
        <v>76</v>
      </c>
      <c r="D1622" t="s">
        <v>77</v>
      </c>
      <c r="E1622" s="1" t="s">
        <v>82</v>
      </c>
      <c r="F1622" t="s">
        <v>83</v>
      </c>
      <c r="G1622">
        <v>11</v>
      </c>
      <c r="H1622">
        <v>29713</v>
      </c>
      <c r="I1622">
        <v>0</v>
      </c>
      <c r="J1622">
        <v>81</v>
      </c>
      <c r="K1622">
        <v>71</v>
      </c>
      <c r="L1622">
        <v>-29713</v>
      </c>
      <c r="M1622">
        <v>1</v>
      </c>
      <c r="N1622">
        <v>0</v>
      </c>
      <c r="O1622" s="1" t="s">
        <v>2845</v>
      </c>
      <c r="P1622">
        <v>0</v>
      </c>
      <c r="Q1622">
        <v>0</v>
      </c>
      <c r="R1622">
        <v>0</v>
      </c>
      <c r="S1622">
        <v>0</v>
      </c>
      <c r="T1622">
        <v>25.83542374</v>
      </c>
      <c r="U1622">
        <f t="shared" si="50"/>
        <v>0</v>
      </c>
      <c r="V1622">
        <f t="shared" si="51"/>
        <v>0</v>
      </c>
    </row>
    <row r="1623" spans="1:22" x14ac:dyDescent="0.2">
      <c r="A1623" t="s">
        <v>2813</v>
      </c>
      <c r="B1623" t="s">
        <v>36</v>
      </c>
      <c r="C1623" t="s">
        <v>76</v>
      </c>
      <c r="D1623" t="s">
        <v>77</v>
      </c>
      <c r="E1623" s="1" t="s">
        <v>155</v>
      </c>
      <c r="F1623" t="s">
        <v>156</v>
      </c>
      <c r="G1623" s="1" t="s">
        <v>138</v>
      </c>
      <c r="H1623">
        <v>5358</v>
      </c>
      <c r="I1623">
        <v>1</v>
      </c>
      <c r="J1623">
        <v>58</v>
      </c>
      <c r="K1623">
        <v>74</v>
      </c>
      <c r="L1623">
        <v>-5357</v>
      </c>
      <c r="M1623" s="1" t="s">
        <v>2846</v>
      </c>
      <c r="N1623" s="1" t="s">
        <v>2847</v>
      </c>
      <c r="O1623" s="1" t="s">
        <v>2848</v>
      </c>
      <c r="P1623">
        <v>0</v>
      </c>
      <c r="Q1623">
        <v>0</v>
      </c>
      <c r="R1623">
        <v>0</v>
      </c>
      <c r="S1623">
        <v>0</v>
      </c>
      <c r="T1623">
        <v>25.83542374</v>
      </c>
      <c r="U1623">
        <f t="shared" si="50"/>
        <v>0</v>
      </c>
      <c r="V1623">
        <f t="shared" si="51"/>
        <v>0</v>
      </c>
    </row>
    <row r="1624" spans="1:22" x14ac:dyDescent="0.2">
      <c r="A1624" t="s">
        <v>2813</v>
      </c>
      <c r="B1624" t="s">
        <v>36</v>
      </c>
      <c r="C1624" t="s">
        <v>76</v>
      </c>
      <c r="D1624" t="s">
        <v>77</v>
      </c>
      <c r="E1624" s="1" t="s">
        <v>85</v>
      </c>
      <c r="F1624" t="s">
        <v>86</v>
      </c>
      <c r="G1624">
        <v>27</v>
      </c>
      <c r="H1624">
        <v>1070565</v>
      </c>
      <c r="I1624">
        <v>954537</v>
      </c>
      <c r="J1624">
        <v>117</v>
      </c>
      <c r="K1624">
        <v>53</v>
      </c>
      <c r="L1624">
        <v>-116028</v>
      </c>
      <c r="M1624" s="1" t="s">
        <v>2849</v>
      </c>
      <c r="N1624" s="1" t="s">
        <v>2850</v>
      </c>
      <c r="O1624">
        <v>1.42100505551292E-2</v>
      </c>
      <c r="P1624">
        <v>0</v>
      </c>
      <c r="Q1624">
        <v>0</v>
      </c>
      <c r="R1624">
        <v>0</v>
      </c>
      <c r="S1624">
        <v>0</v>
      </c>
      <c r="T1624">
        <v>25.83542374</v>
      </c>
      <c r="U1624">
        <f t="shared" si="50"/>
        <v>0</v>
      </c>
      <c r="V1624">
        <f t="shared" si="51"/>
        <v>0</v>
      </c>
    </row>
    <row r="1625" spans="1:22" x14ac:dyDescent="0.2">
      <c r="A1625" t="s">
        <v>2813</v>
      </c>
      <c r="B1625" t="s">
        <v>36</v>
      </c>
      <c r="C1625" t="s">
        <v>76</v>
      </c>
      <c r="D1625" t="s">
        <v>77</v>
      </c>
      <c r="E1625" s="1" t="s">
        <v>89</v>
      </c>
      <c r="F1625" t="s">
        <v>90</v>
      </c>
      <c r="G1625">
        <v>30</v>
      </c>
      <c r="H1625">
        <v>195</v>
      </c>
      <c r="I1625">
        <v>5336</v>
      </c>
      <c r="J1625">
        <v>136</v>
      </c>
      <c r="K1625">
        <v>79</v>
      </c>
      <c r="L1625">
        <v>5141</v>
      </c>
      <c r="M1625" s="1" t="s">
        <v>2851</v>
      </c>
      <c r="N1625" s="1" t="s">
        <v>2852</v>
      </c>
      <c r="O1625" s="1" t="s">
        <v>2853</v>
      </c>
      <c r="P1625">
        <v>0</v>
      </c>
      <c r="Q1625">
        <v>0</v>
      </c>
      <c r="R1625">
        <v>0</v>
      </c>
      <c r="S1625">
        <v>0</v>
      </c>
      <c r="T1625">
        <v>25.83542374</v>
      </c>
      <c r="U1625">
        <f t="shared" si="50"/>
        <v>0</v>
      </c>
      <c r="V1625">
        <f t="shared" si="51"/>
        <v>0</v>
      </c>
    </row>
    <row r="1626" spans="1:22" x14ac:dyDescent="0.2">
      <c r="A1626" t="s">
        <v>2813</v>
      </c>
      <c r="B1626" t="s">
        <v>36</v>
      </c>
      <c r="C1626" t="s">
        <v>76</v>
      </c>
      <c r="D1626" t="s">
        <v>77</v>
      </c>
      <c r="E1626" s="1" t="s">
        <v>138</v>
      </c>
      <c r="F1626" t="s">
        <v>139</v>
      </c>
      <c r="G1626">
        <v>16</v>
      </c>
      <c r="H1626">
        <v>299012</v>
      </c>
      <c r="I1626">
        <v>322628</v>
      </c>
      <c r="J1626">
        <v>35</v>
      </c>
      <c r="K1626">
        <v>40</v>
      </c>
      <c r="L1626">
        <v>23616</v>
      </c>
      <c r="M1626" s="1" t="s">
        <v>2854</v>
      </c>
      <c r="N1626" s="1" t="s">
        <v>2855</v>
      </c>
      <c r="O1626">
        <v>4.36202019803967E-3</v>
      </c>
      <c r="P1626">
        <v>0</v>
      </c>
      <c r="Q1626">
        <v>0</v>
      </c>
      <c r="R1626">
        <v>0</v>
      </c>
      <c r="S1626">
        <v>0</v>
      </c>
      <c r="T1626">
        <v>25.83542374</v>
      </c>
      <c r="U1626">
        <f t="shared" si="50"/>
        <v>0</v>
      </c>
      <c r="V1626">
        <f t="shared" si="51"/>
        <v>0</v>
      </c>
    </row>
    <row r="1627" spans="1:22" x14ac:dyDescent="0.2">
      <c r="A1627" t="s">
        <v>2813</v>
      </c>
      <c r="B1627" t="s">
        <v>36</v>
      </c>
      <c r="C1627" t="s">
        <v>76</v>
      </c>
      <c r="D1627" t="s">
        <v>77</v>
      </c>
      <c r="E1627" s="1" t="s">
        <v>110</v>
      </c>
      <c r="F1627" t="s">
        <v>111</v>
      </c>
      <c r="G1627">
        <v>15</v>
      </c>
      <c r="H1627">
        <v>404527</v>
      </c>
      <c r="I1627">
        <v>322</v>
      </c>
      <c r="J1627">
        <v>71</v>
      </c>
      <c r="K1627">
        <v>82</v>
      </c>
      <c r="L1627">
        <v>-404205</v>
      </c>
      <c r="M1627" s="1" t="s">
        <v>2856</v>
      </c>
      <c r="N1627" s="1" t="s">
        <v>2857</v>
      </c>
      <c r="O1627">
        <v>2.8408074048583802E-3</v>
      </c>
      <c r="P1627">
        <v>0</v>
      </c>
      <c r="Q1627">
        <v>0</v>
      </c>
      <c r="R1627">
        <v>0</v>
      </c>
      <c r="S1627">
        <v>0</v>
      </c>
      <c r="T1627">
        <v>25.83542374</v>
      </c>
      <c r="U1627">
        <f t="shared" si="50"/>
        <v>0</v>
      </c>
      <c r="V1627">
        <f t="shared" si="51"/>
        <v>0</v>
      </c>
    </row>
    <row r="1628" spans="1:22" x14ac:dyDescent="0.2">
      <c r="A1628" t="s">
        <v>2813</v>
      </c>
      <c r="B1628" t="s">
        <v>36</v>
      </c>
      <c r="C1628" t="s">
        <v>76</v>
      </c>
      <c r="D1628" t="s">
        <v>77</v>
      </c>
      <c r="E1628" s="1" t="s">
        <v>82</v>
      </c>
      <c r="F1628" t="s">
        <v>83</v>
      </c>
      <c r="G1628" s="1" t="s">
        <v>99</v>
      </c>
      <c r="H1628">
        <v>3023</v>
      </c>
      <c r="I1628">
        <v>0</v>
      </c>
      <c r="J1628">
        <v>99</v>
      </c>
      <c r="K1628">
        <v>90</v>
      </c>
      <c r="L1628">
        <v>-3023</v>
      </c>
      <c r="M1628">
        <v>1</v>
      </c>
      <c r="N1628">
        <v>0</v>
      </c>
      <c r="O1628" s="1" t="s">
        <v>2858</v>
      </c>
      <c r="P1628">
        <v>0</v>
      </c>
      <c r="Q1628">
        <v>0</v>
      </c>
      <c r="R1628">
        <v>0</v>
      </c>
      <c r="S1628">
        <v>0</v>
      </c>
      <c r="T1628">
        <v>25.83542374</v>
      </c>
      <c r="U1628">
        <f t="shared" si="50"/>
        <v>0</v>
      </c>
      <c r="V1628">
        <f t="shared" si="51"/>
        <v>0</v>
      </c>
    </row>
    <row r="1629" spans="1:22" x14ac:dyDescent="0.2">
      <c r="A1629" t="s">
        <v>2813</v>
      </c>
      <c r="B1629" t="s">
        <v>36</v>
      </c>
      <c r="C1629" t="s">
        <v>76</v>
      </c>
      <c r="D1629" t="s">
        <v>77</v>
      </c>
      <c r="E1629" s="1" t="s">
        <v>82</v>
      </c>
      <c r="F1629" t="s">
        <v>83</v>
      </c>
      <c r="G1629" s="1" t="s">
        <v>93</v>
      </c>
      <c r="H1629">
        <v>678</v>
      </c>
      <c r="I1629">
        <v>10</v>
      </c>
      <c r="J1629">
        <v>96</v>
      </c>
      <c r="K1629">
        <v>107</v>
      </c>
      <c r="L1629">
        <v>-668</v>
      </c>
      <c r="M1629" s="1" t="s">
        <v>2859</v>
      </c>
      <c r="N1629" s="1" t="s">
        <v>2860</v>
      </c>
      <c r="O1629" s="1" t="s">
        <v>2861</v>
      </c>
      <c r="P1629">
        <v>0</v>
      </c>
      <c r="Q1629">
        <v>0</v>
      </c>
      <c r="R1629">
        <v>0</v>
      </c>
      <c r="S1629">
        <v>0</v>
      </c>
      <c r="T1629">
        <v>25.83542374</v>
      </c>
      <c r="U1629">
        <f t="shared" si="50"/>
        <v>0</v>
      </c>
      <c r="V1629">
        <f t="shared" si="51"/>
        <v>0</v>
      </c>
    </row>
    <row r="1630" spans="1:22" x14ac:dyDescent="0.2">
      <c r="A1630" t="s">
        <v>2813</v>
      </c>
      <c r="B1630" t="s">
        <v>36</v>
      </c>
      <c r="C1630" t="s">
        <v>76</v>
      </c>
      <c r="D1630" t="s">
        <v>77</v>
      </c>
      <c r="E1630">
        <v>20</v>
      </c>
      <c r="F1630" t="s">
        <v>104</v>
      </c>
      <c r="G1630">
        <v>95</v>
      </c>
      <c r="H1630">
        <v>24120</v>
      </c>
      <c r="I1630">
        <v>0</v>
      </c>
      <c r="J1630">
        <v>87</v>
      </c>
      <c r="K1630">
        <v>91</v>
      </c>
      <c r="L1630">
        <v>-24120</v>
      </c>
      <c r="M1630">
        <v>1</v>
      </c>
      <c r="N1630">
        <v>0</v>
      </c>
      <c r="O1630" s="1" t="s">
        <v>2862</v>
      </c>
      <c r="P1630">
        <v>0</v>
      </c>
      <c r="Q1630">
        <v>0</v>
      </c>
      <c r="R1630">
        <v>0</v>
      </c>
      <c r="S1630">
        <v>0</v>
      </c>
      <c r="T1630">
        <v>25.83542374</v>
      </c>
      <c r="U1630">
        <f t="shared" si="50"/>
        <v>0</v>
      </c>
      <c r="V1630">
        <f t="shared" si="51"/>
        <v>0</v>
      </c>
    </row>
    <row r="1631" spans="1:22" x14ac:dyDescent="0.2">
      <c r="A1631" t="s">
        <v>2813</v>
      </c>
      <c r="B1631" t="s">
        <v>36</v>
      </c>
      <c r="C1631" t="s">
        <v>76</v>
      </c>
      <c r="D1631" t="s">
        <v>77</v>
      </c>
      <c r="E1631">
        <v>11</v>
      </c>
      <c r="F1631" t="s">
        <v>127</v>
      </c>
      <c r="G1631">
        <v>61</v>
      </c>
      <c r="H1631">
        <v>295</v>
      </c>
      <c r="I1631">
        <v>282</v>
      </c>
      <c r="J1631">
        <v>119</v>
      </c>
      <c r="K1631">
        <v>99</v>
      </c>
      <c r="L1631">
        <v>-13</v>
      </c>
      <c r="M1631">
        <v>0.51126516464471405</v>
      </c>
      <c r="N1631" s="1" t="s">
        <v>2863</v>
      </c>
      <c r="O1631" s="1" t="s">
        <v>2864</v>
      </c>
      <c r="P1631">
        <v>0</v>
      </c>
      <c r="Q1631">
        <v>0</v>
      </c>
      <c r="R1631">
        <v>0</v>
      </c>
      <c r="S1631">
        <v>0</v>
      </c>
      <c r="T1631">
        <v>25.83542374</v>
      </c>
      <c r="U1631">
        <f t="shared" si="50"/>
        <v>0</v>
      </c>
      <c r="V1631">
        <f t="shared" si="51"/>
        <v>0</v>
      </c>
    </row>
    <row r="1632" spans="1:22" x14ac:dyDescent="0.2">
      <c r="A1632" t="s">
        <v>2813</v>
      </c>
      <c r="B1632" t="s">
        <v>36</v>
      </c>
      <c r="C1632" t="s">
        <v>76</v>
      </c>
      <c r="D1632" t="s">
        <v>77</v>
      </c>
      <c r="E1632" s="1" t="s">
        <v>82</v>
      </c>
      <c r="F1632" t="s">
        <v>83</v>
      </c>
      <c r="G1632" s="1" t="s">
        <v>163</v>
      </c>
      <c r="H1632">
        <v>400</v>
      </c>
      <c r="I1632">
        <v>1413819</v>
      </c>
      <c r="J1632">
        <v>67</v>
      </c>
      <c r="K1632">
        <v>62</v>
      </c>
      <c r="L1632">
        <v>1413419</v>
      </c>
      <c r="M1632" s="1" t="s">
        <v>2865</v>
      </c>
      <c r="N1632" s="1" t="s">
        <v>2866</v>
      </c>
      <c r="O1632">
        <v>9.9235117470746204E-3</v>
      </c>
      <c r="P1632">
        <v>0</v>
      </c>
      <c r="Q1632">
        <v>0</v>
      </c>
      <c r="R1632">
        <v>0</v>
      </c>
      <c r="S1632">
        <v>0</v>
      </c>
      <c r="T1632">
        <v>25.83542374</v>
      </c>
      <c r="U1632">
        <f t="shared" si="50"/>
        <v>0</v>
      </c>
      <c r="V1632">
        <f t="shared" si="51"/>
        <v>0</v>
      </c>
    </row>
    <row r="1633" spans="1:22" x14ac:dyDescent="0.2">
      <c r="A1633" t="s">
        <v>2813</v>
      </c>
      <c r="B1633" t="s">
        <v>36</v>
      </c>
      <c r="C1633" t="s">
        <v>76</v>
      </c>
      <c r="D1633" t="s">
        <v>77</v>
      </c>
      <c r="E1633">
        <v>12</v>
      </c>
      <c r="F1633" t="s">
        <v>194</v>
      </c>
      <c r="G1633">
        <v>64</v>
      </c>
      <c r="H1633">
        <v>15</v>
      </c>
      <c r="I1633">
        <v>2518</v>
      </c>
      <c r="J1633">
        <v>122</v>
      </c>
      <c r="K1633">
        <v>77</v>
      </c>
      <c r="L1633">
        <v>2503</v>
      </c>
      <c r="M1633">
        <v>5.9218318199763097E-3</v>
      </c>
      <c r="N1633" s="1" t="s">
        <v>2867</v>
      </c>
      <c r="O1633" s="1" t="s">
        <v>2868</v>
      </c>
      <c r="P1633">
        <v>0</v>
      </c>
      <c r="Q1633">
        <v>0</v>
      </c>
      <c r="R1633">
        <v>0</v>
      </c>
      <c r="S1633">
        <v>0</v>
      </c>
      <c r="T1633">
        <v>25.83542374</v>
      </c>
      <c r="U1633">
        <f t="shared" si="50"/>
        <v>0</v>
      </c>
      <c r="V1633">
        <f t="shared" si="51"/>
        <v>0</v>
      </c>
    </row>
    <row r="1634" spans="1:22" x14ac:dyDescent="0.2">
      <c r="A1634" t="s">
        <v>2813</v>
      </c>
      <c r="B1634" t="s">
        <v>36</v>
      </c>
      <c r="C1634" t="s">
        <v>76</v>
      </c>
      <c r="D1634" t="s">
        <v>77</v>
      </c>
      <c r="E1634">
        <v>13</v>
      </c>
      <c r="F1634" t="s">
        <v>91</v>
      </c>
      <c r="G1634">
        <v>69</v>
      </c>
      <c r="H1634">
        <v>5</v>
      </c>
      <c r="I1634">
        <v>0</v>
      </c>
      <c r="J1634">
        <v>120</v>
      </c>
      <c r="K1634">
        <v>91</v>
      </c>
      <c r="L1634">
        <v>-5</v>
      </c>
      <c r="M1634">
        <v>1</v>
      </c>
      <c r="N1634">
        <v>0</v>
      </c>
      <c r="O1634" s="1" t="s">
        <v>2869</v>
      </c>
      <c r="P1634">
        <v>0</v>
      </c>
      <c r="Q1634">
        <v>0</v>
      </c>
      <c r="R1634">
        <v>0</v>
      </c>
      <c r="S1634">
        <v>0</v>
      </c>
      <c r="T1634">
        <v>25.83542374</v>
      </c>
      <c r="U1634">
        <f t="shared" si="50"/>
        <v>0</v>
      </c>
      <c r="V1634">
        <f t="shared" si="51"/>
        <v>0</v>
      </c>
    </row>
    <row r="1635" spans="1:22" x14ac:dyDescent="0.2">
      <c r="A1635" t="s">
        <v>2813</v>
      </c>
      <c r="B1635" t="s">
        <v>36</v>
      </c>
      <c r="C1635" t="s">
        <v>76</v>
      </c>
      <c r="D1635" t="s">
        <v>77</v>
      </c>
      <c r="E1635">
        <v>10</v>
      </c>
      <c r="F1635" t="s">
        <v>119</v>
      </c>
      <c r="G1635">
        <v>49</v>
      </c>
      <c r="H1635">
        <v>2624250</v>
      </c>
      <c r="I1635">
        <v>4771</v>
      </c>
      <c r="J1635">
        <v>33</v>
      </c>
      <c r="K1635">
        <v>74</v>
      </c>
      <c r="L1635">
        <v>-2619479</v>
      </c>
      <c r="M1635" s="1" t="s">
        <v>2870</v>
      </c>
      <c r="N1635">
        <v>1.8147439674312199E-3</v>
      </c>
      <c r="O1635" s="1" t="s">
        <v>2871</v>
      </c>
      <c r="P1635">
        <v>0</v>
      </c>
      <c r="Q1635">
        <v>0</v>
      </c>
      <c r="R1635">
        <v>0</v>
      </c>
      <c r="S1635">
        <v>0</v>
      </c>
      <c r="T1635">
        <v>25.83542374</v>
      </c>
      <c r="U1635">
        <f t="shared" si="50"/>
        <v>0</v>
      </c>
      <c r="V1635">
        <f t="shared" si="51"/>
        <v>0</v>
      </c>
    </row>
    <row r="1636" spans="1:22" x14ac:dyDescent="0.2">
      <c r="A1636" t="s">
        <v>2813</v>
      </c>
      <c r="B1636" t="s">
        <v>36</v>
      </c>
      <c r="C1636" t="s">
        <v>76</v>
      </c>
      <c r="D1636" t="s">
        <v>77</v>
      </c>
      <c r="E1636">
        <v>12</v>
      </c>
      <c r="F1636" t="s">
        <v>194</v>
      </c>
      <c r="G1636">
        <v>65</v>
      </c>
      <c r="H1636">
        <v>5</v>
      </c>
      <c r="I1636">
        <v>57</v>
      </c>
      <c r="J1636">
        <v>104</v>
      </c>
      <c r="K1636">
        <v>79</v>
      </c>
      <c r="L1636">
        <v>52</v>
      </c>
      <c r="M1636">
        <v>8.0645161290322495E-2</v>
      </c>
      <c r="N1636" s="1" t="s">
        <v>2872</v>
      </c>
      <c r="O1636" s="1" t="s">
        <v>2873</v>
      </c>
      <c r="P1636">
        <v>0</v>
      </c>
      <c r="Q1636">
        <v>0</v>
      </c>
      <c r="R1636">
        <v>0</v>
      </c>
      <c r="S1636">
        <v>0</v>
      </c>
      <c r="T1636">
        <v>25.83542374</v>
      </c>
      <c r="U1636">
        <f t="shared" si="50"/>
        <v>0</v>
      </c>
      <c r="V1636">
        <f t="shared" si="51"/>
        <v>0</v>
      </c>
    </row>
    <row r="1637" spans="1:22" x14ac:dyDescent="0.2">
      <c r="A1637" t="s">
        <v>2813</v>
      </c>
      <c r="B1637" t="s">
        <v>36</v>
      </c>
      <c r="C1637" t="s">
        <v>76</v>
      </c>
      <c r="D1637" t="s">
        <v>77</v>
      </c>
      <c r="E1637">
        <v>12</v>
      </c>
      <c r="F1637" t="s">
        <v>194</v>
      </c>
      <c r="G1637">
        <v>67</v>
      </c>
      <c r="H1637">
        <v>223</v>
      </c>
      <c r="I1637">
        <v>14</v>
      </c>
      <c r="J1637">
        <v>67</v>
      </c>
      <c r="K1637">
        <v>59</v>
      </c>
      <c r="L1637">
        <v>-209</v>
      </c>
      <c r="M1637" s="1" t="s">
        <v>2874</v>
      </c>
      <c r="N1637">
        <v>5.90717299578059E-2</v>
      </c>
      <c r="O1637" s="1" t="s">
        <v>2875</v>
      </c>
      <c r="P1637">
        <v>0</v>
      </c>
      <c r="Q1637">
        <v>0</v>
      </c>
      <c r="R1637">
        <v>0</v>
      </c>
      <c r="S1637">
        <v>0</v>
      </c>
      <c r="T1637">
        <v>25.83542374</v>
      </c>
      <c r="U1637">
        <f t="shared" si="50"/>
        <v>0</v>
      </c>
      <c r="V1637">
        <f t="shared" si="51"/>
        <v>0</v>
      </c>
    </row>
    <row r="1638" spans="1:22" x14ac:dyDescent="0.2">
      <c r="A1638" t="s">
        <v>2813</v>
      </c>
      <c r="B1638" t="s">
        <v>36</v>
      </c>
      <c r="C1638" t="s">
        <v>76</v>
      </c>
      <c r="D1638" t="s">
        <v>77</v>
      </c>
      <c r="E1638">
        <v>11</v>
      </c>
      <c r="F1638" t="s">
        <v>127</v>
      </c>
      <c r="G1638">
        <v>59</v>
      </c>
      <c r="H1638">
        <v>0</v>
      </c>
      <c r="I1638">
        <v>69</v>
      </c>
      <c r="J1638">
        <v>93</v>
      </c>
      <c r="K1638">
        <v>66</v>
      </c>
      <c r="L1638">
        <v>69</v>
      </c>
      <c r="M1638">
        <v>0</v>
      </c>
      <c r="N1638">
        <v>1</v>
      </c>
      <c r="O1638" s="1" t="s">
        <v>2876</v>
      </c>
      <c r="P1638">
        <v>0</v>
      </c>
      <c r="Q1638">
        <v>0</v>
      </c>
      <c r="R1638">
        <v>0</v>
      </c>
      <c r="S1638">
        <v>0</v>
      </c>
      <c r="T1638">
        <v>25.83542374</v>
      </c>
      <c r="U1638">
        <f t="shared" si="50"/>
        <v>0</v>
      </c>
      <c r="V1638">
        <f t="shared" si="51"/>
        <v>0</v>
      </c>
    </row>
    <row r="1639" spans="1:22" x14ac:dyDescent="0.2">
      <c r="A1639" t="s">
        <v>2813</v>
      </c>
      <c r="B1639" t="s">
        <v>36</v>
      </c>
      <c r="C1639" t="s">
        <v>76</v>
      </c>
      <c r="D1639" t="s">
        <v>77</v>
      </c>
      <c r="E1639" s="1" t="s">
        <v>89</v>
      </c>
      <c r="F1639" t="s">
        <v>90</v>
      </c>
      <c r="G1639">
        <v>35</v>
      </c>
      <c r="H1639">
        <v>0</v>
      </c>
      <c r="I1639">
        <v>191</v>
      </c>
      <c r="J1639">
        <v>94</v>
      </c>
      <c r="K1639">
        <v>71</v>
      </c>
      <c r="L1639">
        <v>191</v>
      </c>
      <c r="M1639">
        <v>0</v>
      </c>
      <c r="N1639">
        <v>1</v>
      </c>
      <c r="O1639" s="1" t="s">
        <v>2877</v>
      </c>
      <c r="P1639">
        <v>0</v>
      </c>
      <c r="Q1639">
        <v>0</v>
      </c>
      <c r="R1639">
        <v>0</v>
      </c>
      <c r="S1639">
        <v>0</v>
      </c>
      <c r="T1639">
        <v>25.83542374</v>
      </c>
      <c r="U1639">
        <f t="shared" si="50"/>
        <v>0</v>
      </c>
      <c r="V1639">
        <f t="shared" si="51"/>
        <v>0</v>
      </c>
    </row>
    <row r="1640" spans="1:22" x14ac:dyDescent="0.2">
      <c r="A1640" t="s">
        <v>2813</v>
      </c>
      <c r="B1640" t="s">
        <v>36</v>
      </c>
      <c r="C1640" t="s">
        <v>76</v>
      </c>
      <c r="D1640" t="s">
        <v>77</v>
      </c>
      <c r="E1640">
        <v>13</v>
      </c>
      <c r="F1640" t="s">
        <v>91</v>
      </c>
      <c r="G1640">
        <v>68</v>
      </c>
      <c r="H1640">
        <v>1248</v>
      </c>
      <c r="I1640">
        <v>27286</v>
      </c>
      <c r="J1640">
        <v>114</v>
      </c>
      <c r="K1640">
        <v>69</v>
      </c>
      <c r="L1640">
        <v>26038</v>
      </c>
      <c r="M1640" s="1" t="s">
        <v>2878</v>
      </c>
      <c r="N1640" s="1" t="s">
        <v>2879</v>
      </c>
      <c r="O1640" s="1" t="s">
        <v>2880</v>
      </c>
      <c r="P1640">
        <v>0</v>
      </c>
      <c r="Q1640">
        <v>0</v>
      </c>
      <c r="R1640">
        <v>0</v>
      </c>
      <c r="S1640">
        <v>0</v>
      </c>
      <c r="T1640">
        <v>25.83542374</v>
      </c>
      <c r="U1640">
        <f t="shared" si="50"/>
        <v>0</v>
      </c>
      <c r="V1640">
        <f t="shared" si="51"/>
        <v>0</v>
      </c>
    </row>
    <row r="1641" spans="1:22" x14ac:dyDescent="0.2">
      <c r="A1641" t="s">
        <v>2813</v>
      </c>
      <c r="B1641" t="s">
        <v>36</v>
      </c>
      <c r="C1641" t="s">
        <v>76</v>
      </c>
      <c r="D1641" t="s">
        <v>77</v>
      </c>
      <c r="E1641">
        <v>15</v>
      </c>
      <c r="F1641" t="s">
        <v>88</v>
      </c>
      <c r="G1641">
        <v>74</v>
      </c>
      <c r="H1641">
        <v>0</v>
      </c>
      <c r="I1641">
        <v>1252</v>
      </c>
      <c r="J1641">
        <v>110</v>
      </c>
      <c r="K1641">
        <v>78</v>
      </c>
      <c r="L1641">
        <v>1252</v>
      </c>
      <c r="M1641">
        <v>0</v>
      </c>
      <c r="N1641">
        <v>1</v>
      </c>
      <c r="O1641" s="1" t="s">
        <v>2881</v>
      </c>
      <c r="P1641">
        <v>0</v>
      </c>
      <c r="Q1641">
        <v>0</v>
      </c>
      <c r="R1641">
        <v>0</v>
      </c>
      <c r="S1641">
        <v>0</v>
      </c>
      <c r="T1641">
        <v>25.83542374</v>
      </c>
      <c r="U1641">
        <f t="shared" si="50"/>
        <v>0</v>
      </c>
      <c r="V1641">
        <f t="shared" si="51"/>
        <v>0</v>
      </c>
    </row>
    <row r="1642" spans="1:22" x14ac:dyDescent="0.2">
      <c r="A1642" t="s">
        <v>2813</v>
      </c>
      <c r="B1642" t="s">
        <v>36</v>
      </c>
      <c r="C1642" t="s">
        <v>76</v>
      </c>
      <c r="D1642" t="s">
        <v>77</v>
      </c>
      <c r="E1642" s="1" t="s">
        <v>89</v>
      </c>
      <c r="F1642" t="s">
        <v>90</v>
      </c>
      <c r="G1642">
        <v>38</v>
      </c>
      <c r="H1642">
        <v>0</v>
      </c>
      <c r="I1642">
        <v>2073</v>
      </c>
      <c r="J1642">
        <v>138</v>
      </c>
      <c r="K1642">
        <v>81</v>
      </c>
      <c r="L1642">
        <v>2073</v>
      </c>
      <c r="M1642">
        <v>0</v>
      </c>
      <c r="N1642">
        <v>1</v>
      </c>
      <c r="O1642" s="1" t="s">
        <v>2882</v>
      </c>
      <c r="P1642">
        <v>0</v>
      </c>
      <c r="Q1642">
        <v>0</v>
      </c>
      <c r="R1642">
        <v>0</v>
      </c>
      <c r="S1642">
        <v>0</v>
      </c>
      <c r="T1642">
        <v>25.83542374</v>
      </c>
      <c r="U1642">
        <f t="shared" si="50"/>
        <v>0</v>
      </c>
      <c r="V1642">
        <f t="shared" si="51"/>
        <v>0</v>
      </c>
    </row>
    <row r="1643" spans="1:22" x14ac:dyDescent="0.2">
      <c r="A1643" t="s">
        <v>2813</v>
      </c>
      <c r="B1643" t="s">
        <v>36</v>
      </c>
      <c r="C1643" t="s">
        <v>76</v>
      </c>
      <c r="D1643" t="s">
        <v>77</v>
      </c>
      <c r="E1643" s="1" t="s">
        <v>163</v>
      </c>
      <c r="F1643" t="s">
        <v>224</v>
      </c>
      <c r="G1643">
        <v>42</v>
      </c>
      <c r="H1643">
        <v>246</v>
      </c>
      <c r="I1643">
        <v>1015</v>
      </c>
      <c r="J1643">
        <v>116</v>
      </c>
      <c r="K1643">
        <v>80</v>
      </c>
      <c r="L1643">
        <v>769</v>
      </c>
      <c r="M1643" s="1" t="s">
        <v>2883</v>
      </c>
      <c r="N1643" s="1" t="s">
        <v>2884</v>
      </c>
      <c r="O1643" s="1" t="s">
        <v>2885</v>
      </c>
      <c r="P1643">
        <v>0</v>
      </c>
      <c r="Q1643">
        <v>0</v>
      </c>
      <c r="R1643">
        <v>0</v>
      </c>
      <c r="S1643">
        <v>0</v>
      </c>
      <c r="T1643">
        <v>25.83542374</v>
      </c>
      <c r="U1643">
        <f t="shared" si="50"/>
        <v>0</v>
      </c>
      <c r="V1643">
        <f t="shared" si="51"/>
        <v>0</v>
      </c>
    </row>
    <row r="1644" spans="1:22" x14ac:dyDescent="0.2">
      <c r="A1644" t="s">
        <v>2813</v>
      </c>
      <c r="B1644" t="s">
        <v>36</v>
      </c>
      <c r="C1644" t="s">
        <v>76</v>
      </c>
      <c r="D1644" t="s">
        <v>77</v>
      </c>
      <c r="E1644" s="1" t="s">
        <v>99</v>
      </c>
      <c r="F1644" t="s">
        <v>100</v>
      </c>
      <c r="G1644">
        <v>39</v>
      </c>
      <c r="H1644">
        <v>91581</v>
      </c>
      <c r="I1644">
        <v>5565</v>
      </c>
      <c r="J1644">
        <v>112</v>
      </c>
      <c r="K1644">
        <v>93</v>
      </c>
      <c r="L1644">
        <v>-86016</v>
      </c>
      <c r="M1644" s="1" t="s">
        <v>2886</v>
      </c>
      <c r="N1644">
        <v>5.7284911370514398E-2</v>
      </c>
      <c r="O1644" s="1" t="s">
        <v>2887</v>
      </c>
      <c r="P1644">
        <v>0</v>
      </c>
      <c r="Q1644">
        <v>0</v>
      </c>
      <c r="R1644">
        <v>0</v>
      </c>
      <c r="S1644">
        <v>0</v>
      </c>
      <c r="T1644">
        <v>25.83542374</v>
      </c>
      <c r="U1644">
        <f t="shared" si="50"/>
        <v>0</v>
      </c>
      <c r="V1644">
        <f t="shared" si="51"/>
        <v>0</v>
      </c>
    </row>
    <row r="1645" spans="1:22" x14ac:dyDescent="0.2">
      <c r="A1645" t="s">
        <v>2813</v>
      </c>
      <c r="B1645" t="s">
        <v>36</v>
      </c>
      <c r="C1645" t="s">
        <v>76</v>
      </c>
      <c r="D1645" t="s">
        <v>77</v>
      </c>
      <c r="E1645" s="1" t="s">
        <v>89</v>
      </c>
      <c r="F1645" t="s">
        <v>90</v>
      </c>
      <c r="G1645">
        <v>34</v>
      </c>
      <c r="H1645">
        <v>0</v>
      </c>
      <c r="I1645">
        <v>61067</v>
      </c>
      <c r="J1645">
        <v>128</v>
      </c>
      <c r="K1645">
        <v>64</v>
      </c>
      <c r="L1645">
        <v>61067</v>
      </c>
      <c r="M1645">
        <v>0</v>
      </c>
      <c r="N1645">
        <v>1</v>
      </c>
      <c r="O1645" s="1" t="s">
        <v>2888</v>
      </c>
      <c r="P1645">
        <v>0</v>
      </c>
      <c r="Q1645">
        <v>0</v>
      </c>
      <c r="R1645">
        <v>0</v>
      </c>
      <c r="S1645">
        <v>0</v>
      </c>
      <c r="T1645">
        <v>25.83542374</v>
      </c>
      <c r="U1645">
        <f t="shared" si="50"/>
        <v>0</v>
      </c>
      <c r="V1645">
        <f t="shared" si="51"/>
        <v>0</v>
      </c>
    </row>
    <row r="1646" spans="1:22" x14ac:dyDescent="0.2">
      <c r="A1646" t="s">
        <v>2813</v>
      </c>
      <c r="B1646" t="s">
        <v>36</v>
      </c>
      <c r="C1646" t="s">
        <v>76</v>
      </c>
      <c r="D1646" t="s">
        <v>77</v>
      </c>
      <c r="E1646" s="1" t="s">
        <v>163</v>
      </c>
      <c r="F1646" t="s">
        <v>224</v>
      </c>
      <c r="G1646">
        <v>43</v>
      </c>
      <c r="H1646">
        <v>300</v>
      </c>
      <c r="I1646">
        <v>43502</v>
      </c>
      <c r="J1646">
        <v>58</v>
      </c>
      <c r="K1646">
        <v>41</v>
      </c>
      <c r="L1646">
        <v>43202</v>
      </c>
      <c r="M1646">
        <v>6.8490023286607903E-3</v>
      </c>
      <c r="N1646" s="1" t="s">
        <v>2889</v>
      </c>
      <c r="O1646" s="1" t="s">
        <v>2890</v>
      </c>
      <c r="P1646">
        <v>0</v>
      </c>
      <c r="Q1646">
        <v>0</v>
      </c>
      <c r="R1646">
        <v>0</v>
      </c>
      <c r="S1646">
        <v>0</v>
      </c>
      <c r="T1646">
        <v>25.83542374</v>
      </c>
      <c r="U1646">
        <f t="shared" si="50"/>
        <v>0</v>
      </c>
      <c r="V1646">
        <f t="shared" si="51"/>
        <v>0</v>
      </c>
    </row>
    <row r="1647" spans="1:22" x14ac:dyDescent="0.2">
      <c r="A1647" t="s">
        <v>2813</v>
      </c>
      <c r="B1647" t="s">
        <v>36</v>
      </c>
      <c r="C1647" t="s">
        <v>76</v>
      </c>
      <c r="D1647" t="s">
        <v>77</v>
      </c>
      <c r="E1647" s="1" t="s">
        <v>163</v>
      </c>
      <c r="F1647" t="s">
        <v>224</v>
      </c>
      <c r="G1647">
        <v>41</v>
      </c>
      <c r="H1647">
        <v>0</v>
      </c>
      <c r="I1647">
        <v>41773</v>
      </c>
      <c r="J1647">
        <v>66</v>
      </c>
      <c r="K1647">
        <v>58</v>
      </c>
      <c r="L1647">
        <v>41773</v>
      </c>
      <c r="M1647">
        <v>0</v>
      </c>
      <c r="N1647">
        <v>1</v>
      </c>
      <c r="O1647" s="1" t="s">
        <v>2891</v>
      </c>
      <c r="P1647">
        <v>0</v>
      </c>
      <c r="Q1647">
        <v>0</v>
      </c>
      <c r="R1647">
        <v>0</v>
      </c>
      <c r="S1647">
        <v>0</v>
      </c>
      <c r="T1647">
        <v>25.83542374</v>
      </c>
      <c r="U1647">
        <f t="shared" si="50"/>
        <v>0</v>
      </c>
      <c r="V1647">
        <f t="shared" si="51"/>
        <v>0</v>
      </c>
    </row>
    <row r="1648" spans="1:22" x14ac:dyDescent="0.2">
      <c r="A1648" t="s">
        <v>2813</v>
      </c>
      <c r="B1648" t="s">
        <v>36</v>
      </c>
      <c r="C1648" t="s">
        <v>76</v>
      </c>
      <c r="D1648" t="s">
        <v>77</v>
      </c>
      <c r="E1648" s="1" t="s">
        <v>138</v>
      </c>
      <c r="F1648" t="s">
        <v>139</v>
      </c>
      <c r="G1648">
        <v>24</v>
      </c>
      <c r="H1648">
        <v>1529</v>
      </c>
      <c r="I1648">
        <v>6253</v>
      </c>
      <c r="J1648">
        <v>84</v>
      </c>
      <c r="K1648">
        <v>74</v>
      </c>
      <c r="L1648">
        <v>4724</v>
      </c>
      <c r="M1648" s="1" t="s">
        <v>2892</v>
      </c>
      <c r="N1648">
        <v>0.80352094577229505</v>
      </c>
      <c r="O1648" s="1" t="s">
        <v>2893</v>
      </c>
      <c r="P1648">
        <v>0</v>
      </c>
      <c r="Q1648">
        <v>0</v>
      </c>
      <c r="R1648">
        <v>0</v>
      </c>
      <c r="S1648">
        <v>0</v>
      </c>
      <c r="T1648">
        <v>25.83542374</v>
      </c>
      <c r="U1648">
        <f t="shared" si="50"/>
        <v>0</v>
      </c>
      <c r="V1648">
        <f t="shared" si="51"/>
        <v>0</v>
      </c>
    </row>
    <row r="1649" spans="1:22" x14ac:dyDescent="0.2">
      <c r="A1649" t="s">
        <v>2813</v>
      </c>
      <c r="B1649" t="s">
        <v>36</v>
      </c>
      <c r="C1649" t="s">
        <v>76</v>
      </c>
      <c r="D1649" t="s">
        <v>77</v>
      </c>
      <c r="E1649" s="1" t="s">
        <v>155</v>
      </c>
      <c r="F1649" t="s">
        <v>156</v>
      </c>
      <c r="G1649" s="1" t="s">
        <v>85</v>
      </c>
      <c r="H1649">
        <v>214</v>
      </c>
      <c r="I1649">
        <v>30624</v>
      </c>
      <c r="J1649">
        <v>72</v>
      </c>
      <c r="K1649">
        <v>50</v>
      </c>
      <c r="L1649">
        <v>30410</v>
      </c>
      <c r="M1649">
        <v>6.9394902393151298E-3</v>
      </c>
      <c r="N1649" s="1" t="s">
        <v>2894</v>
      </c>
      <c r="O1649" s="1" t="s">
        <v>2895</v>
      </c>
      <c r="P1649">
        <v>0</v>
      </c>
      <c r="Q1649">
        <v>0</v>
      </c>
      <c r="R1649">
        <v>0</v>
      </c>
      <c r="S1649">
        <v>0</v>
      </c>
      <c r="T1649">
        <v>25.83542374</v>
      </c>
      <c r="U1649">
        <f t="shared" si="50"/>
        <v>0</v>
      </c>
      <c r="V1649">
        <f t="shared" si="51"/>
        <v>0</v>
      </c>
    </row>
    <row r="1650" spans="1:22" x14ac:dyDescent="0.2">
      <c r="A1650" t="s">
        <v>2813</v>
      </c>
      <c r="B1650" t="s">
        <v>36</v>
      </c>
      <c r="C1650" t="s">
        <v>76</v>
      </c>
      <c r="D1650" t="s">
        <v>77</v>
      </c>
      <c r="E1650">
        <v>21</v>
      </c>
      <c r="F1650" t="s">
        <v>212</v>
      </c>
      <c r="G1650">
        <v>97</v>
      </c>
      <c r="H1650">
        <v>4118</v>
      </c>
      <c r="I1650">
        <v>700414</v>
      </c>
      <c r="J1650">
        <v>72</v>
      </c>
      <c r="K1650">
        <v>26</v>
      </c>
      <c r="L1650">
        <v>696296</v>
      </c>
      <c r="M1650">
        <v>5.8450148467351299E-3</v>
      </c>
      <c r="N1650" s="1" t="s">
        <v>2896</v>
      </c>
      <c r="O1650">
        <v>4.94366967081476E-3</v>
      </c>
      <c r="P1650">
        <v>0</v>
      </c>
      <c r="Q1650">
        <v>0</v>
      </c>
      <c r="R1650">
        <v>0</v>
      </c>
      <c r="S1650">
        <v>0</v>
      </c>
      <c r="T1650">
        <v>25.83542374</v>
      </c>
      <c r="U1650">
        <f t="shared" si="50"/>
        <v>0</v>
      </c>
      <c r="V1650">
        <f t="shared" si="51"/>
        <v>0</v>
      </c>
    </row>
    <row r="1651" spans="1:22" x14ac:dyDescent="0.2">
      <c r="A1651" t="s">
        <v>2813</v>
      </c>
      <c r="B1651" t="s">
        <v>36</v>
      </c>
      <c r="C1651" t="s">
        <v>76</v>
      </c>
      <c r="D1651" t="s">
        <v>77</v>
      </c>
      <c r="E1651">
        <v>99</v>
      </c>
      <c r="F1651" t="s">
        <v>78</v>
      </c>
      <c r="G1651">
        <v>99</v>
      </c>
      <c r="H1651">
        <v>73067</v>
      </c>
      <c r="I1651">
        <v>915529</v>
      </c>
      <c r="J1651">
        <v>85</v>
      </c>
      <c r="K1651">
        <v>49</v>
      </c>
      <c r="L1651">
        <v>842462</v>
      </c>
      <c r="M1651">
        <v>7.3909868136225507E-2</v>
      </c>
      <c r="N1651" s="1" t="s">
        <v>2897</v>
      </c>
      <c r="O1651">
        <v>6.9369341092935296E-3</v>
      </c>
      <c r="P1651">
        <v>0</v>
      </c>
      <c r="Q1651">
        <v>0</v>
      </c>
      <c r="R1651">
        <v>0</v>
      </c>
      <c r="S1651">
        <v>0</v>
      </c>
      <c r="T1651">
        <v>25.83542374</v>
      </c>
      <c r="U1651">
        <f t="shared" si="50"/>
        <v>0</v>
      </c>
      <c r="V1651">
        <f t="shared" si="51"/>
        <v>0</v>
      </c>
    </row>
    <row r="1652" spans="1:22" x14ac:dyDescent="0.2">
      <c r="A1652" t="s">
        <v>2898</v>
      </c>
      <c r="B1652" t="s">
        <v>37</v>
      </c>
      <c r="C1652" t="s">
        <v>76</v>
      </c>
      <c r="D1652" t="s">
        <v>77</v>
      </c>
      <c r="E1652" s="1" t="s">
        <v>82</v>
      </c>
      <c r="F1652" t="s">
        <v>83</v>
      </c>
      <c r="G1652" s="1" t="s">
        <v>99</v>
      </c>
      <c r="H1652">
        <v>24266254</v>
      </c>
      <c r="I1652">
        <v>0</v>
      </c>
      <c r="J1652">
        <v>18</v>
      </c>
      <c r="K1652">
        <v>90</v>
      </c>
      <c r="L1652">
        <v>-24266254</v>
      </c>
      <c r="M1652">
        <v>1</v>
      </c>
      <c r="N1652">
        <v>0</v>
      </c>
      <c r="O1652" s="1" t="s">
        <v>2899</v>
      </c>
      <c r="P1652">
        <v>0</v>
      </c>
      <c r="Q1652">
        <v>0</v>
      </c>
      <c r="R1652">
        <v>0</v>
      </c>
      <c r="S1652">
        <v>0</v>
      </c>
      <c r="T1652">
        <v>25.226674899999999</v>
      </c>
      <c r="U1652">
        <f t="shared" si="50"/>
        <v>0</v>
      </c>
      <c r="V1652">
        <f t="shared" si="51"/>
        <v>0</v>
      </c>
    </row>
    <row r="1653" spans="1:22" x14ac:dyDescent="0.2">
      <c r="A1653" t="s">
        <v>2898</v>
      </c>
      <c r="B1653" t="s">
        <v>37</v>
      </c>
      <c r="C1653" t="s">
        <v>76</v>
      </c>
      <c r="D1653" t="s">
        <v>77</v>
      </c>
      <c r="E1653" s="1" t="s">
        <v>82</v>
      </c>
      <c r="F1653" t="s">
        <v>83</v>
      </c>
      <c r="G1653" s="1" t="s">
        <v>93</v>
      </c>
      <c r="H1653">
        <v>4537352</v>
      </c>
      <c r="I1653">
        <v>2532143</v>
      </c>
      <c r="J1653">
        <v>21</v>
      </c>
      <c r="K1653">
        <v>49</v>
      </c>
      <c r="L1653">
        <v>-2005209</v>
      </c>
      <c r="M1653" s="1" t="s">
        <v>2900</v>
      </c>
      <c r="N1653" s="1" t="s">
        <v>2901</v>
      </c>
      <c r="O1653">
        <v>9.6702303441058707E-2</v>
      </c>
      <c r="P1653">
        <v>0</v>
      </c>
      <c r="Q1653">
        <v>0</v>
      </c>
      <c r="R1653">
        <v>0</v>
      </c>
      <c r="S1653">
        <v>0</v>
      </c>
      <c r="T1653">
        <v>25.226674899999999</v>
      </c>
      <c r="U1653">
        <f t="shared" si="50"/>
        <v>0</v>
      </c>
      <c r="V1653">
        <f t="shared" si="51"/>
        <v>0</v>
      </c>
    </row>
    <row r="1654" spans="1:22" x14ac:dyDescent="0.2">
      <c r="A1654" t="s">
        <v>2898</v>
      </c>
      <c r="B1654" t="s">
        <v>37</v>
      </c>
      <c r="C1654" t="s">
        <v>76</v>
      </c>
      <c r="D1654" t="s">
        <v>77</v>
      </c>
      <c r="E1654">
        <v>15</v>
      </c>
      <c r="F1654" t="s">
        <v>88</v>
      </c>
      <c r="G1654">
        <v>79</v>
      </c>
      <c r="H1654">
        <v>680978</v>
      </c>
      <c r="I1654">
        <v>0</v>
      </c>
      <c r="J1654">
        <v>27</v>
      </c>
      <c r="K1654">
        <v>54</v>
      </c>
      <c r="L1654">
        <v>-680978</v>
      </c>
      <c r="M1654">
        <v>1</v>
      </c>
      <c r="N1654">
        <v>0</v>
      </c>
      <c r="O1654">
        <v>9.3149710400368402E-3</v>
      </c>
      <c r="P1654">
        <v>0</v>
      </c>
      <c r="Q1654">
        <v>0</v>
      </c>
      <c r="R1654">
        <v>0</v>
      </c>
      <c r="S1654">
        <v>0</v>
      </c>
      <c r="T1654">
        <v>25.226674899999999</v>
      </c>
      <c r="U1654">
        <f t="shared" si="50"/>
        <v>0</v>
      </c>
      <c r="V1654">
        <f t="shared" si="51"/>
        <v>0</v>
      </c>
    </row>
    <row r="1655" spans="1:22" x14ac:dyDescent="0.2">
      <c r="A1655" t="s">
        <v>2898</v>
      </c>
      <c r="B1655" t="s">
        <v>37</v>
      </c>
      <c r="C1655" t="s">
        <v>76</v>
      </c>
      <c r="D1655" t="s">
        <v>77</v>
      </c>
      <c r="E1655" s="1" t="s">
        <v>82</v>
      </c>
      <c r="F1655" t="s">
        <v>83</v>
      </c>
      <c r="G1655">
        <v>12</v>
      </c>
      <c r="H1655">
        <v>6116393</v>
      </c>
      <c r="I1655">
        <v>22129</v>
      </c>
      <c r="J1655">
        <v>31</v>
      </c>
      <c r="K1655">
        <v>81</v>
      </c>
      <c r="L1655">
        <v>-6094264</v>
      </c>
      <c r="M1655" s="1" t="s">
        <v>2902</v>
      </c>
      <c r="N1655">
        <v>3.6049394300452101E-3</v>
      </c>
      <c r="O1655">
        <v>8.3967697427272295E-2</v>
      </c>
      <c r="P1655">
        <v>0</v>
      </c>
      <c r="Q1655">
        <v>0</v>
      </c>
      <c r="R1655">
        <v>0</v>
      </c>
      <c r="S1655">
        <v>0</v>
      </c>
      <c r="T1655">
        <v>25.226674899999999</v>
      </c>
      <c r="U1655">
        <f t="shared" si="50"/>
        <v>0</v>
      </c>
      <c r="V1655">
        <f t="shared" si="51"/>
        <v>0</v>
      </c>
    </row>
    <row r="1656" spans="1:22" x14ac:dyDescent="0.2">
      <c r="A1656" t="s">
        <v>2898</v>
      </c>
      <c r="B1656" t="s">
        <v>37</v>
      </c>
      <c r="C1656" t="s">
        <v>76</v>
      </c>
      <c r="D1656" t="s">
        <v>77</v>
      </c>
      <c r="E1656" s="1" t="s">
        <v>110</v>
      </c>
      <c r="F1656" t="s">
        <v>111</v>
      </c>
      <c r="G1656">
        <v>15</v>
      </c>
      <c r="H1656">
        <v>19252101</v>
      </c>
      <c r="I1656">
        <v>0</v>
      </c>
      <c r="J1656">
        <v>37</v>
      </c>
      <c r="K1656">
        <v>86</v>
      </c>
      <c r="L1656">
        <v>-19252101</v>
      </c>
      <c r="M1656">
        <v>1</v>
      </c>
      <c r="N1656">
        <v>0</v>
      </c>
      <c r="O1656" s="1" t="s">
        <v>2903</v>
      </c>
      <c r="P1656">
        <v>0</v>
      </c>
      <c r="Q1656">
        <v>0</v>
      </c>
      <c r="R1656">
        <v>0</v>
      </c>
      <c r="S1656">
        <v>0</v>
      </c>
      <c r="T1656">
        <v>25.226674899999999</v>
      </c>
      <c r="U1656">
        <f t="shared" si="50"/>
        <v>0</v>
      </c>
      <c r="V1656">
        <f t="shared" si="51"/>
        <v>0</v>
      </c>
    </row>
    <row r="1657" spans="1:22" x14ac:dyDescent="0.2">
      <c r="A1657" t="s">
        <v>2898</v>
      </c>
      <c r="B1657" t="s">
        <v>37</v>
      </c>
      <c r="C1657" t="s">
        <v>76</v>
      </c>
      <c r="D1657" t="s">
        <v>77</v>
      </c>
      <c r="E1657">
        <v>16</v>
      </c>
      <c r="F1657" t="s">
        <v>95</v>
      </c>
      <c r="G1657">
        <v>84</v>
      </c>
      <c r="H1657">
        <v>353203</v>
      </c>
      <c r="I1657">
        <v>0</v>
      </c>
      <c r="J1657">
        <v>120</v>
      </c>
      <c r="K1657">
        <v>117</v>
      </c>
      <c r="L1657">
        <v>-353203</v>
      </c>
      <c r="M1657">
        <v>1</v>
      </c>
      <c r="N1657">
        <v>0</v>
      </c>
      <c r="O1657">
        <v>4.8313979544921098E-3</v>
      </c>
      <c r="P1657">
        <v>0</v>
      </c>
      <c r="Q1657">
        <v>0</v>
      </c>
      <c r="R1657">
        <v>0</v>
      </c>
      <c r="S1657">
        <v>0</v>
      </c>
      <c r="T1657">
        <v>25.226674899999999</v>
      </c>
      <c r="U1657">
        <f t="shared" si="50"/>
        <v>0</v>
      </c>
      <c r="V1657">
        <f t="shared" si="51"/>
        <v>0</v>
      </c>
    </row>
    <row r="1658" spans="1:22" x14ac:dyDescent="0.2">
      <c r="A1658" t="s">
        <v>2898</v>
      </c>
      <c r="B1658" t="s">
        <v>37</v>
      </c>
      <c r="C1658" t="s">
        <v>76</v>
      </c>
      <c r="D1658" t="s">
        <v>77</v>
      </c>
      <c r="E1658">
        <v>20</v>
      </c>
      <c r="F1658" t="s">
        <v>104</v>
      </c>
      <c r="G1658">
        <v>94</v>
      </c>
      <c r="H1658">
        <v>90709</v>
      </c>
      <c r="I1658">
        <v>629</v>
      </c>
      <c r="J1658">
        <v>88</v>
      </c>
      <c r="K1658">
        <v>97</v>
      </c>
      <c r="L1658">
        <v>-90080</v>
      </c>
      <c r="M1658" s="1" t="s">
        <v>2904</v>
      </c>
      <c r="N1658">
        <v>6.8865094484223399E-3</v>
      </c>
      <c r="O1658">
        <v>1.24939546483863E-3</v>
      </c>
      <c r="P1658">
        <v>0</v>
      </c>
      <c r="Q1658">
        <v>0</v>
      </c>
      <c r="R1658">
        <v>0</v>
      </c>
      <c r="S1658">
        <v>0</v>
      </c>
      <c r="T1658">
        <v>25.226674899999999</v>
      </c>
      <c r="U1658">
        <f t="shared" si="50"/>
        <v>0</v>
      </c>
      <c r="V1658">
        <f t="shared" si="51"/>
        <v>0</v>
      </c>
    </row>
    <row r="1659" spans="1:22" x14ac:dyDescent="0.2">
      <c r="A1659" t="s">
        <v>2898</v>
      </c>
      <c r="B1659" t="s">
        <v>37</v>
      </c>
      <c r="C1659" t="s">
        <v>76</v>
      </c>
      <c r="D1659" t="s">
        <v>77</v>
      </c>
      <c r="E1659" s="1" t="s">
        <v>89</v>
      </c>
      <c r="F1659" t="s">
        <v>90</v>
      </c>
      <c r="G1659">
        <v>28</v>
      </c>
      <c r="H1659">
        <v>828619</v>
      </c>
      <c r="I1659">
        <v>0</v>
      </c>
      <c r="J1659">
        <v>108</v>
      </c>
      <c r="K1659">
        <v>85</v>
      </c>
      <c r="L1659">
        <v>-828619</v>
      </c>
      <c r="M1659">
        <v>1</v>
      </c>
      <c r="N1659">
        <v>0</v>
      </c>
      <c r="O1659" s="1" t="s">
        <v>2905</v>
      </c>
      <c r="P1659">
        <v>0</v>
      </c>
      <c r="Q1659">
        <v>0</v>
      </c>
      <c r="R1659">
        <v>0</v>
      </c>
      <c r="S1659">
        <v>0</v>
      </c>
      <c r="T1659">
        <v>25.226674899999999</v>
      </c>
      <c r="U1659">
        <f t="shared" si="50"/>
        <v>0</v>
      </c>
      <c r="V1659">
        <f t="shared" si="51"/>
        <v>0</v>
      </c>
    </row>
    <row r="1660" spans="1:22" x14ac:dyDescent="0.2">
      <c r="A1660" t="s">
        <v>2898</v>
      </c>
      <c r="B1660" t="s">
        <v>37</v>
      </c>
      <c r="C1660" t="s">
        <v>76</v>
      </c>
      <c r="D1660" t="s">
        <v>77</v>
      </c>
      <c r="E1660">
        <v>17</v>
      </c>
      <c r="F1660" t="s">
        <v>97</v>
      </c>
      <c r="G1660">
        <v>88</v>
      </c>
      <c r="H1660">
        <v>1917705</v>
      </c>
      <c r="I1660">
        <v>526</v>
      </c>
      <c r="J1660">
        <v>54</v>
      </c>
      <c r="K1660">
        <v>83</v>
      </c>
      <c r="L1660">
        <v>-1917179</v>
      </c>
      <c r="M1660" s="1" t="s">
        <v>2906</v>
      </c>
      <c r="N1660" s="1" t="s">
        <v>2907</v>
      </c>
      <c r="O1660">
        <v>2.6239124043802999E-2</v>
      </c>
      <c r="P1660">
        <v>0</v>
      </c>
      <c r="Q1660">
        <v>0</v>
      </c>
      <c r="R1660">
        <v>0</v>
      </c>
      <c r="S1660">
        <v>0</v>
      </c>
      <c r="T1660">
        <v>25.226674899999999</v>
      </c>
      <c r="U1660">
        <f t="shared" si="50"/>
        <v>0</v>
      </c>
      <c r="V1660">
        <f t="shared" si="51"/>
        <v>0</v>
      </c>
    </row>
    <row r="1661" spans="1:22" x14ac:dyDescent="0.2">
      <c r="A1661" t="s">
        <v>2898</v>
      </c>
      <c r="B1661" t="s">
        <v>37</v>
      </c>
      <c r="C1661" t="s">
        <v>76</v>
      </c>
      <c r="D1661" t="s">
        <v>77</v>
      </c>
      <c r="E1661" s="1" t="s">
        <v>138</v>
      </c>
      <c r="F1661" t="s">
        <v>139</v>
      </c>
      <c r="G1661">
        <v>19</v>
      </c>
      <c r="H1661">
        <v>131399</v>
      </c>
      <c r="I1661">
        <v>14526</v>
      </c>
      <c r="J1661">
        <v>49</v>
      </c>
      <c r="K1661">
        <v>70</v>
      </c>
      <c r="L1661">
        <v>-116873</v>
      </c>
      <c r="M1661" s="1" t="s">
        <v>2908</v>
      </c>
      <c r="N1661">
        <v>9.9544286448517996E-2</v>
      </c>
      <c r="O1661">
        <v>1.9960808557947201E-3</v>
      </c>
      <c r="P1661">
        <v>0</v>
      </c>
      <c r="Q1661">
        <v>0</v>
      </c>
      <c r="R1661">
        <v>0</v>
      </c>
      <c r="S1661">
        <v>0</v>
      </c>
      <c r="T1661">
        <v>25.226674899999999</v>
      </c>
      <c r="U1661">
        <f t="shared" si="50"/>
        <v>0</v>
      </c>
      <c r="V1661">
        <f t="shared" si="51"/>
        <v>0</v>
      </c>
    </row>
    <row r="1662" spans="1:22" x14ac:dyDescent="0.2">
      <c r="A1662" t="s">
        <v>2898</v>
      </c>
      <c r="B1662" t="s">
        <v>37</v>
      </c>
      <c r="C1662" t="s">
        <v>76</v>
      </c>
      <c r="D1662" t="s">
        <v>77</v>
      </c>
      <c r="E1662">
        <v>18</v>
      </c>
      <c r="F1662" t="s">
        <v>147</v>
      </c>
      <c r="G1662">
        <v>90</v>
      </c>
      <c r="H1662">
        <v>56926</v>
      </c>
      <c r="I1662">
        <v>0</v>
      </c>
      <c r="J1662">
        <v>119</v>
      </c>
      <c r="K1662">
        <v>103</v>
      </c>
      <c r="L1662">
        <v>-56926</v>
      </c>
      <c r="M1662">
        <v>1</v>
      </c>
      <c r="N1662">
        <v>0</v>
      </c>
      <c r="O1662" s="1" t="s">
        <v>2909</v>
      </c>
      <c r="P1662">
        <v>0</v>
      </c>
      <c r="Q1662">
        <v>0</v>
      </c>
      <c r="R1662">
        <v>0</v>
      </c>
      <c r="S1662">
        <v>0</v>
      </c>
      <c r="T1662">
        <v>25.226674899999999</v>
      </c>
      <c r="U1662">
        <f t="shared" si="50"/>
        <v>0</v>
      </c>
      <c r="V1662">
        <f t="shared" si="51"/>
        <v>0</v>
      </c>
    </row>
    <row r="1663" spans="1:22" x14ac:dyDescent="0.2">
      <c r="A1663" t="s">
        <v>2898</v>
      </c>
      <c r="B1663" t="s">
        <v>37</v>
      </c>
      <c r="C1663" t="s">
        <v>76</v>
      </c>
      <c r="D1663" t="s">
        <v>77</v>
      </c>
      <c r="E1663" s="1" t="s">
        <v>85</v>
      </c>
      <c r="F1663" t="s">
        <v>86</v>
      </c>
      <c r="G1663">
        <v>27</v>
      </c>
      <c r="H1663">
        <v>2774505</v>
      </c>
      <c r="I1663">
        <v>0</v>
      </c>
      <c r="J1663">
        <v>113</v>
      </c>
      <c r="K1663">
        <v>91</v>
      </c>
      <c r="L1663">
        <v>-2774505</v>
      </c>
      <c r="M1663">
        <v>1</v>
      </c>
      <c r="N1663">
        <v>0</v>
      </c>
      <c r="O1663">
        <v>3.79519363700992E-2</v>
      </c>
      <c r="P1663">
        <v>0</v>
      </c>
      <c r="Q1663">
        <v>0</v>
      </c>
      <c r="R1663">
        <v>0</v>
      </c>
      <c r="S1663">
        <v>0</v>
      </c>
      <c r="T1663">
        <v>25.226674899999999</v>
      </c>
      <c r="U1663">
        <f t="shared" si="50"/>
        <v>0</v>
      </c>
      <c r="V1663">
        <f t="shared" si="51"/>
        <v>0</v>
      </c>
    </row>
    <row r="1664" spans="1:22" x14ac:dyDescent="0.2">
      <c r="A1664" t="s">
        <v>2898</v>
      </c>
      <c r="B1664" t="s">
        <v>37</v>
      </c>
      <c r="C1664" t="s">
        <v>76</v>
      </c>
      <c r="D1664" t="s">
        <v>77</v>
      </c>
      <c r="E1664" s="1" t="s">
        <v>138</v>
      </c>
      <c r="F1664" t="s">
        <v>139</v>
      </c>
      <c r="G1664">
        <v>22</v>
      </c>
      <c r="H1664">
        <v>24538</v>
      </c>
      <c r="I1664">
        <v>0</v>
      </c>
      <c r="J1664">
        <v>114</v>
      </c>
      <c r="K1664">
        <v>98</v>
      </c>
      <c r="L1664">
        <v>-24538</v>
      </c>
      <c r="M1664">
        <v>1</v>
      </c>
      <c r="N1664">
        <v>0</v>
      </c>
      <c r="O1664" s="1" t="s">
        <v>2910</v>
      </c>
      <c r="P1664">
        <v>0</v>
      </c>
      <c r="Q1664">
        <v>0</v>
      </c>
      <c r="R1664">
        <v>0</v>
      </c>
      <c r="S1664">
        <v>0</v>
      </c>
      <c r="T1664">
        <v>25.226674899999999</v>
      </c>
      <c r="U1664">
        <f t="shared" si="50"/>
        <v>0</v>
      </c>
      <c r="V1664">
        <f t="shared" si="51"/>
        <v>0</v>
      </c>
    </row>
    <row r="1665" spans="1:22" x14ac:dyDescent="0.2">
      <c r="A1665" t="s">
        <v>2898</v>
      </c>
      <c r="B1665" t="s">
        <v>37</v>
      </c>
      <c r="C1665" t="s">
        <v>76</v>
      </c>
      <c r="D1665" t="s">
        <v>77</v>
      </c>
      <c r="E1665">
        <v>16</v>
      </c>
      <c r="F1665" t="s">
        <v>95</v>
      </c>
      <c r="G1665">
        <v>85</v>
      </c>
      <c r="H1665">
        <v>1575755</v>
      </c>
      <c r="I1665">
        <v>0</v>
      </c>
      <c r="J1665">
        <v>94</v>
      </c>
      <c r="K1665">
        <v>117</v>
      </c>
      <c r="L1665">
        <v>-1575755</v>
      </c>
      <c r="M1665">
        <v>1</v>
      </c>
      <c r="N1665">
        <v>0</v>
      </c>
      <c r="O1665">
        <v>2.1554458721417199E-2</v>
      </c>
      <c r="P1665">
        <v>0</v>
      </c>
      <c r="Q1665">
        <v>0</v>
      </c>
      <c r="R1665">
        <v>0</v>
      </c>
      <c r="S1665">
        <v>0</v>
      </c>
      <c r="T1665">
        <v>25.226674899999999</v>
      </c>
      <c r="U1665">
        <f t="shared" si="50"/>
        <v>0</v>
      </c>
      <c r="V1665">
        <f t="shared" si="51"/>
        <v>0</v>
      </c>
    </row>
    <row r="1666" spans="1:22" x14ac:dyDescent="0.2">
      <c r="A1666" t="s">
        <v>2898</v>
      </c>
      <c r="B1666" t="s">
        <v>37</v>
      </c>
      <c r="C1666" t="s">
        <v>76</v>
      </c>
      <c r="D1666" t="s">
        <v>77</v>
      </c>
      <c r="E1666" s="1" t="s">
        <v>89</v>
      </c>
      <c r="F1666" t="s">
        <v>90</v>
      </c>
      <c r="G1666">
        <v>30</v>
      </c>
      <c r="H1666">
        <v>9211</v>
      </c>
      <c r="I1666">
        <v>2595</v>
      </c>
      <c r="J1666">
        <v>126</v>
      </c>
      <c r="K1666">
        <v>80</v>
      </c>
      <c r="L1666">
        <v>-6616</v>
      </c>
      <c r="M1666" s="1" t="s">
        <v>2911</v>
      </c>
      <c r="N1666" s="1" t="s">
        <v>2912</v>
      </c>
      <c r="O1666" s="1" t="s">
        <v>2913</v>
      </c>
      <c r="P1666">
        <v>0</v>
      </c>
      <c r="Q1666">
        <v>0</v>
      </c>
      <c r="R1666">
        <v>0</v>
      </c>
      <c r="S1666">
        <v>0</v>
      </c>
      <c r="T1666">
        <v>25.226674899999999</v>
      </c>
      <c r="U1666">
        <f t="shared" si="50"/>
        <v>0</v>
      </c>
      <c r="V1666">
        <f t="shared" si="51"/>
        <v>0</v>
      </c>
    </row>
    <row r="1667" spans="1:22" x14ac:dyDescent="0.2">
      <c r="A1667" t="s">
        <v>2898</v>
      </c>
      <c r="B1667" t="s">
        <v>37</v>
      </c>
      <c r="C1667" t="s">
        <v>76</v>
      </c>
      <c r="D1667" t="s">
        <v>77</v>
      </c>
      <c r="E1667">
        <v>11</v>
      </c>
      <c r="F1667" t="s">
        <v>127</v>
      </c>
      <c r="G1667">
        <v>62</v>
      </c>
      <c r="H1667">
        <v>3226</v>
      </c>
      <c r="I1667">
        <v>77681</v>
      </c>
      <c r="J1667">
        <v>103</v>
      </c>
      <c r="K1667">
        <v>72</v>
      </c>
      <c r="L1667">
        <v>74455</v>
      </c>
      <c r="M1667" s="1" t="s">
        <v>2914</v>
      </c>
      <c r="N1667" s="1" t="s">
        <v>2915</v>
      </c>
      <c r="O1667">
        <v>1.10671176151984E-3</v>
      </c>
      <c r="P1667">
        <v>0</v>
      </c>
      <c r="Q1667">
        <v>0</v>
      </c>
      <c r="R1667">
        <v>0</v>
      </c>
      <c r="S1667">
        <v>0</v>
      </c>
      <c r="T1667">
        <v>25.226674899999999</v>
      </c>
      <c r="U1667">
        <f t="shared" ref="U1667:U1730" si="52">IF(OR(P1667=1,Q1667=1),1,0)</f>
        <v>0</v>
      </c>
      <c r="V1667">
        <f t="shared" ref="V1667:V1730" si="53">IF(OR(R1667=1,S1667=1),1,0)</f>
        <v>0</v>
      </c>
    </row>
    <row r="1668" spans="1:22" x14ac:dyDescent="0.2">
      <c r="A1668" t="s">
        <v>2898</v>
      </c>
      <c r="B1668" t="s">
        <v>37</v>
      </c>
      <c r="C1668" t="s">
        <v>76</v>
      </c>
      <c r="D1668" t="s">
        <v>77</v>
      </c>
      <c r="E1668" s="1" t="s">
        <v>93</v>
      </c>
      <c r="F1668" t="s">
        <v>94</v>
      </c>
      <c r="G1668">
        <v>44</v>
      </c>
      <c r="H1668">
        <v>13869</v>
      </c>
      <c r="I1668">
        <v>893</v>
      </c>
      <c r="J1668">
        <v>131</v>
      </c>
      <c r="K1668">
        <v>91</v>
      </c>
      <c r="L1668">
        <v>-12976</v>
      </c>
      <c r="M1668" s="1" t="s">
        <v>2916</v>
      </c>
      <c r="N1668" s="1" t="s">
        <v>2917</v>
      </c>
      <c r="O1668" s="1" t="s">
        <v>2918</v>
      </c>
      <c r="P1668">
        <v>0</v>
      </c>
      <c r="Q1668">
        <v>0</v>
      </c>
      <c r="R1668">
        <v>0</v>
      </c>
      <c r="S1668">
        <v>0</v>
      </c>
      <c r="T1668">
        <v>25.226674899999999</v>
      </c>
      <c r="U1668">
        <f t="shared" si="52"/>
        <v>0</v>
      </c>
      <c r="V1668">
        <f t="shared" si="53"/>
        <v>0</v>
      </c>
    </row>
    <row r="1669" spans="1:22" x14ac:dyDescent="0.2">
      <c r="A1669" t="s">
        <v>2898</v>
      </c>
      <c r="B1669" t="s">
        <v>37</v>
      </c>
      <c r="C1669" t="s">
        <v>76</v>
      </c>
      <c r="D1669" t="s">
        <v>77</v>
      </c>
      <c r="E1669">
        <v>15</v>
      </c>
      <c r="F1669" t="s">
        <v>88</v>
      </c>
      <c r="G1669">
        <v>82</v>
      </c>
      <c r="H1669">
        <v>2133</v>
      </c>
      <c r="I1669">
        <v>20466</v>
      </c>
      <c r="J1669">
        <v>124</v>
      </c>
      <c r="K1669">
        <v>72</v>
      </c>
      <c r="L1669">
        <v>18333</v>
      </c>
      <c r="M1669">
        <v>9.4384707287932995E-2</v>
      </c>
      <c r="N1669" s="1" t="s">
        <v>2919</v>
      </c>
      <c r="O1669" s="1" t="s">
        <v>2920</v>
      </c>
      <c r="P1669">
        <v>0</v>
      </c>
      <c r="Q1669">
        <v>0</v>
      </c>
      <c r="R1669">
        <v>0</v>
      </c>
      <c r="S1669">
        <v>0</v>
      </c>
      <c r="T1669">
        <v>25.226674899999999</v>
      </c>
      <c r="U1669">
        <f t="shared" si="52"/>
        <v>0</v>
      </c>
      <c r="V1669">
        <f t="shared" si="53"/>
        <v>0</v>
      </c>
    </row>
    <row r="1670" spans="1:22" x14ac:dyDescent="0.2">
      <c r="A1670" t="s">
        <v>2898</v>
      </c>
      <c r="B1670" t="s">
        <v>37</v>
      </c>
      <c r="C1670" t="s">
        <v>76</v>
      </c>
      <c r="D1670" t="s">
        <v>77</v>
      </c>
      <c r="E1670" s="1" t="s">
        <v>99</v>
      </c>
      <c r="F1670" t="s">
        <v>100</v>
      </c>
      <c r="G1670">
        <v>40</v>
      </c>
      <c r="H1670">
        <v>140986</v>
      </c>
      <c r="I1670">
        <v>0</v>
      </c>
      <c r="J1670">
        <v>107</v>
      </c>
      <c r="K1670">
        <v>97</v>
      </c>
      <c r="L1670">
        <v>-140986</v>
      </c>
      <c r="M1670">
        <v>1</v>
      </c>
      <c r="N1670">
        <v>0</v>
      </c>
      <c r="O1670">
        <v>1.9285211960601201E-3</v>
      </c>
      <c r="P1670">
        <v>0</v>
      </c>
      <c r="Q1670">
        <v>0</v>
      </c>
      <c r="R1670">
        <v>0</v>
      </c>
      <c r="S1670">
        <v>0</v>
      </c>
      <c r="T1670">
        <v>25.226674899999999</v>
      </c>
      <c r="U1670">
        <f t="shared" si="52"/>
        <v>0</v>
      </c>
      <c r="V1670">
        <f t="shared" si="53"/>
        <v>0</v>
      </c>
    </row>
    <row r="1671" spans="1:22" x14ac:dyDescent="0.2">
      <c r="A1671" t="s">
        <v>2898</v>
      </c>
      <c r="B1671" t="s">
        <v>37</v>
      </c>
      <c r="C1671" t="s">
        <v>76</v>
      </c>
      <c r="D1671" t="s">
        <v>77</v>
      </c>
      <c r="E1671">
        <v>17</v>
      </c>
      <c r="F1671" t="s">
        <v>97</v>
      </c>
      <c r="G1671">
        <v>87</v>
      </c>
      <c r="H1671">
        <v>856</v>
      </c>
      <c r="I1671">
        <v>0</v>
      </c>
      <c r="J1671">
        <v>142</v>
      </c>
      <c r="K1671">
        <v>96</v>
      </c>
      <c r="L1671">
        <v>-856</v>
      </c>
      <c r="M1671">
        <v>1</v>
      </c>
      <c r="N1671">
        <v>0</v>
      </c>
      <c r="O1671" s="1" t="s">
        <v>2921</v>
      </c>
      <c r="P1671">
        <v>0</v>
      </c>
      <c r="Q1671">
        <v>0</v>
      </c>
      <c r="R1671">
        <v>0</v>
      </c>
      <c r="S1671">
        <v>0</v>
      </c>
      <c r="T1671">
        <v>25.226674899999999</v>
      </c>
      <c r="U1671">
        <f t="shared" si="52"/>
        <v>0</v>
      </c>
      <c r="V1671">
        <f t="shared" si="53"/>
        <v>0</v>
      </c>
    </row>
    <row r="1672" spans="1:22" x14ac:dyDescent="0.2">
      <c r="A1672" t="s">
        <v>2898</v>
      </c>
      <c r="B1672" t="s">
        <v>37</v>
      </c>
      <c r="C1672" t="s">
        <v>76</v>
      </c>
      <c r="D1672" t="s">
        <v>77</v>
      </c>
      <c r="E1672">
        <v>14</v>
      </c>
      <c r="F1672" t="s">
        <v>261</v>
      </c>
      <c r="G1672">
        <v>71</v>
      </c>
      <c r="H1672">
        <v>476</v>
      </c>
      <c r="I1672">
        <v>20210</v>
      </c>
      <c r="J1672">
        <v>86</v>
      </c>
      <c r="K1672">
        <v>58</v>
      </c>
      <c r="L1672">
        <v>19734</v>
      </c>
      <c r="M1672">
        <v>2.3010731895968198E-2</v>
      </c>
      <c r="N1672" s="1" t="s">
        <v>2922</v>
      </c>
      <c r="O1672" s="1" t="s">
        <v>2923</v>
      </c>
      <c r="P1672">
        <v>0</v>
      </c>
      <c r="Q1672">
        <v>0</v>
      </c>
      <c r="R1672">
        <v>0</v>
      </c>
      <c r="S1672">
        <v>0</v>
      </c>
      <c r="T1672">
        <v>25.226674899999999</v>
      </c>
      <c r="U1672">
        <f t="shared" si="52"/>
        <v>0</v>
      </c>
      <c r="V1672">
        <f t="shared" si="53"/>
        <v>0</v>
      </c>
    </row>
    <row r="1673" spans="1:22" x14ac:dyDescent="0.2">
      <c r="A1673" t="s">
        <v>2898</v>
      </c>
      <c r="B1673" t="s">
        <v>37</v>
      </c>
      <c r="C1673" t="s">
        <v>76</v>
      </c>
      <c r="D1673" t="s">
        <v>77</v>
      </c>
      <c r="E1673">
        <v>11</v>
      </c>
      <c r="F1673" t="s">
        <v>127</v>
      </c>
      <c r="G1673">
        <v>61</v>
      </c>
      <c r="H1673">
        <v>2628</v>
      </c>
      <c r="I1673">
        <v>8957</v>
      </c>
      <c r="J1673">
        <v>98</v>
      </c>
      <c r="K1673">
        <v>88</v>
      </c>
      <c r="L1673">
        <v>6329</v>
      </c>
      <c r="M1673" s="1" t="s">
        <v>2924</v>
      </c>
      <c r="N1673" s="1" t="s">
        <v>2925</v>
      </c>
      <c r="O1673" s="1" t="s">
        <v>2926</v>
      </c>
      <c r="P1673">
        <v>0</v>
      </c>
      <c r="Q1673">
        <v>0</v>
      </c>
      <c r="R1673">
        <v>0</v>
      </c>
      <c r="S1673">
        <v>0</v>
      </c>
      <c r="T1673">
        <v>25.226674899999999</v>
      </c>
      <c r="U1673">
        <f t="shared" si="52"/>
        <v>0</v>
      </c>
      <c r="V1673">
        <f t="shared" si="53"/>
        <v>0</v>
      </c>
    </row>
    <row r="1674" spans="1:22" x14ac:dyDescent="0.2">
      <c r="A1674" t="s">
        <v>2898</v>
      </c>
      <c r="B1674" t="s">
        <v>37</v>
      </c>
      <c r="C1674" t="s">
        <v>76</v>
      </c>
      <c r="D1674" t="s">
        <v>77</v>
      </c>
      <c r="E1674" s="1" t="s">
        <v>89</v>
      </c>
      <c r="F1674" t="s">
        <v>90</v>
      </c>
      <c r="G1674">
        <v>33</v>
      </c>
      <c r="H1674">
        <v>19850</v>
      </c>
      <c r="I1674">
        <v>69946</v>
      </c>
      <c r="J1674">
        <v>104</v>
      </c>
      <c r="K1674">
        <v>72</v>
      </c>
      <c r="L1674">
        <v>50096</v>
      </c>
      <c r="M1674" s="1" t="s">
        <v>2927</v>
      </c>
      <c r="N1674">
        <v>0.77894338277874298</v>
      </c>
      <c r="O1674">
        <v>1.22830273446594E-3</v>
      </c>
      <c r="P1674">
        <v>0</v>
      </c>
      <c r="Q1674">
        <v>0</v>
      </c>
      <c r="R1674">
        <v>0</v>
      </c>
      <c r="S1674">
        <v>0</v>
      </c>
      <c r="T1674">
        <v>25.226674899999999</v>
      </c>
      <c r="U1674">
        <f t="shared" si="52"/>
        <v>0</v>
      </c>
      <c r="V1674">
        <f t="shared" si="53"/>
        <v>0</v>
      </c>
    </row>
    <row r="1675" spans="1:22" x14ac:dyDescent="0.2">
      <c r="A1675" t="s">
        <v>2898</v>
      </c>
      <c r="B1675" t="s">
        <v>37</v>
      </c>
      <c r="C1675" t="s">
        <v>76</v>
      </c>
      <c r="D1675" t="s">
        <v>77</v>
      </c>
      <c r="E1675">
        <v>18</v>
      </c>
      <c r="F1675" t="s">
        <v>147</v>
      </c>
      <c r="G1675">
        <v>91</v>
      </c>
      <c r="H1675">
        <v>42</v>
      </c>
      <c r="I1675">
        <v>0</v>
      </c>
      <c r="J1675">
        <v>98</v>
      </c>
      <c r="K1675">
        <v>69</v>
      </c>
      <c r="L1675">
        <v>-42</v>
      </c>
      <c r="M1675">
        <v>1</v>
      </c>
      <c r="N1675">
        <v>0</v>
      </c>
      <c r="O1675" s="1" t="s">
        <v>2928</v>
      </c>
      <c r="P1675">
        <v>0</v>
      </c>
      <c r="Q1675">
        <v>0</v>
      </c>
      <c r="R1675">
        <v>0</v>
      </c>
      <c r="S1675">
        <v>0</v>
      </c>
      <c r="T1675">
        <v>25.226674899999999</v>
      </c>
      <c r="U1675">
        <f t="shared" si="52"/>
        <v>0</v>
      </c>
      <c r="V1675">
        <f t="shared" si="53"/>
        <v>0</v>
      </c>
    </row>
    <row r="1676" spans="1:22" x14ac:dyDescent="0.2">
      <c r="A1676" t="s">
        <v>2898</v>
      </c>
      <c r="B1676" t="s">
        <v>37</v>
      </c>
      <c r="C1676" t="s">
        <v>76</v>
      </c>
      <c r="D1676" t="s">
        <v>77</v>
      </c>
      <c r="E1676">
        <v>12</v>
      </c>
      <c r="F1676" t="s">
        <v>194</v>
      </c>
      <c r="G1676">
        <v>67</v>
      </c>
      <c r="H1676">
        <v>27</v>
      </c>
      <c r="I1676">
        <v>0</v>
      </c>
      <c r="J1676">
        <v>79</v>
      </c>
      <c r="K1676">
        <v>62</v>
      </c>
      <c r="L1676">
        <v>-27</v>
      </c>
      <c r="M1676">
        <v>1</v>
      </c>
      <c r="N1676">
        <v>0</v>
      </c>
      <c r="O1676" s="1" t="s">
        <v>2929</v>
      </c>
      <c r="P1676">
        <v>0</v>
      </c>
      <c r="Q1676">
        <v>0</v>
      </c>
      <c r="R1676">
        <v>0</v>
      </c>
      <c r="S1676">
        <v>0</v>
      </c>
      <c r="T1676">
        <v>25.226674899999999</v>
      </c>
      <c r="U1676">
        <f t="shared" si="52"/>
        <v>0</v>
      </c>
      <c r="V1676">
        <f t="shared" si="53"/>
        <v>0</v>
      </c>
    </row>
    <row r="1677" spans="1:22" x14ac:dyDescent="0.2">
      <c r="A1677" t="s">
        <v>2898</v>
      </c>
      <c r="B1677" t="s">
        <v>37</v>
      </c>
      <c r="C1677" t="s">
        <v>76</v>
      </c>
      <c r="D1677" t="s">
        <v>77</v>
      </c>
      <c r="E1677">
        <v>10</v>
      </c>
      <c r="F1677" t="s">
        <v>119</v>
      </c>
      <c r="G1677">
        <v>49</v>
      </c>
      <c r="H1677">
        <v>1654</v>
      </c>
      <c r="I1677">
        <v>1135</v>
      </c>
      <c r="J1677">
        <v>115</v>
      </c>
      <c r="K1677">
        <v>80</v>
      </c>
      <c r="L1677">
        <v>-519</v>
      </c>
      <c r="M1677" s="1" t="s">
        <v>2930</v>
      </c>
      <c r="N1677" s="1" t="s">
        <v>2931</v>
      </c>
      <c r="O1677" s="1" t="s">
        <v>2932</v>
      </c>
      <c r="P1677">
        <v>0</v>
      </c>
      <c r="Q1677">
        <v>0</v>
      </c>
      <c r="R1677">
        <v>0</v>
      </c>
      <c r="S1677">
        <v>0</v>
      </c>
      <c r="T1677">
        <v>25.226674899999999</v>
      </c>
      <c r="U1677">
        <f t="shared" si="52"/>
        <v>0</v>
      </c>
      <c r="V1677">
        <f t="shared" si="53"/>
        <v>0</v>
      </c>
    </row>
    <row r="1678" spans="1:22" x14ac:dyDescent="0.2">
      <c r="A1678" t="s">
        <v>2898</v>
      </c>
      <c r="B1678" t="s">
        <v>37</v>
      </c>
      <c r="C1678" t="s">
        <v>76</v>
      </c>
      <c r="D1678" t="s">
        <v>77</v>
      </c>
      <c r="E1678" s="1" t="s">
        <v>163</v>
      </c>
      <c r="F1678" t="s">
        <v>224</v>
      </c>
      <c r="G1678">
        <v>41</v>
      </c>
      <c r="H1678">
        <v>0</v>
      </c>
      <c r="I1678">
        <v>862117</v>
      </c>
      <c r="J1678">
        <v>66</v>
      </c>
      <c r="K1678">
        <v>22</v>
      </c>
      <c r="L1678">
        <v>862117</v>
      </c>
      <c r="M1678">
        <v>0</v>
      </c>
      <c r="N1678">
        <v>1</v>
      </c>
      <c r="O1678" s="1" t="s">
        <v>2933</v>
      </c>
      <c r="P1678">
        <v>0</v>
      </c>
      <c r="Q1678">
        <v>0</v>
      </c>
      <c r="R1678">
        <v>0</v>
      </c>
      <c r="S1678">
        <v>0</v>
      </c>
      <c r="T1678">
        <v>25.226674899999999</v>
      </c>
      <c r="U1678">
        <f t="shared" si="52"/>
        <v>0</v>
      </c>
      <c r="V1678">
        <f t="shared" si="53"/>
        <v>0</v>
      </c>
    </row>
    <row r="1679" spans="1:22" x14ac:dyDescent="0.2">
      <c r="A1679" t="s">
        <v>2898</v>
      </c>
      <c r="B1679" t="s">
        <v>37</v>
      </c>
      <c r="C1679" t="s">
        <v>76</v>
      </c>
      <c r="D1679" t="s">
        <v>77</v>
      </c>
      <c r="E1679">
        <v>10</v>
      </c>
      <c r="F1679" t="s">
        <v>119</v>
      </c>
      <c r="G1679">
        <v>48</v>
      </c>
      <c r="H1679">
        <v>171958</v>
      </c>
      <c r="I1679">
        <v>539</v>
      </c>
      <c r="J1679">
        <v>127</v>
      </c>
      <c r="K1679">
        <v>85</v>
      </c>
      <c r="L1679">
        <v>-171419</v>
      </c>
      <c r="M1679" s="1" t="s">
        <v>2934</v>
      </c>
      <c r="N1679">
        <v>3.1246920236293902E-3</v>
      </c>
      <c r="O1679">
        <v>2.35955428735324E-3</v>
      </c>
      <c r="P1679">
        <v>0</v>
      </c>
      <c r="Q1679">
        <v>0</v>
      </c>
      <c r="R1679">
        <v>0</v>
      </c>
      <c r="S1679">
        <v>0</v>
      </c>
      <c r="T1679">
        <v>25.226674899999999</v>
      </c>
      <c r="U1679">
        <f t="shared" si="52"/>
        <v>0</v>
      </c>
      <c r="V1679">
        <f t="shared" si="53"/>
        <v>0</v>
      </c>
    </row>
    <row r="1680" spans="1:22" x14ac:dyDescent="0.2">
      <c r="A1680" t="s">
        <v>2898</v>
      </c>
      <c r="B1680" t="s">
        <v>37</v>
      </c>
      <c r="C1680" t="s">
        <v>76</v>
      </c>
      <c r="D1680" t="s">
        <v>77</v>
      </c>
      <c r="E1680">
        <v>18</v>
      </c>
      <c r="F1680" t="s">
        <v>147</v>
      </c>
      <c r="G1680">
        <v>92</v>
      </c>
      <c r="H1680">
        <v>0</v>
      </c>
      <c r="I1680">
        <v>63891</v>
      </c>
      <c r="J1680">
        <v>95</v>
      </c>
      <c r="K1680">
        <v>41</v>
      </c>
      <c r="L1680">
        <v>63891</v>
      </c>
      <c r="M1680">
        <v>0</v>
      </c>
      <c r="N1680">
        <v>1</v>
      </c>
      <c r="O1680" s="1" t="s">
        <v>2935</v>
      </c>
      <c r="P1680">
        <v>0</v>
      </c>
      <c r="Q1680">
        <v>0</v>
      </c>
      <c r="R1680">
        <v>0</v>
      </c>
      <c r="S1680">
        <v>0</v>
      </c>
      <c r="T1680">
        <v>25.226674899999999</v>
      </c>
      <c r="U1680">
        <f t="shared" si="52"/>
        <v>0</v>
      </c>
      <c r="V1680">
        <f t="shared" si="53"/>
        <v>0</v>
      </c>
    </row>
    <row r="1681" spans="1:22" x14ac:dyDescent="0.2">
      <c r="A1681" t="s">
        <v>2898</v>
      </c>
      <c r="B1681" t="s">
        <v>37</v>
      </c>
      <c r="C1681" t="s">
        <v>76</v>
      </c>
      <c r="D1681" t="s">
        <v>77</v>
      </c>
      <c r="E1681">
        <v>21</v>
      </c>
      <c r="F1681" t="s">
        <v>212</v>
      </c>
      <c r="G1681">
        <v>97</v>
      </c>
      <c r="H1681">
        <v>22</v>
      </c>
      <c r="I1681">
        <v>87963</v>
      </c>
      <c r="J1681">
        <v>96</v>
      </c>
      <c r="K1681">
        <v>42</v>
      </c>
      <c r="L1681">
        <v>87941</v>
      </c>
      <c r="M1681" s="1" t="s">
        <v>2936</v>
      </c>
      <c r="N1681" s="1" t="s">
        <v>2937</v>
      </c>
      <c r="O1681">
        <v>1.2035304032694701E-3</v>
      </c>
      <c r="P1681">
        <v>0</v>
      </c>
      <c r="Q1681">
        <v>0</v>
      </c>
      <c r="R1681">
        <v>0</v>
      </c>
      <c r="S1681">
        <v>0</v>
      </c>
      <c r="T1681">
        <v>25.226674899999999</v>
      </c>
      <c r="U1681">
        <f t="shared" si="52"/>
        <v>0</v>
      </c>
      <c r="V1681">
        <f t="shared" si="53"/>
        <v>0</v>
      </c>
    </row>
    <row r="1682" spans="1:22" x14ac:dyDescent="0.2">
      <c r="A1682" t="s">
        <v>2898</v>
      </c>
      <c r="B1682" t="s">
        <v>37</v>
      </c>
      <c r="C1682" t="s">
        <v>76</v>
      </c>
      <c r="D1682" t="s">
        <v>77</v>
      </c>
      <c r="E1682">
        <v>11</v>
      </c>
      <c r="F1682" t="s">
        <v>127</v>
      </c>
      <c r="G1682">
        <v>63</v>
      </c>
      <c r="H1682">
        <v>13863</v>
      </c>
      <c r="I1682">
        <v>11448</v>
      </c>
      <c r="J1682">
        <v>92</v>
      </c>
      <c r="K1682">
        <v>83</v>
      </c>
      <c r="L1682">
        <v>-2415</v>
      </c>
      <c r="M1682" s="1" t="s">
        <v>2938</v>
      </c>
      <c r="N1682" s="1" t="s">
        <v>2939</v>
      </c>
      <c r="O1682" s="1" t="s">
        <v>2940</v>
      </c>
      <c r="P1682">
        <v>0</v>
      </c>
      <c r="Q1682">
        <v>0</v>
      </c>
      <c r="R1682">
        <v>0</v>
      </c>
      <c r="S1682">
        <v>0</v>
      </c>
      <c r="T1682">
        <v>25.226674899999999</v>
      </c>
      <c r="U1682">
        <f t="shared" si="52"/>
        <v>0</v>
      </c>
      <c r="V1682">
        <f t="shared" si="53"/>
        <v>0</v>
      </c>
    </row>
    <row r="1683" spans="1:22" x14ac:dyDescent="0.2">
      <c r="A1683" t="s">
        <v>2898</v>
      </c>
      <c r="B1683" t="s">
        <v>37</v>
      </c>
      <c r="C1683" t="s">
        <v>76</v>
      </c>
      <c r="D1683" t="s">
        <v>77</v>
      </c>
      <c r="E1683">
        <v>15</v>
      </c>
      <c r="F1683" t="s">
        <v>88</v>
      </c>
      <c r="G1683">
        <v>83</v>
      </c>
      <c r="H1683">
        <v>0</v>
      </c>
      <c r="I1683">
        <v>5290</v>
      </c>
      <c r="J1683">
        <v>130</v>
      </c>
      <c r="K1683">
        <v>71</v>
      </c>
      <c r="L1683">
        <v>5290</v>
      </c>
      <c r="M1683">
        <v>0</v>
      </c>
      <c r="N1683">
        <v>1</v>
      </c>
      <c r="O1683" s="1" t="s">
        <v>2941</v>
      </c>
      <c r="P1683">
        <v>0</v>
      </c>
      <c r="Q1683">
        <v>0</v>
      </c>
      <c r="R1683">
        <v>0</v>
      </c>
      <c r="S1683">
        <v>0</v>
      </c>
      <c r="T1683">
        <v>25.226674899999999</v>
      </c>
      <c r="U1683">
        <f t="shared" si="52"/>
        <v>0</v>
      </c>
      <c r="V1683">
        <f t="shared" si="53"/>
        <v>0</v>
      </c>
    </row>
    <row r="1684" spans="1:22" x14ac:dyDescent="0.2">
      <c r="A1684" t="s">
        <v>2898</v>
      </c>
      <c r="B1684" t="s">
        <v>37</v>
      </c>
      <c r="C1684" t="s">
        <v>76</v>
      </c>
      <c r="D1684" t="s">
        <v>77</v>
      </c>
      <c r="E1684">
        <v>15</v>
      </c>
      <c r="F1684" t="s">
        <v>88</v>
      </c>
      <c r="G1684">
        <v>74</v>
      </c>
      <c r="H1684">
        <v>0</v>
      </c>
      <c r="I1684">
        <v>1913</v>
      </c>
      <c r="J1684">
        <v>110</v>
      </c>
      <c r="K1684">
        <v>77</v>
      </c>
      <c r="L1684">
        <v>1913</v>
      </c>
      <c r="M1684">
        <v>0</v>
      </c>
      <c r="N1684">
        <v>1</v>
      </c>
      <c r="O1684" s="1" t="s">
        <v>2942</v>
      </c>
      <c r="P1684">
        <v>0</v>
      </c>
      <c r="Q1684">
        <v>0</v>
      </c>
      <c r="R1684">
        <v>0</v>
      </c>
      <c r="S1684">
        <v>0</v>
      </c>
      <c r="T1684">
        <v>25.226674899999999</v>
      </c>
      <c r="U1684">
        <f t="shared" si="52"/>
        <v>0</v>
      </c>
      <c r="V1684">
        <f t="shared" si="53"/>
        <v>0</v>
      </c>
    </row>
    <row r="1685" spans="1:22" x14ac:dyDescent="0.2">
      <c r="A1685" t="s">
        <v>2898</v>
      </c>
      <c r="B1685" t="s">
        <v>37</v>
      </c>
      <c r="C1685" t="s">
        <v>76</v>
      </c>
      <c r="D1685" t="s">
        <v>77</v>
      </c>
      <c r="E1685">
        <v>11</v>
      </c>
      <c r="F1685" t="s">
        <v>127</v>
      </c>
      <c r="G1685">
        <v>56</v>
      </c>
      <c r="H1685">
        <v>0</v>
      </c>
      <c r="I1685">
        <v>14727</v>
      </c>
      <c r="J1685">
        <v>102</v>
      </c>
      <c r="K1685">
        <v>65</v>
      </c>
      <c r="L1685">
        <v>14727</v>
      </c>
      <c r="M1685">
        <v>0</v>
      </c>
      <c r="N1685">
        <v>1</v>
      </c>
      <c r="O1685" s="1" t="s">
        <v>2943</v>
      </c>
      <c r="P1685">
        <v>0</v>
      </c>
      <c r="Q1685">
        <v>0</v>
      </c>
      <c r="R1685">
        <v>0</v>
      </c>
      <c r="S1685">
        <v>0</v>
      </c>
      <c r="T1685">
        <v>25.226674899999999</v>
      </c>
      <c r="U1685">
        <f t="shared" si="52"/>
        <v>0</v>
      </c>
      <c r="V1685">
        <f t="shared" si="53"/>
        <v>0</v>
      </c>
    </row>
    <row r="1686" spans="1:22" x14ac:dyDescent="0.2">
      <c r="A1686" t="s">
        <v>2898</v>
      </c>
      <c r="B1686" t="s">
        <v>37</v>
      </c>
      <c r="C1686" t="s">
        <v>76</v>
      </c>
      <c r="D1686" t="s">
        <v>77</v>
      </c>
      <c r="E1686">
        <v>20</v>
      </c>
      <c r="F1686" t="s">
        <v>104</v>
      </c>
      <c r="G1686">
        <v>96</v>
      </c>
      <c r="H1686">
        <v>0</v>
      </c>
      <c r="I1686">
        <v>18858</v>
      </c>
      <c r="J1686">
        <v>128</v>
      </c>
      <c r="K1686">
        <v>67</v>
      </c>
      <c r="L1686">
        <v>18858</v>
      </c>
      <c r="M1686">
        <v>0</v>
      </c>
      <c r="N1686">
        <v>1</v>
      </c>
      <c r="O1686" s="1" t="s">
        <v>2944</v>
      </c>
      <c r="P1686">
        <v>0</v>
      </c>
      <c r="Q1686">
        <v>0</v>
      </c>
      <c r="R1686">
        <v>0</v>
      </c>
      <c r="S1686">
        <v>0</v>
      </c>
      <c r="T1686">
        <v>25.226674899999999</v>
      </c>
      <c r="U1686">
        <f t="shared" si="52"/>
        <v>0</v>
      </c>
      <c r="V1686">
        <f t="shared" si="53"/>
        <v>0</v>
      </c>
    </row>
    <row r="1687" spans="1:22" x14ac:dyDescent="0.2">
      <c r="A1687" t="s">
        <v>2898</v>
      </c>
      <c r="B1687" t="s">
        <v>37</v>
      </c>
      <c r="C1687" t="s">
        <v>76</v>
      </c>
      <c r="D1687" t="s">
        <v>77</v>
      </c>
      <c r="E1687">
        <v>11</v>
      </c>
      <c r="F1687" t="s">
        <v>127</v>
      </c>
      <c r="G1687">
        <v>57</v>
      </c>
      <c r="H1687">
        <v>15</v>
      </c>
      <c r="I1687">
        <v>1636493</v>
      </c>
      <c r="J1687">
        <v>93</v>
      </c>
      <c r="K1687">
        <v>35</v>
      </c>
      <c r="L1687">
        <v>1636478</v>
      </c>
      <c r="M1687" s="1" t="s">
        <v>2945</v>
      </c>
      <c r="N1687" s="1" t="s">
        <v>2946</v>
      </c>
      <c r="O1687">
        <v>2.23854876762371E-2</v>
      </c>
      <c r="P1687">
        <v>0</v>
      </c>
      <c r="Q1687">
        <v>0</v>
      </c>
      <c r="R1687">
        <v>0</v>
      </c>
      <c r="S1687">
        <v>0</v>
      </c>
      <c r="T1687">
        <v>25.226674899999999</v>
      </c>
      <c r="U1687">
        <f t="shared" si="52"/>
        <v>0</v>
      </c>
      <c r="V1687">
        <f t="shared" si="53"/>
        <v>0</v>
      </c>
    </row>
    <row r="1688" spans="1:22" x14ac:dyDescent="0.2">
      <c r="A1688" t="s">
        <v>2898</v>
      </c>
      <c r="B1688" t="s">
        <v>37</v>
      </c>
      <c r="C1688" t="s">
        <v>76</v>
      </c>
      <c r="D1688" t="s">
        <v>77</v>
      </c>
      <c r="E1688" s="1" t="s">
        <v>89</v>
      </c>
      <c r="F1688" t="s">
        <v>90</v>
      </c>
      <c r="G1688">
        <v>34</v>
      </c>
      <c r="H1688">
        <v>0</v>
      </c>
      <c r="I1688">
        <v>49357</v>
      </c>
      <c r="J1688">
        <v>128</v>
      </c>
      <c r="K1688">
        <v>67</v>
      </c>
      <c r="L1688">
        <v>49357</v>
      </c>
      <c r="M1688">
        <v>0</v>
      </c>
      <c r="N1688">
        <v>1</v>
      </c>
      <c r="O1688" s="1" t="s">
        <v>2947</v>
      </c>
      <c r="P1688">
        <v>0</v>
      </c>
      <c r="Q1688">
        <v>0</v>
      </c>
      <c r="R1688">
        <v>0</v>
      </c>
      <c r="S1688">
        <v>0</v>
      </c>
      <c r="T1688">
        <v>25.226674899999999</v>
      </c>
      <c r="U1688">
        <f t="shared" si="52"/>
        <v>0</v>
      </c>
      <c r="V1688">
        <f t="shared" si="53"/>
        <v>0</v>
      </c>
    </row>
    <row r="1689" spans="1:22" x14ac:dyDescent="0.2">
      <c r="A1689" t="s">
        <v>2948</v>
      </c>
      <c r="B1689" t="s">
        <v>38</v>
      </c>
      <c r="C1689" t="s">
        <v>76</v>
      </c>
      <c r="D1689" t="s">
        <v>77</v>
      </c>
      <c r="E1689" s="1" t="s">
        <v>89</v>
      </c>
      <c r="F1689" t="s">
        <v>90</v>
      </c>
      <c r="G1689">
        <v>31</v>
      </c>
      <c r="H1689">
        <v>125552261</v>
      </c>
      <c r="I1689">
        <v>0</v>
      </c>
      <c r="J1689">
        <v>52</v>
      </c>
      <c r="K1689">
        <v>51</v>
      </c>
      <c r="L1689">
        <v>-125552261</v>
      </c>
      <c r="M1689">
        <v>1</v>
      </c>
      <c r="N1689">
        <v>0</v>
      </c>
      <c r="O1689" s="1" t="s">
        <v>2949</v>
      </c>
      <c r="P1689">
        <v>0</v>
      </c>
      <c r="Q1689">
        <v>0</v>
      </c>
      <c r="R1689">
        <v>0</v>
      </c>
      <c r="S1689">
        <v>0</v>
      </c>
      <c r="T1689">
        <v>71.887944790000006</v>
      </c>
      <c r="U1689">
        <f t="shared" si="52"/>
        <v>0</v>
      </c>
      <c r="V1689">
        <f t="shared" si="53"/>
        <v>0</v>
      </c>
    </row>
    <row r="1690" spans="1:22" x14ac:dyDescent="0.2">
      <c r="A1690" t="s">
        <v>2948</v>
      </c>
      <c r="B1690" t="s">
        <v>38</v>
      </c>
      <c r="C1690" t="s">
        <v>76</v>
      </c>
      <c r="D1690" t="s">
        <v>77</v>
      </c>
      <c r="E1690" s="1" t="s">
        <v>82</v>
      </c>
      <c r="F1690" t="s">
        <v>83</v>
      </c>
      <c r="G1690">
        <v>10</v>
      </c>
      <c r="H1690">
        <v>118383871</v>
      </c>
      <c r="I1690">
        <v>0</v>
      </c>
      <c r="J1690">
        <v>51</v>
      </c>
      <c r="K1690">
        <v>65</v>
      </c>
      <c r="L1690">
        <v>-118383871</v>
      </c>
      <c r="M1690">
        <v>1</v>
      </c>
      <c r="N1690">
        <v>0</v>
      </c>
      <c r="O1690" s="1" t="s">
        <v>2950</v>
      </c>
      <c r="P1690">
        <v>0</v>
      </c>
      <c r="Q1690">
        <v>0</v>
      </c>
      <c r="R1690">
        <v>0</v>
      </c>
      <c r="S1690">
        <v>0</v>
      </c>
      <c r="T1690">
        <v>71.887944790000006</v>
      </c>
      <c r="U1690">
        <f t="shared" si="52"/>
        <v>0</v>
      </c>
      <c r="V1690">
        <f t="shared" si="53"/>
        <v>0</v>
      </c>
    </row>
    <row r="1691" spans="1:22" x14ac:dyDescent="0.2">
      <c r="A1691" t="s">
        <v>2948</v>
      </c>
      <c r="B1691" t="s">
        <v>38</v>
      </c>
      <c r="C1691" t="s">
        <v>76</v>
      </c>
      <c r="D1691" t="s">
        <v>77</v>
      </c>
      <c r="E1691">
        <v>17</v>
      </c>
      <c r="F1691" t="s">
        <v>97</v>
      </c>
      <c r="G1691">
        <v>87</v>
      </c>
      <c r="H1691">
        <v>6872402</v>
      </c>
      <c r="I1691">
        <v>18088</v>
      </c>
      <c r="J1691">
        <v>57</v>
      </c>
      <c r="K1691">
        <v>80</v>
      </c>
      <c r="L1691">
        <v>-6854314</v>
      </c>
      <c r="M1691" s="1" t="s">
        <v>2951</v>
      </c>
      <c r="N1691">
        <v>2.6250673029058801E-3</v>
      </c>
      <c r="O1691" s="1" t="s">
        <v>2952</v>
      </c>
      <c r="P1691">
        <v>0</v>
      </c>
      <c r="Q1691">
        <v>0</v>
      </c>
      <c r="R1691">
        <v>0</v>
      </c>
      <c r="S1691">
        <v>0</v>
      </c>
      <c r="T1691">
        <v>71.887944790000006</v>
      </c>
      <c r="U1691">
        <f t="shared" si="52"/>
        <v>0</v>
      </c>
      <c r="V1691">
        <f t="shared" si="53"/>
        <v>0</v>
      </c>
    </row>
    <row r="1692" spans="1:22" x14ac:dyDescent="0.2">
      <c r="A1692" t="s">
        <v>2948</v>
      </c>
      <c r="B1692" t="s">
        <v>38</v>
      </c>
      <c r="C1692" t="s">
        <v>76</v>
      </c>
      <c r="D1692" t="s">
        <v>77</v>
      </c>
      <c r="E1692" s="1" t="s">
        <v>89</v>
      </c>
      <c r="F1692" t="s">
        <v>90</v>
      </c>
      <c r="G1692">
        <v>30</v>
      </c>
      <c r="H1692">
        <v>15839086</v>
      </c>
      <c r="I1692">
        <v>1200</v>
      </c>
      <c r="J1692">
        <v>24</v>
      </c>
      <c r="K1692">
        <v>81</v>
      </c>
      <c r="L1692">
        <v>-15837886</v>
      </c>
      <c r="M1692" s="1" t="s">
        <v>2953</v>
      </c>
      <c r="N1692" s="1" t="s">
        <v>2954</v>
      </c>
      <c r="O1692">
        <v>4.6863927339691899E-2</v>
      </c>
      <c r="P1692">
        <v>0</v>
      </c>
      <c r="Q1692">
        <v>0</v>
      </c>
      <c r="R1692">
        <v>0</v>
      </c>
      <c r="S1692">
        <v>0</v>
      </c>
      <c r="T1692">
        <v>71.887944790000006</v>
      </c>
      <c r="U1692">
        <f t="shared" si="52"/>
        <v>0</v>
      </c>
      <c r="V1692">
        <f t="shared" si="53"/>
        <v>0</v>
      </c>
    </row>
    <row r="1693" spans="1:22" x14ac:dyDescent="0.2">
      <c r="A1693" t="s">
        <v>2948</v>
      </c>
      <c r="B1693" t="s">
        <v>38</v>
      </c>
      <c r="C1693" t="s">
        <v>76</v>
      </c>
      <c r="D1693" t="s">
        <v>77</v>
      </c>
      <c r="E1693">
        <v>15</v>
      </c>
      <c r="F1693" t="s">
        <v>88</v>
      </c>
      <c r="G1693">
        <v>73</v>
      </c>
      <c r="H1693">
        <v>1237393</v>
      </c>
      <c r="I1693">
        <v>138070</v>
      </c>
      <c r="J1693">
        <v>79</v>
      </c>
      <c r="K1693">
        <v>75</v>
      </c>
      <c r="L1693">
        <v>-1099323</v>
      </c>
      <c r="M1693" s="1" t="s">
        <v>2955</v>
      </c>
      <c r="N1693" s="1" t="s">
        <v>2956</v>
      </c>
      <c r="O1693">
        <v>4.0693455970703197E-3</v>
      </c>
      <c r="P1693">
        <v>0</v>
      </c>
      <c r="Q1693">
        <v>0</v>
      </c>
      <c r="R1693">
        <v>0</v>
      </c>
      <c r="S1693">
        <v>0</v>
      </c>
      <c r="T1693">
        <v>71.887944790000006</v>
      </c>
      <c r="U1693">
        <f t="shared" si="52"/>
        <v>0</v>
      </c>
      <c r="V1693">
        <f t="shared" si="53"/>
        <v>0</v>
      </c>
    </row>
    <row r="1694" spans="1:22" x14ac:dyDescent="0.2">
      <c r="A1694" t="s">
        <v>2948</v>
      </c>
      <c r="B1694" t="s">
        <v>38</v>
      </c>
      <c r="C1694" t="s">
        <v>76</v>
      </c>
      <c r="D1694" t="s">
        <v>77</v>
      </c>
      <c r="E1694" s="1" t="s">
        <v>99</v>
      </c>
      <c r="F1694" t="s">
        <v>100</v>
      </c>
      <c r="G1694">
        <v>39</v>
      </c>
      <c r="H1694">
        <v>1098477</v>
      </c>
      <c r="I1694">
        <v>4580</v>
      </c>
      <c r="J1694">
        <v>86</v>
      </c>
      <c r="K1694">
        <v>94</v>
      </c>
      <c r="L1694">
        <v>-1093897</v>
      </c>
      <c r="M1694" s="1" t="s">
        <v>2957</v>
      </c>
      <c r="N1694">
        <v>4.1520973077547197E-3</v>
      </c>
      <c r="O1694">
        <v>3.2634248585876901E-3</v>
      </c>
      <c r="P1694">
        <v>0</v>
      </c>
      <c r="Q1694">
        <v>0</v>
      </c>
      <c r="R1694">
        <v>0</v>
      </c>
      <c r="S1694">
        <v>0</v>
      </c>
      <c r="T1694">
        <v>71.887944790000006</v>
      </c>
      <c r="U1694">
        <f t="shared" si="52"/>
        <v>0</v>
      </c>
      <c r="V1694">
        <f t="shared" si="53"/>
        <v>0</v>
      </c>
    </row>
    <row r="1695" spans="1:22" x14ac:dyDescent="0.2">
      <c r="A1695" t="s">
        <v>2948</v>
      </c>
      <c r="B1695" t="s">
        <v>38</v>
      </c>
      <c r="C1695" t="s">
        <v>76</v>
      </c>
      <c r="D1695" t="s">
        <v>77</v>
      </c>
      <c r="E1695" s="1" t="s">
        <v>99</v>
      </c>
      <c r="F1695" t="s">
        <v>100</v>
      </c>
      <c r="G1695">
        <v>40</v>
      </c>
      <c r="H1695">
        <v>2312364</v>
      </c>
      <c r="I1695">
        <v>0</v>
      </c>
      <c r="J1695">
        <v>75</v>
      </c>
      <c r="K1695">
        <v>97</v>
      </c>
      <c r="L1695">
        <v>-2312364</v>
      </c>
      <c r="M1695">
        <v>1</v>
      </c>
      <c r="N1695">
        <v>0</v>
      </c>
      <c r="O1695">
        <v>6.8411933016183802E-3</v>
      </c>
      <c r="P1695">
        <v>0</v>
      </c>
      <c r="Q1695">
        <v>0</v>
      </c>
      <c r="R1695">
        <v>0</v>
      </c>
      <c r="S1695">
        <v>0</v>
      </c>
      <c r="T1695">
        <v>71.887944790000006</v>
      </c>
      <c r="U1695">
        <f t="shared" si="52"/>
        <v>0</v>
      </c>
      <c r="V1695">
        <f t="shared" si="53"/>
        <v>0</v>
      </c>
    </row>
    <row r="1696" spans="1:22" x14ac:dyDescent="0.2">
      <c r="A1696" t="s">
        <v>2948</v>
      </c>
      <c r="B1696" t="s">
        <v>38</v>
      </c>
      <c r="C1696" t="s">
        <v>76</v>
      </c>
      <c r="D1696" t="s">
        <v>77</v>
      </c>
      <c r="E1696">
        <v>13</v>
      </c>
      <c r="F1696" t="s">
        <v>91</v>
      </c>
      <c r="G1696">
        <v>70</v>
      </c>
      <c r="H1696">
        <v>401665</v>
      </c>
      <c r="I1696">
        <v>0</v>
      </c>
      <c r="J1696">
        <v>72</v>
      </c>
      <c r="K1696">
        <v>88</v>
      </c>
      <c r="L1696">
        <v>-401665</v>
      </c>
      <c r="M1696">
        <v>1</v>
      </c>
      <c r="N1696">
        <v>0</v>
      </c>
      <c r="O1696">
        <v>1.1883370903086801E-3</v>
      </c>
      <c r="P1696">
        <v>0</v>
      </c>
      <c r="Q1696">
        <v>0</v>
      </c>
      <c r="R1696">
        <v>0</v>
      </c>
      <c r="S1696">
        <v>0</v>
      </c>
      <c r="T1696">
        <v>71.887944790000006</v>
      </c>
      <c r="U1696">
        <f t="shared" si="52"/>
        <v>0</v>
      </c>
      <c r="V1696">
        <f t="shared" si="53"/>
        <v>0</v>
      </c>
    </row>
    <row r="1697" spans="1:22" x14ac:dyDescent="0.2">
      <c r="A1697" t="s">
        <v>2948</v>
      </c>
      <c r="B1697" t="s">
        <v>38</v>
      </c>
      <c r="C1697" t="s">
        <v>76</v>
      </c>
      <c r="D1697" t="s">
        <v>77</v>
      </c>
      <c r="E1697">
        <v>15</v>
      </c>
      <c r="F1697" t="s">
        <v>88</v>
      </c>
      <c r="G1697">
        <v>76</v>
      </c>
      <c r="H1697">
        <v>351703</v>
      </c>
      <c r="I1697">
        <v>10</v>
      </c>
      <c r="J1697">
        <v>90</v>
      </c>
      <c r="K1697">
        <v>90</v>
      </c>
      <c r="L1697">
        <v>-351693</v>
      </c>
      <c r="M1697" s="1" t="s">
        <v>2958</v>
      </c>
      <c r="N1697" s="1" t="s">
        <v>2959</v>
      </c>
      <c r="O1697">
        <v>1.04055270696659E-3</v>
      </c>
      <c r="P1697">
        <v>0</v>
      </c>
      <c r="Q1697">
        <v>0</v>
      </c>
      <c r="R1697">
        <v>0</v>
      </c>
      <c r="S1697">
        <v>0</v>
      </c>
      <c r="T1697">
        <v>71.887944790000006</v>
      </c>
      <c r="U1697">
        <f t="shared" si="52"/>
        <v>0</v>
      </c>
      <c r="V1697">
        <f t="shared" si="53"/>
        <v>0</v>
      </c>
    </row>
    <row r="1698" spans="1:22" x14ac:dyDescent="0.2">
      <c r="A1698" t="s">
        <v>2948</v>
      </c>
      <c r="B1698" t="s">
        <v>38</v>
      </c>
      <c r="C1698" t="s">
        <v>76</v>
      </c>
      <c r="D1698" t="s">
        <v>77</v>
      </c>
      <c r="E1698" s="1" t="s">
        <v>89</v>
      </c>
      <c r="F1698" t="s">
        <v>90</v>
      </c>
      <c r="G1698">
        <v>28</v>
      </c>
      <c r="H1698">
        <v>813046</v>
      </c>
      <c r="I1698">
        <v>0</v>
      </c>
      <c r="J1698">
        <v>109</v>
      </c>
      <c r="K1698">
        <v>85</v>
      </c>
      <c r="L1698">
        <v>-813046</v>
      </c>
      <c r="M1698">
        <v>1</v>
      </c>
      <c r="N1698">
        <v>0</v>
      </c>
      <c r="O1698">
        <v>2.4054192372427599E-3</v>
      </c>
      <c r="P1698">
        <v>0</v>
      </c>
      <c r="Q1698">
        <v>0</v>
      </c>
      <c r="R1698">
        <v>0</v>
      </c>
      <c r="S1698">
        <v>0</v>
      </c>
      <c r="T1698">
        <v>71.887944790000006</v>
      </c>
      <c r="U1698">
        <f t="shared" si="52"/>
        <v>0</v>
      </c>
      <c r="V1698">
        <f t="shared" si="53"/>
        <v>0</v>
      </c>
    </row>
    <row r="1699" spans="1:22" x14ac:dyDescent="0.2">
      <c r="A1699" t="s">
        <v>2948</v>
      </c>
      <c r="B1699" t="s">
        <v>38</v>
      </c>
      <c r="C1699" t="s">
        <v>76</v>
      </c>
      <c r="D1699" t="s">
        <v>77</v>
      </c>
      <c r="E1699" s="1" t="s">
        <v>89</v>
      </c>
      <c r="F1699" t="s">
        <v>90</v>
      </c>
      <c r="G1699">
        <v>29</v>
      </c>
      <c r="H1699">
        <v>499826</v>
      </c>
      <c r="I1699">
        <v>0</v>
      </c>
      <c r="J1699">
        <v>94</v>
      </c>
      <c r="K1699">
        <v>81</v>
      </c>
      <c r="L1699">
        <v>-499826</v>
      </c>
      <c r="M1699">
        <v>1</v>
      </c>
      <c r="N1699">
        <v>0</v>
      </c>
      <c r="O1699">
        <v>1.4787491429440599E-3</v>
      </c>
      <c r="P1699">
        <v>0</v>
      </c>
      <c r="Q1699">
        <v>0</v>
      </c>
      <c r="R1699">
        <v>0</v>
      </c>
      <c r="S1699">
        <v>0</v>
      </c>
      <c r="T1699">
        <v>71.887944790000006</v>
      </c>
      <c r="U1699">
        <f t="shared" si="52"/>
        <v>0</v>
      </c>
      <c r="V1699">
        <f t="shared" si="53"/>
        <v>0</v>
      </c>
    </row>
    <row r="1700" spans="1:22" x14ac:dyDescent="0.2">
      <c r="A1700" t="s">
        <v>2948</v>
      </c>
      <c r="B1700" t="s">
        <v>38</v>
      </c>
      <c r="C1700" t="s">
        <v>76</v>
      </c>
      <c r="D1700" t="s">
        <v>77</v>
      </c>
      <c r="E1700" s="1" t="s">
        <v>89</v>
      </c>
      <c r="F1700" t="s">
        <v>90</v>
      </c>
      <c r="G1700">
        <v>33</v>
      </c>
      <c r="H1700">
        <v>345166</v>
      </c>
      <c r="I1700">
        <v>0</v>
      </c>
      <c r="J1700">
        <v>81</v>
      </c>
      <c r="K1700">
        <v>95</v>
      </c>
      <c r="L1700">
        <v>-345166</v>
      </c>
      <c r="M1700">
        <v>1</v>
      </c>
      <c r="N1700">
        <v>0</v>
      </c>
      <c r="O1700">
        <v>1.0211832251092001E-3</v>
      </c>
      <c r="P1700">
        <v>0</v>
      </c>
      <c r="Q1700">
        <v>0</v>
      </c>
      <c r="R1700">
        <v>0</v>
      </c>
      <c r="S1700">
        <v>0</v>
      </c>
      <c r="T1700">
        <v>71.887944790000006</v>
      </c>
      <c r="U1700">
        <f t="shared" si="52"/>
        <v>0</v>
      </c>
      <c r="V1700">
        <f t="shared" si="53"/>
        <v>0</v>
      </c>
    </row>
    <row r="1701" spans="1:22" x14ac:dyDescent="0.2">
      <c r="A1701" t="s">
        <v>2948</v>
      </c>
      <c r="B1701" t="s">
        <v>38</v>
      </c>
      <c r="C1701" t="s">
        <v>76</v>
      </c>
      <c r="D1701" t="s">
        <v>77</v>
      </c>
      <c r="E1701">
        <v>20</v>
      </c>
      <c r="F1701" t="s">
        <v>104</v>
      </c>
      <c r="G1701">
        <v>94</v>
      </c>
      <c r="H1701">
        <v>726582</v>
      </c>
      <c r="I1701">
        <v>0</v>
      </c>
      <c r="J1701">
        <v>61</v>
      </c>
      <c r="K1701">
        <v>103</v>
      </c>
      <c r="L1701">
        <v>-726582</v>
      </c>
      <c r="M1701">
        <v>1</v>
      </c>
      <c r="N1701">
        <v>0</v>
      </c>
      <c r="O1701">
        <v>2.1496130849107198E-3</v>
      </c>
      <c r="P1701">
        <v>0</v>
      </c>
      <c r="Q1701">
        <v>0</v>
      </c>
      <c r="R1701">
        <v>0</v>
      </c>
      <c r="S1701">
        <v>0</v>
      </c>
      <c r="T1701">
        <v>71.887944790000006</v>
      </c>
      <c r="U1701">
        <f t="shared" si="52"/>
        <v>0</v>
      </c>
      <c r="V1701">
        <f t="shared" si="53"/>
        <v>0</v>
      </c>
    </row>
    <row r="1702" spans="1:22" x14ac:dyDescent="0.2">
      <c r="A1702" t="s">
        <v>2948</v>
      </c>
      <c r="B1702" t="s">
        <v>38</v>
      </c>
      <c r="C1702" t="s">
        <v>76</v>
      </c>
      <c r="D1702" t="s">
        <v>77</v>
      </c>
      <c r="E1702">
        <v>16</v>
      </c>
      <c r="F1702" t="s">
        <v>95</v>
      </c>
      <c r="G1702">
        <v>85</v>
      </c>
      <c r="H1702">
        <v>1024417</v>
      </c>
      <c r="I1702">
        <v>993</v>
      </c>
      <c r="J1702">
        <v>99</v>
      </c>
      <c r="K1702">
        <v>110</v>
      </c>
      <c r="L1702">
        <v>-1023424</v>
      </c>
      <c r="M1702" s="1" t="s">
        <v>2960</v>
      </c>
      <c r="N1702" s="1" t="s">
        <v>2961</v>
      </c>
      <c r="O1702">
        <v>3.0337040463406699E-3</v>
      </c>
      <c r="P1702">
        <v>0</v>
      </c>
      <c r="Q1702">
        <v>0</v>
      </c>
      <c r="R1702">
        <v>0</v>
      </c>
      <c r="S1702">
        <v>0</v>
      </c>
      <c r="T1702">
        <v>71.887944790000006</v>
      </c>
      <c r="U1702">
        <f t="shared" si="52"/>
        <v>0</v>
      </c>
      <c r="V1702">
        <f t="shared" si="53"/>
        <v>0</v>
      </c>
    </row>
    <row r="1703" spans="1:22" x14ac:dyDescent="0.2">
      <c r="A1703" t="s">
        <v>2948</v>
      </c>
      <c r="B1703" t="s">
        <v>38</v>
      </c>
      <c r="C1703" t="s">
        <v>76</v>
      </c>
      <c r="D1703" t="s">
        <v>77</v>
      </c>
      <c r="E1703">
        <v>16</v>
      </c>
      <c r="F1703" t="s">
        <v>95</v>
      </c>
      <c r="G1703">
        <v>84</v>
      </c>
      <c r="H1703">
        <v>1136672</v>
      </c>
      <c r="I1703">
        <v>460</v>
      </c>
      <c r="J1703">
        <v>105</v>
      </c>
      <c r="K1703">
        <v>110</v>
      </c>
      <c r="L1703">
        <v>-1136212</v>
      </c>
      <c r="M1703" s="1" t="s">
        <v>2962</v>
      </c>
      <c r="N1703" s="1" t="s">
        <v>2963</v>
      </c>
      <c r="O1703">
        <v>3.36423669519847E-3</v>
      </c>
      <c r="P1703">
        <v>0</v>
      </c>
      <c r="Q1703">
        <v>0</v>
      </c>
      <c r="R1703">
        <v>0</v>
      </c>
      <c r="S1703">
        <v>0</v>
      </c>
      <c r="T1703">
        <v>71.887944790000006</v>
      </c>
      <c r="U1703">
        <f t="shared" si="52"/>
        <v>0</v>
      </c>
      <c r="V1703">
        <f t="shared" si="53"/>
        <v>0</v>
      </c>
    </row>
    <row r="1704" spans="1:22" x14ac:dyDescent="0.2">
      <c r="A1704" t="s">
        <v>2948</v>
      </c>
      <c r="B1704" t="s">
        <v>38</v>
      </c>
      <c r="C1704" t="s">
        <v>76</v>
      </c>
      <c r="D1704" t="s">
        <v>77</v>
      </c>
      <c r="E1704">
        <v>10</v>
      </c>
      <c r="F1704" t="s">
        <v>119</v>
      </c>
      <c r="G1704">
        <v>48</v>
      </c>
      <c r="H1704">
        <v>186819</v>
      </c>
      <c r="I1704">
        <v>209</v>
      </c>
      <c r="J1704">
        <v>126</v>
      </c>
      <c r="K1704">
        <v>90</v>
      </c>
      <c r="L1704">
        <v>-186610</v>
      </c>
      <c r="M1704" s="1" t="s">
        <v>2964</v>
      </c>
      <c r="N1704">
        <v>1.1174797356545501E-3</v>
      </c>
      <c r="O1704" s="1" t="s">
        <v>2965</v>
      </c>
      <c r="P1704">
        <v>0</v>
      </c>
      <c r="Q1704">
        <v>0</v>
      </c>
      <c r="R1704">
        <v>0</v>
      </c>
      <c r="S1704">
        <v>0</v>
      </c>
      <c r="T1704">
        <v>71.887944790000006</v>
      </c>
      <c r="U1704">
        <f t="shared" si="52"/>
        <v>0</v>
      </c>
      <c r="V1704">
        <f t="shared" si="53"/>
        <v>0</v>
      </c>
    </row>
    <row r="1705" spans="1:22" x14ac:dyDescent="0.2">
      <c r="A1705" t="s">
        <v>2948</v>
      </c>
      <c r="B1705" t="s">
        <v>38</v>
      </c>
      <c r="C1705" t="s">
        <v>76</v>
      </c>
      <c r="D1705" t="s">
        <v>77</v>
      </c>
      <c r="E1705" s="1" t="s">
        <v>89</v>
      </c>
      <c r="F1705" t="s">
        <v>90</v>
      </c>
      <c r="G1705">
        <v>32</v>
      </c>
      <c r="H1705">
        <v>40173</v>
      </c>
      <c r="I1705">
        <v>0</v>
      </c>
      <c r="J1705">
        <v>98</v>
      </c>
      <c r="K1705">
        <v>80</v>
      </c>
      <c r="L1705">
        <v>-40173</v>
      </c>
      <c r="M1705">
        <v>1</v>
      </c>
      <c r="N1705">
        <v>0</v>
      </c>
      <c r="O1705" s="1" t="s">
        <v>2966</v>
      </c>
      <c r="P1705">
        <v>0</v>
      </c>
      <c r="Q1705">
        <v>0</v>
      </c>
      <c r="R1705">
        <v>0</v>
      </c>
      <c r="S1705">
        <v>0</v>
      </c>
      <c r="T1705">
        <v>71.887944790000006</v>
      </c>
      <c r="U1705">
        <f t="shared" si="52"/>
        <v>0</v>
      </c>
      <c r="V1705">
        <f t="shared" si="53"/>
        <v>0</v>
      </c>
    </row>
    <row r="1706" spans="1:22" x14ac:dyDescent="0.2">
      <c r="A1706" t="s">
        <v>2948</v>
      </c>
      <c r="B1706" t="s">
        <v>38</v>
      </c>
      <c r="C1706" t="s">
        <v>76</v>
      </c>
      <c r="D1706" t="s">
        <v>77</v>
      </c>
      <c r="E1706" s="1" t="s">
        <v>89</v>
      </c>
      <c r="F1706" t="s">
        <v>90</v>
      </c>
      <c r="G1706">
        <v>35</v>
      </c>
      <c r="H1706">
        <v>27107</v>
      </c>
      <c r="I1706">
        <v>0</v>
      </c>
      <c r="J1706">
        <v>50</v>
      </c>
      <c r="K1706">
        <v>73</v>
      </c>
      <c r="L1706">
        <v>-27107</v>
      </c>
      <c r="M1706">
        <v>1</v>
      </c>
      <c r="N1706">
        <v>0</v>
      </c>
      <c r="O1706" s="1" t="s">
        <v>2967</v>
      </c>
      <c r="P1706">
        <v>0</v>
      </c>
      <c r="Q1706">
        <v>0</v>
      </c>
      <c r="R1706">
        <v>0</v>
      </c>
      <c r="S1706">
        <v>0</v>
      </c>
      <c r="T1706">
        <v>71.887944790000006</v>
      </c>
      <c r="U1706">
        <f t="shared" si="52"/>
        <v>0</v>
      </c>
      <c r="V1706">
        <f t="shared" si="53"/>
        <v>0</v>
      </c>
    </row>
    <row r="1707" spans="1:22" x14ac:dyDescent="0.2">
      <c r="A1707" t="s">
        <v>2948</v>
      </c>
      <c r="B1707" t="s">
        <v>38</v>
      </c>
      <c r="C1707" t="s">
        <v>76</v>
      </c>
      <c r="D1707" t="s">
        <v>77</v>
      </c>
      <c r="E1707">
        <v>18</v>
      </c>
      <c r="F1707" t="s">
        <v>147</v>
      </c>
      <c r="G1707">
        <v>90</v>
      </c>
      <c r="H1707">
        <v>150710</v>
      </c>
      <c r="I1707">
        <v>0</v>
      </c>
      <c r="J1707">
        <v>104</v>
      </c>
      <c r="K1707">
        <v>103</v>
      </c>
      <c r="L1707">
        <v>-150710</v>
      </c>
      <c r="M1707">
        <v>1</v>
      </c>
      <c r="N1707">
        <v>0</v>
      </c>
      <c r="O1707" s="1" t="s">
        <v>2968</v>
      </c>
      <c r="P1707">
        <v>0</v>
      </c>
      <c r="Q1707">
        <v>0</v>
      </c>
      <c r="R1707">
        <v>0</v>
      </c>
      <c r="S1707">
        <v>0</v>
      </c>
      <c r="T1707">
        <v>71.887944790000006</v>
      </c>
      <c r="U1707">
        <f t="shared" si="52"/>
        <v>0</v>
      </c>
      <c r="V1707">
        <f t="shared" si="53"/>
        <v>0</v>
      </c>
    </row>
    <row r="1708" spans="1:22" x14ac:dyDescent="0.2">
      <c r="A1708" t="s">
        <v>2948</v>
      </c>
      <c r="B1708" t="s">
        <v>38</v>
      </c>
      <c r="C1708" t="s">
        <v>76</v>
      </c>
      <c r="D1708" t="s">
        <v>77</v>
      </c>
      <c r="E1708">
        <v>15</v>
      </c>
      <c r="F1708" t="s">
        <v>88</v>
      </c>
      <c r="G1708">
        <v>83</v>
      </c>
      <c r="H1708">
        <v>58024</v>
      </c>
      <c r="I1708">
        <v>0</v>
      </c>
      <c r="J1708">
        <v>70</v>
      </c>
      <c r="K1708">
        <v>85</v>
      </c>
      <c r="L1708">
        <v>-58024</v>
      </c>
      <c r="M1708">
        <v>1</v>
      </c>
      <c r="N1708">
        <v>0</v>
      </c>
      <c r="O1708" s="1" t="s">
        <v>2969</v>
      </c>
      <c r="P1708">
        <v>0</v>
      </c>
      <c r="Q1708">
        <v>0</v>
      </c>
      <c r="R1708">
        <v>0</v>
      </c>
      <c r="S1708">
        <v>0</v>
      </c>
      <c r="T1708">
        <v>71.887944790000006</v>
      </c>
      <c r="U1708">
        <f t="shared" si="52"/>
        <v>0</v>
      </c>
      <c r="V1708">
        <f t="shared" si="53"/>
        <v>0</v>
      </c>
    </row>
    <row r="1709" spans="1:22" x14ac:dyDescent="0.2">
      <c r="A1709" t="s">
        <v>2948</v>
      </c>
      <c r="B1709" t="s">
        <v>38</v>
      </c>
      <c r="C1709" t="s">
        <v>76</v>
      </c>
      <c r="D1709" t="s">
        <v>77</v>
      </c>
      <c r="E1709">
        <v>11</v>
      </c>
      <c r="F1709" t="s">
        <v>127</v>
      </c>
      <c r="G1709">
        <v>54</v>
      </c>
      <c r="H1709">
        <v>6671</v>
      </c>
      <c r="I1709">
        <v>0</v>
      </c>
      <c r="J1709">
        <v>60</v>
      </c>
      <c r="K1709">
        <v>68</v>
      </c>
      <c r="L1709">
        <v>-6671</v>
      </c>
      <c r="M1709">
        <v>1</v>
      </c>
      <c r="N1709">
        <v>0</v>
      </c>
      <c r="O1709" s="1" t="s">
        <v>2970</v>
      </c>
      <c r="P1709">
        <v>0</v>
      </c>
      <c r="Q1709">
        <v>0</v>
      </c>
      <c r="R1709">
        <v>0</v>
      </c>
      <c r="S1709">
        <v>0</v>
      </c>
      <c r="T1709">
        <v>71.887944790000006</v>
      </c>
      <c r="U1709">
        <f t="shared" si="52"/>
        <v>0</v>
      </c>
      <c r="V1709">
        <f t="shared" si="53"/>
        <v>0</v>
      </c>
    </row>
    <row r="1710" spans="1:22" x14ac:dyDescent="0.2">
      <c r="A1710" t="s">
        <v>2948</v>
      </c>
      <c r="B1710" t="s">
        <v>38</v>
      </c>
      <c r="C1710" t="s">
        <v>76</v>
      </c>
      <c r="D1710" t="s">
        <v>77</v>
      </c>
      <c r="E1710">
        <v>15</v>
      </c>
      <c r="F1710" t="s">
        <v>88</v>
      </c>
      <c r="G1710">
        <v>72</v>
      </c>
      <c r="H1710">
        <v>1415699</v>
      </c>
      <c r="I1710">
        <v>0</v>
      </c>
      <c r="J1710">
        <v>108</v>
      </c>
      <c r="K1710">
        <v>74</v>
      </c>
      <c r="L1710">
        <v>-1415699</v>
      </c>
      <c r="M1710">
        <v>1</v>
      </c>
      <c r="N1710">
        <v>0</v>
      </c>
      <c r="O1710">
        <v>4.1883849237870198E-3</v>
      </c>
      <c r="P1710">
        <v>0</v>
      </c>
      <c r="Q1710">
        <v>0</v>
      </c>
      <c r="R1710">
        <v>0</v>
      </c>
      <c r="S1710">
        <v>0</v>
      </c>
      <c r="T1710">
        <v>71.887944790000006</v>
      </c>
      <c r="U1710">
        <f t="shared" si="52"/>
        <v>0</v>
      </c>
      <c r="V1710">
        <f t="shared" si="53"/>
        <v>0</v>
      </c>
    </row>
    <row r="1711" spans="1:22" x14ac:dyDescent="0.2">
      <c r="A1711" t="s">
        <v>2948</v>
      </c>
      <c r="B1711" t="s">
        <v>38</v>
      </c>
      <c r="C1711" t="s">
        <v>76</v>
      </c>
      <c r="D1711" t="s">
        <v>77</v>
      </c>
      <c r="E1711" s="1" t="s">
        <v>89</v>
      </c>
      <c r="F1711" t="s">
        <v>90</v>
      </c>
      <c r="G1711">
        <v>34</v>
      </c>
      <c r="H1711">
        <v>83982</v>
      </c>
      <c r="I1711">
        <v>8</v>
      </c>
      <c r="J1711">
        <v>86</v>
      </c>
      <c r="K1711">
        <v>85</v>
      </c>
      <c r="L1711">
        <v>-83974</v>
      </c>
      <c r="M1711" s="1" t="s">
        <v>2971</v>
      </c>
      <c r="N1711" s="1" t="s">
        <v>2972</v>
      </c>
      <c r="O1711" s="1" t="s">
        <v>2973</v>
      </c>
      <c r="P1711">
        <v>0</v>
      </c>
      <c r="Q1711">
        <v>0</v>
      </c>
      <c r="R1711">
        <v>0</v>
      </c>
      <c r="S1711">
        <v>0</v>
      </c>
      <c r="T1711">
        <v>71.887944790000006</v>
      </c>
      <c r="U1711">
        <f t="shared" si="52"/>
        <v>0</v>
      </c>
      <c r="V1711">
        <f t="shared" si="53"/>
        <v>0</v>
      </c>
    </row>
    <row r="1712" spans="1:22" x14ac:dyDescent="0.2">
      <c r="A1712" t="s">
        <v>2948</v>
      </c>
      <c r="B1712" t="s">
        <v>38</v>
      </c>
      <c r="C1712" t="s">
        <v>76</v>
      </c>
      <c r="D1712" t="s">
        <v>77</v>
      </c>
      <c r="E1712">
        <v>13</v>
      </c>
      <c r="F1712" t="s">
        <v>91</v>
      </c>
      <c r="G1712">
        <v>69</v>
      </c>
      <c r="H1712">
        <v>28958</v>
      </c>
      <c r="I1712">
        <v>0</v>
      </c>
      <c r="J1712">
        <v>78</v>
      </c>
      <c r="K1712">
        <v>91</v>
      </c>
      <c r="L1712">
        <v>-28958</v>
      </c>
      <c r="M1712">
        <v>1</v>
      </c>
      <c r="N1712">
        <v>0</v>
      </c>
      <c r="O1712" s="1" t="s">
        <v>2974</v>
      </c>
      <c r="P1712">
        <v>0</v>
      </c>
      <c r="Q1712">
        <v>0</v>
      </c>
      <c r="R1712">
        <v>0</v>
      </c>
      <c r="S1712">
        <v>0</v>
      </c>
      <c r="T1712">
        <v>71.887944790000006</v>
      </c>
      <c r="U1712">
        <f t="shared" si="52"/>
        <v>0</v>
      </c>
      <c r="V1712">
        <f t="shared" si="53"/>
        <v>0</v>
      </c>
    </row>
    <row r="1713" spans="1:22" x14ac:dyDescent="0.2">
      <c r="A1713" t="s">
        <v>2948</v>
      </c>
      <c r="B1713" t="s">
        <v>38</v>
      </c>
      <c r="C1713" t="s">
        <v>76</v>
      </c>
      <c r="D1713" t="s">
        <v>77</v>
      </c>
      <c r="E1713" s="1" t="s">
        <v>89</v>
      </c>
      <c r="F1713" t="s">
        <v>90</v>
      </c>
      <c r="G1713">
        <v>38</v>
      </c>
      <c r="H1713">
        <v>14088</v>
      </c>
      <c r="I1713">
        <v>0</v>
      </c>
      <c r="J1713">
        <v>114</v>
      </c>
      <c r="K1713">
        <v>87</v>
      </c>
      <c r="L1713">
        <v>-14088</v>
      </c>
      <c r="M1713">
        <v>1</v>
      </c>
      <c r="N1713">
        <v>0</v>
      </c>
      <c r="O1713" s="1" t="s">
        <v>2975</v>
      </c>
      <c r="P1713">
        <v>0</v>
      </c>
      <c r="Q1713">
        <v>0</v>
      </c>
      <c r="R1713">
        <v>0</v>
      </c>
      <c r="S1713">
        <v>0</v>
      </c>
      <c r="T1713">
        <v>71.887944790000006</v>
      </c>
      <c r="U1713">
        <f t="shared" si="52"/>
        <v>0</v>
      </c>
      <c r="V1713">
        <f t="shared" si="53"/>
        <v>0</v>
      </c>
    </row>
    <row r="1714" spans="1:22" x14ac:dyDescent="0.2">
      <c r="A1714" t="s">
        <v>2948</v>
      </c>
      <c r="B1714" t="s">
        <v>38</v>
      </c>
      <c r="C1714" t="s">
        <v>76</v>
      </c>
      <c r="D1714" t="s">
        <v>77</v>
      </c>
      <c r="E1714">
        <v>13</v>
      </c>
      <c r="F1714" t="s">
        <v>91</v>
      </c>
      <c r="G1714">
        <v>68</v>
      </c>
      <c r="H1714">
        <v>188489</v>
      </c>
      <c r="I1714">
        <v>0</v>
      </c>
      <c r="J1714">
        <v>79</v>
      </c>
      <c r="K1714">
        <v>85</v>
      </c>
      <c r="L1714">
        <v>-188489</v>
      </c>
      <c r="M1714">
        <v>1</v>
      </c>
      <c r="N1714">
        <v>0</v>
      </c>
      <c r="O1714" s="1" t="s">
        <v>2976</v>
      </c>
      <c r="P1714">
        <v>0</v>
      </c>
      <c r="Q1714">
        <v>0</v>
      </c>
      <c r="R1714">
        <v>0</v>
      </c>
      <c r="S1714">
        <v>0</v>
      </c>
      <c r="T1714">
        <v>71.887944790000006</v>
      </c>
      <c r="U1714">
        <f t="shared" si="52"/>
        <v>0</v>
      </c>
      <c r="V1714">
        <f t="shared" si="53"/>
        <v>0</v>
      </c>
    </row>
    <row r="1715" spans="1:22" x14ac:dyDescent="0.2">
      <c r="A1715" t="s">
        <v>2948</v>
      </c>
      <c r="B1715" t="s">
        <v>38</v>
      </c>
      <c r="C1715" t="s">
        <v>76</v>
      </c>
      <c r="D1715" t="s">
        <v>77</v>
      </c>
      <c r="E1715" s="1" t="s">
        <v>93</v>
      </c>
      <c r="F1715" t="s">
        <v>94</v>
      </c>
      <c r="G1715">
        <v>44</v>
      </c>
      <c r="H1715">
        <v>472231</v>
      </c>
      <c r="I1715">
        <v>6210</v>
      </c>
      <c r="J1715">
        <v>101</v>
      </c>
      <c r="K1715">
        <v>83</v>
      </c>
      <c r="L1715">
        <v>-466021</v>
      </c>
      <c r="M1715" s="1" t="s">
        <v>2977</v>
      </c>
      <c r="N1715" s="1" t="s">
        <v>2978</v>
      </c>
      <c r="O1715">
        <v>1.41548102479523E-3</v>
      </c>
      <c r="P1715">
        <v>0</v>
      </c>
      <c r="Q1715">
        <v>0</v>
      </c>
      <c r="R1715">
        <v>0</v>
      </c>
      <c r="S1715">
        <v>0</v>
      </c>
      <c r="T1715">
        <v>71.887944790000006</v>
      </c>
      <c r="U1715">
        <f t="shared" si="52"/>
        <v>0</v>
      </c>
      <c r="V1715">
        <f t="shared" si="53"/>
        <v>0</v>
      </c>
    </row>
    <row r="1716" spans="1:22" x14ac:dyDescent="0.2">
      <c r="A1716" t="s">
        <v>2948</v>
      </c>
      <c r="B1716" t="s">
        <v>38</v>
      </c>
      <c r="C1716" t="s">
        <v>76</v>
      </c>
      <c r="D1716" t="s">
        <v>77</v>
      </c>
      <c r="E1716">
        <v>21</v>
      </c>
      <c r="F1716" t="s">
        <v>212</v>
      </c>
      <c r="G1716">
        <v>97</v>
      </c>
      <c r="H1716">
        <v>2046</v>
      </c>
      <c r="I1716">
        <v>0</v>
      </c>
      <c r="J1716">
        <v>78</v>
      </c>
      <c r="K1716">
        <v>90</v>
      </c>
      <c r="L1716">
        <v>-2046</v>
      </c>
      <c r="M1716">
        <v>1</v>
      </c>
      <c r="N1716">
        <v>0</v>
      </c>
      <c r="O1716" s="1" t="s">
        <v>2979</v>
      </c>
      <c r="P1716">
        <v>0</v>
      </c>
      <c r="Q1716">
        <v>0</v>
      </c>
      <c r="R1716">
        <v>0</v>
      </c>
      <c r="S1716">
        <v>0</v>
      </c>
      <c r="T1716">
        <v>71.887944790000006</v>
      </c>
      <c r="U1716">
        <f t="shared" si="52"/>
        <v>0</v>
      </c>
      <c r="V1716">
        <f t="shared" si="53"/>
        <v>0</v>
      </c>
    </row>
    <row r="1717" spans="1:22" x14ac:dyDescent="0.2">
      <c r="A1717" t="s">
        <v>2948</v>
      </c>
      <c r="B1717" t="s">
        <v>38</v>
      </c>
      <c r="C1717" t="s">
        <v>76</v>
      </c>
      <c r="D1717" t="s">
        <v>77</v>
      </c>
      <c r="E1717">
        <v>99</v>
      </c>
      <c r="F1717" t="s">
        <v>78</v>
      </c>
      <c r="G1717">
        <v>99</v>
      </c>
      <c r="H1717">
        <v>15655</v>
      </c>
      <c r="I1717">
        <v>0</v>
      </c>
      <c r="J1717">
        <v>97</v>
      </c>
      <c r="K1717">
        <v>98</v>
      </c>
      <c r="L1717">
        <v>-15655</v>
      </c>
      <c r="M1717">
        <v>1</v>
      </c>
      <c r="N1717">
        <v>0</v>
      </c>
      <c r="O1717" s="1" t="s">
        <v>2980</v>
      </c>
      <c r="P1717">
        <v>0</v>
      </c>
      <c r="Q1717">
        <v>0</v>
      </c>
      <c r="R1717">
        <v>0</v>
      </c>
      <c r="S1717">
        <v>0</v>
      </c>
      <c r="T1717">
        <v>71.887944790000006</v>
      </c>
      <c r="U1717">
        <f t="shared" si="52"/>
        <v>0</v>
      </c>
      <c r="V1717">
        <f t="shared" si="53"/>
        <v>0</v>
      </c>
    </row>
    <row r="1718" spans="1:22" x14ac:dyDescent="0.2">
      <c r="A1718" t="s">
        <v>2948</v>
      </c>
      <c r="B1718" t="s">
        <v>38</v>
      </c>
      <c r="C1718" t="s">
        <v>76</v>
      </c>
      <c r="D1718" t="s">
        <v>77</v>
      </c>
      <c r="E1718">
        <v>15</v>
      </c>
      <c r="F1718" t="s">
        <v>88</v>
      </c>
      <c r="G1718">
        <v>82</v>
      </c>
      <c r="H1718">
        <v>438081</v>
      </c>
      <c r="I1718">
        <v>0</v>
      </c>
      <c r="J1718">
        <v>75</v>
      </c>
      <c r="K1718">
        <v>96</v>
      </c>
      <c r="L1718">
        <v>-438081</v>
      </c>
      <c r="M1718">
        <v>1</v>
      </c>
      <c r="N1718">
        <v>0</v>
      </c>
      <c r="O1718">
        <v>1.29607484062469E-3</v>
      </c>
      <c r="P1718">
        <v>0</v>
      </c>
      <c r="Q1718">
        <v>0</v>
      </c>
      <c r="R1718">
        <v>0</v>
      </c>
      <c r="S1718">
        <v>0</v>
      </c>
      <c r="T1718">
        <v>71.887944790000006</v>
      </c>
      <c r="U1718">
        <f t="shared" si="52"/>
        <v>0</v>
      </c>
      <c r="V1718">
        <f t="shared" si="53"/>
        <v>0</v>
      </c>
    </row>
    <row r="1719" spans="1:22" x14ac:dyDescent="0.2">
      <c r="A1719" t="s">
        <v>2948</v>
      </c>
      <c r="B1719" t="s">
        <v>38</v>
      </c>
      <c r="C1719" t="s">
        <v>76</v>
      </c>
      <c r="D1719" t="s">
        <v>77</v>
      </c>
      <c r="E1719">
        <v>11</v>
      </c>
      <c r="F1719" t="s">
        <v>127</v>
      </c>
      <c r="G1719">
        <v>62</v>
      </c>
      <c r="H1719">
        <v>4158</v>
      </c>
      <c r="I1719">
        <v>113</v>
      </c>
      <c r="J1719">
        <v>99</v>
      </c>
      <c r="K1719">
        <v>100</v>
      </c>
      <c r="L1719">
        <v>-4045</v>
      </c>
      <c r="M1719" s="1" t="s">
        <v>2981</v>
      </c>
      <c r="N1719" s="1" t="s">
        <v>2982</v>
      </c>
      <c r="O1719" s="1" t="s">
        <v>2983</v>
      </c>
      <c r="P1719">
        <v>0</v>
      </c>
      <c r="Q1719">
        <v>0</v>
      </c>
      <c r="R1719">
        <v>0</v>
      </c>
      <c r="S1719">
        <v>0</v>
      </c>
      <c r="T1719">
        <v>71.887944790000006</v>
      </c>
      <c r="U1719">
        <f t="shared" si="52"/>
        <v>0</v>
      </c>
      <c r="V1719">
        <f t="shared" si="53"/>
        <v>0</v>
      </c>
    </row>
    <row r="1720" spans="1:22" x14ac:dyDescent="0.2">
      <c r="A1720" t="s">
        <v>2948</v>
      </c>
      <c r="B1720" t="s">
        <v>38</v>
      </c>
      <c r="C1720" t="s">
        <v>76</v>
      </c>
      <c r="D1720" t="s">
        <v>77</v>
      </c>
      <c r="E1720">
        <v>15</v>
      </c>
      <c r="F1720" t="s">
        <v>88</v>
      </c>
      <c r="G1720">
        <v>74</v>
      </c>
      <c r="H1720">
        <v>27144</v>
      </c>
      <c r="I1720">
        <v>393171</v>
      </c>
      <c r="J1720">
        <v>78</v>
      </c>
      <c r="K1720">
        <v>59</v>
      </c>
      <c r="L1720">
        <v>366027</v>
      </c>
      <c r="M1720">
        <v>6.4580136326326601E-2</v>
      </c>
      <c r="N1720" s="1" t="s">
        <v>2984</v>
      </c>
      <c r="O1720">
        <v>1.2435136347779699E-3</v>
      </c>
      <c r="P1720">
        <v>0</v>
      </c>
      <c r="Q1720">
        <v>0</v>
      </c>
      <c r="R1720">
        <v>0</v>
      </c>
      <c r="S1720">
        <v>0</v>
      </c>
      <c r="T1720">
        <v>71.887944790000006</v>
      </c>
      <c r="U1720">
        <f t="shared" si="52"/>
        <v>0</v>
      </c>
      <c r="V1720">
        <f t="shared" si="53"/>
        <v>0</v>
      </c>
    </row>
    <row r="1721" spans="1:22" x14ac:dyDescent="0.2">
      <c r="A1721" t="s">
        <v>2948</v>
      </c>
      <c r="B1721" t="s">
        <v>38</v>
      </c>
      <c r="C1721" t="s">
        <v>76</v>
      </c>
      <c r="D1721" t="s">
        <v>77</v>
      </c>
      <c r="E1721" s="1" t="s">
        <v>138</v>
      </c>
      <c r="F1721" t="s">
        <v>139</v>
      </c>
      <c r="G1721">
        <v>22</v>
      </c>
      <c r="H1721">
        <v>18843</v>
      </c>
      <c r="I1721">
        <v>206</v>
      </c>
      <c r="J1721">
        <v>118</v>
      </c>
      <c r="K1721">
        <v>91</v>
      </c>
      <c r="L1721">
        <v>-18637</v>
      </c>
      <c r="M1721" s="1" t="s">
        <v>2985</v>
      </c>
      <c r="N1721" s="1" t="s">
        <v>2986</v>
      </c>
      <c r="O1721" s="1" t="s">
        <v>2987</v>
      </c>
      <c r="P1721">
        <v>0</v>
      </c>
      <c r="Q1721">
        <v>0</v>
      </c>
      <c r="R1721">
        <v>0</v>
      </c>
      <c r="S1721">
        <v>0</v>
      </c>
      <c r="T1721">
        <v>71.887944790000006</v>
      </c>
      <c r="U1721">
        <f t="shared" si="52"/>
        <v>0</v>
      </c>
      <c r="V1721">
        <f t="shared" si="53"/>
        <v>0</v>
      </c>
    </row>
    <row r="1722" spans="1:22" x14ac:dyDescent="0.2">
      <c r="A1722" t="s">
        <v>2948</v>
      </c>
      <c r="B1722" t="s">
        <v>38</v>
      </c>
      <c r="C1722" t="s">
        <v>76</v>
      </c>
      <c r="D1722" t="s">
        <v>77</v>
      </c>
      <c r="E1722">
        <v>10</v>
      </c>
      <c r="F1722" t="s">
        <v>119</v>
      </c>
      <c r="G1722">
        <v>49</v>
      </c>
      <c r="H1722">
        <v>30319</v>
      </c>
      <c r="I1722">
        <v>0</v>
      </c>
      <c r="J1722">
        <v>77</v>
      </c>
      <c r="K1722">
        <v>109</v>
      </c>
      <c r="L1722">
        <v>-30319</v>
      </c>
      <c r="M1722">
        <v>1</v>
      </c>
      <c r="N1722">
        <v>0</v>
      </c>
      <c r="O1722" s="1" t="s">
        <v>2988</v>
      </c>
      <c r="P1722">
        <v>0</v>
      </c>
      <c r="Q1722">
        <v>0</v>
      </c>
      <c r="R1722">
        <v>0</v>
      </c>
      <c r="S1722">
        <v>0</v>
      </c>
      <c r="T1722">
        <v>71.887944790000006</v>
      </c>
      <c r="U1722">
        <f t="shared" si="52"/>
        <v>0</v>
      </c>
      <c r="V1722">
        <f t="shared" si="53"/>
        <v>0</v>
      </c>
    </row>
    <row r="1723" spans="1:22" x14ac:dyDescent="0.2">
      <c r="A1723" t="s">
        <v>2948</v>
      </c>
      <c r="B1723" t="s">
        <v>38</v>
      </c>
      <c r="C1723" t="s">
        <v>76</v>
      </c>
      <c r="D1723" t="s">
        <v>77</v>
      </c>
      <c r="E1723">
        <v>11</v>
      </c>
      <c r="F1723" t="s">
        <v>127</v>
      </c>
      <c r="G1723">
        <v>63</v>
      </c>
      <c r="H1723">
        <v>1230</v>
      </c>
      <c r="I1723">
        <v>683102</v>
      </c>
      <c r="J1723">
        <v>112</v>
      </c>
      <c r="K1723">
        <v>56</v>
      </c>
      <c r="L1723">
        <v>681872</v>
      </c>
      <c r="M1723">
        <v>1.7973732048187101E-3</v>
      </c>
      <c r="N1723" s="1" t="s">
        <v>2989</v>
      </c>
      <c r="O1723">
        <v>2.0246152830969101E-3</v>
      </c>
      <c r="P1723">
        <v>0</v>
      </c>
      <c r="Q1723">
        <v>0</v>
      </c>
      <c r="R1723">
        <v>0</v>
      </c>
      <c r="S1723">
        <v>0</v>
      </c>
      <c r="T1723">
        <v>71.887944790000006</v>
      </c>
      <c r="U1723">
        <f t="shared" si="52"/>
        <v>0</v>
      </c>
      <c r="V1723">
        <f t="shared" si="53"/>
        <v>0</v>
      </c>
    </row>
    <row r="1724" spans="1:22" x14ac:dyDescent="0.2">
      <c r="A1724" t="s">
        <v>2948</v>
      </c>
      <c r="B1724" t="s">
        <v>38</v>
      </c>
      <c r="C1724" t="s">
        <v>76</v>
      </c>
      <c r="D1724" t="s">
        <v>77</v>
      </c>
      <c r="E1724">
        <v>11</v>
      </c>
      <c r="F1724" t="s">
        <v>127</v>
      </c>
      <c r="G1724">
        <v>58</v>
      </c>
      <c r="H1724">
        <v>74</v>
      </c>
      <c r="I1724">
        <v>0</v>
      </c>
      <c r="J1724">
        <v>77</v>
      </c>
      <c r="K1724">
        <v>65</v>
      </c>
      <c r="L1724">
        <v>-74</v>
      </c>
      <c r="M1724">
        <v>1</v>
      </c>
      <c r="N1724">
        <v>0</v>
      </c>
      <c r="O1724" s="1" t="s">
        <v>2990</v>
      </c>
      <c r="P1724">
        <v>0</v>
      </c>
      <c r="Q1724">
        <v>0</v>
      </c>
      <c r="R1724">
        <v>0</v>
      </c>
      <c r="S1724">
        <v>0</v>
      </c>
      <c r="T1724">
        <v>71.887944790000006</v>
      </c>
      <c r="U1724">
        <f t="shared" si="52"/>
        <v>0</v>
      </c>
      <c r="V1724">
        <f t="shared" si="53"/>
        <v>0</v>
      </c>
    </row>
    <row r="1725" spans="1:22" x14ac:dyDescent="0.2">
      <c r="A1725" t="s">
        <v>2948</v>
      </c>
      <c r="B1725" t="s">
        <v>38</v>
      </c>
      <c r="C1725" t="s">
        <v>76</v>
      </c>
      <c r="D1725" t="s">
        <v>77</v>
      </c>
      <c r="E1725">
        <v>20</v>
      </c>
      <c r="F1725" t="s">
        <v>104</v>
      </c>
      <c r="G1725">
        <v>95</v>
      </c>
      <c r="H1725">
        <v>6906</v>
      </c>
      <c r="I1725">
        <v>0</v>
      </c>
      <c r="J1725">
        <v>102</v>
      </c>
      <c r="K1725">
        <v>91</v>
      </c>
      <c r="L1725">
        <v>-6906</v>
      </c>
      <c r="M1725">
        <v>1</v>
      </c>
      <c r="N1725">
        <v>0</v>
      </c>
      <c r="O1725" s="1" t="s">
        <v>2991</v>
      </c>
      <c r="P1725">
        <v>0</v>
      </c>
      <c r="Q1725">
        <v>0</v>
      </c>
      <c r="R1725">
        <v>0</v>
      </c>
      <c r="S1725">
        <v>0</v>
      </c>
      <c r="T1725">
        <v>71.887944790000006</v>
      </c>
      <c r="U1725">
        <f t="shared" si="52"/>
        <v>0</v>
      </c>
      <c r="V1725">
        <f t="shared" si="53"/>
        <v>0</v>
      </c>
    </row>
    <row r="1726" spans="1:22" x14ac:dyDescent="0.2">
      <c r="A1726" t="s">
        <v>2948</v>
      </c>
      <c r="B1726" t="s">
        <v>38</v>
      </c>
      <c r="C1726" t="s">
        <v>76</v>
      </c>
      <c r="D1726" t="s">
        <v>77</v>
      </c>
      <c r="E1726">
        <v>18</v>
      </c>
      <c r="F1726" t="s">
        <v>147</v>
      </c>
      <c r="G1726">
        <v>91</v>
      </c>
      <c r="H1726">
        <v>80</v>
      </c>
      <c r="I1726">
        <v>0</v>
      </c>
      <c r="J1726">
        <v>92</v>
      </c>
      <c r="K1726">
        <v>69</v>
      </c>
      <c r="L1726">
        <v>-80</v>
      </c>
      <c r="M1726">
        <v>1</v>
      </c>
      <c r="N1726">
        <v>0</v>
      </c>
      <c r="O1726" s="1" t="s">
        <v>2992</v>
      </c>
      <c r="P1726">
        <v>0</v>
      </c>
      <c r="Q1726">
        <v>0</v>
      </c>
      <c r="R1726">
        <v>0</v>
      </c>
      <c r="S1726">
        <v>0</v>
      </c>
      <c r="T1726">
        <v>71.887944790000006</v>
      </c>
      <c r="U1726">
        <f t="shared" si="52"/>
        <v>0</v>
      </c>
      <c r="V1726">
        <f t="shared" si="53"/>
        <v>0</v>
      </c>
    </row>
    <row r="1727" spans="1:22" x14ac:dyDescent="0.2">
      <c r="A1727" t="s">
        <v>2948</v>
      </c>
      <c r="B1727" t="s">
        <v>38</v>
      </c>
      <c r="C1727" t="s">
        <v>76</v>
      </c>
      <c r="D1727" t="s">
        <v>77</v>
      </c>
      <c r="E1727">
        <v>20</v>
      </c>
      <c r="F1727" t="s">
        <v>104</v>
      </c>
      <c r="G1727">
        <v>96</v>
      </c>
      <c r="H1727">
        <v>2296</v>
      </c>
      <c r="I1727">
        <v>0</v>
      </c>
      <c r="J1727">
        <v>91</v>
      </c>
      <c r="K1727">
        <v>90</v>
      </c>
      <c r="L1727">
        <v>-2296</v>
      </c>
      <c r="M1727">
        <v>1</v>
      </c>
      <c r="N1727">
        <v>0</v>
      </c>
      <c r="O1727" s="1" t="s">
        <v>2993</v>
      </c>
      <c r="P1727">
        <v>0</v>
      </c>
      <c r="Q1727">
        <v>0</v>
      </c>
      <c r="R1727">
        <v>0</v>
      </c>
      <c r="S1727">
        <v>0</v>
      </c>
      <c r="T1727">
        <v>71.887944790000006</v>
      </c>
      <c r="U1727">
        <f t="shared" si="52"/>
        <v>0</v>
      </c>
      <c r="V1727">
        <f t="shared" si="53"/>
        <v>0</v>
      </c>
    </row>
    <row r="1728" spans="1:22" x14ac:dyDescent="0.2">
      <c r="A1728" t="s">
        <v>2948</v>
      </c>
      <c r="B1728" t="s">
        <v>38</v>
      </c>
      <c r="C1728" t="s">
        <v>76</v>
      </c>
      <c r="D1728" t="s">
        <v>77</v>
      </c>
      <c r="E1728">
        <v>11</v>
      </c>
      <c r="F1728" t="s">
        <v>127</v>
      </c>
      <c r="G1728">
        <v>61</v>
      </c>
      <c r="H1728">
        <v>5014</v>
      </c>
      <c r="I1728">
        <v>18</v>
      </c>
      <c r="J1728">
        <v>95</v>
      </c>
      <c r="K1728">
        <v>102</v>
      </c>
      <c r="L1728">
        <v>-4996</v>
      </c>
      <c r="M1728">
        <v>0.99642289348171698</v>
      </c>
      <c r="N1728">
        <v>3.5771065182829799E-3</v>
      </c>
      <c r="O1728" s="1" t="s">
        <v>2994</v>
      </c>
      <c r="P1728">
        <v>0</v>
      </c>
      <c r="Q1728">
        <v>0</v>
      </c>
      <c r="R1728">
        <v>0</v>
      </c>
      <c r="S1728">
        <v>0</v>
      </c>
      <c r="T1728">
        <v>71.887944790000006</v>
      </c>
      <c r="U1728">
        <f t="shared" si="52"/>
        <v>0</v>
      </c>
      <c r="V1728">
        <f t="shared" si="53"/>
        <v>0</v>
      </c>
    </row>
    <row r="1729" spans="1:22" x14ac:dyDescent="0.2">
      <c r="A1729" t="s">
        <v>2948</v>
      </c>
      <c r="B1729" t="s">
        <v>38</v>
      </c>
      <c r="C1729" t="s">
        <v>76</v>
      </c>
      <c r="D1729" t="s">
        <v>77</v>
      </c>
      <c r="E1729" s="1" t="s">
        <v>138</v>
      </c>
      <c r="F1729" t="s">
        <v>139</v>
      </c>
      <c r="G1729">
        <v>24</v>
      </c>
      <c r="H1729">
        <v>0</v>
      </c>
      <c r="I1729">
        <v>646991</v>
      </c>
      <c r="J1729">
        <v>98</v>
      </c>
      <c r="K1729">
        <v>54</v>
      </c>
      <c r="L1729">
        <v>646991</v>
      </c>
      <c r="M1729">
        <v>0</v>
      </c>
      <c r="N1729">
        <v>1</v>
      </c>
      <c r="O1729">
        <v>1.9141408945163401E-3</v>
      </c>
      <c r="P1729">
        <v>0</v>
      </c>
      <c r="Q1729">
        <v>0</v>
      </c>
      <c r="R1729">
        <v>0</v>
      </c>
      <c r="S1729">
        <v>0</v>
      </c>
      <c r="T1729">
        <v>71.887944790000006</v>
      </c>
      <c r="U1729">
        <f t="shared" si="52"/>
        <v>0</v>
      </c>
      <c r="V1729">
        <f t="shared" si="53"/>
        <v>0</v>
      </c>
    </row>
    <row r="1730" spans="1:22" x14ac:dyDescent="0.2">
      <c r="A1730" t="s">
        <v>2948</v>
      </c>
      <c r="B1730" t="s">
        <v>38</v>
      </c>
      <c r="C1730" t="s">
        <v>76</v>
      </c>
      <c r="D1730" t="s">
        <v>77</v>
      </c>
      <c r="E1730" s="1" t="s">
        <v>155</v>
      </c>
      <c r="F1730" t="s">
        <v>156</v>
      </c>
      <c r="G1730" s="1" t="s">
        <v>82</v>
      </c>
      <c r="H1730">
        <v>0</v>
      </c>
      <c r="I1730">
        <v>33270</v>
      </c>
      <c r="J1730">
        <v>61</v>
      </c>
      <c r="K1730">
        <v>40</v>
      </c>
      <c r="L1730">
        <v>33270</v>
      </c>
      <c r="M1730">
        <v>0</v>
      </c>
      <c r="N1730">
        <v>1</v>
      </c>
      <c r="O1730" s="1" t="s">
        <v>2995</v>
      </c>
      <c r="P1730">
        <v>0</v>
      </c>
      <c r="Q1730">
        <v>0</v>
      </c>
      <c r="R1730">
        <v>0</v>
      </c>
      <c r="S1730">
        <v>0</v>
      </c>
      <c r="T1730">
        <v>71.887944790000006</v>
      </c>
      <c r="U1730">
        <f t="shared" si="52"/>
        <v>0</v>
      </c>
      <c r="V1730">
        <f t="shared" si="53"/>
        <v>0</v>
      </c>
    </row>
    <row r="1731" spans="1:22" x14ac:dyDescent="0.2">
      <c r="A1731" t="s">
        <v>2948</v>
      </c>
      <c r="B1731" t="s">
        <v>38</v>
      </c>
      <c r="C1731" t="s">
        <v>76</v>
      </c>
      <c r="D1731" t="s">
        <v>77</v>
      </c>
      <c r="E1731" s="1" t="s">
        <v>82</v>
      </c>
      <c r="F1731" t="s">
        <v>83</v>
      </c>
      <c r="G1731" s="1" t="s">
        <v>93</v>
      </c>
      <c r="H1731">
        <v>0</v>
      </c>
      <c r="I1731">
        <v>19090877</v>
      </c>
      <c r="J1731">
        <v>105</v>
      </c>
      <c r="K1731">
        <v>29</v>
      </c>
      <c r="L1731">
        <v>19090877</v>
      </c>
      <c r="M1731">
        <v>0</v>
      </c>
      <c r="N1731">
        <v>1</v>
      </c>
      <c r="O1731" s="1" t="s">
        <v>2996</v>
      </c>
      <c r="P1731">
        <v>0</v>
      </c>
      <c r="Q1731">
        <v>0</v>
      </c>
      <c r="R1731">
        <v>0</v>
      </c>
      <c r="S1731">
        <v>0</v>
      </c>
      <c r="T1731">
        <v>71.887944790000006</v>
      </c>
      <c r="U1731">
        <f t="shared" ref="U1731:U1794" si="54">IF(OR(P1731=1,Q1731=1),1,0)</f>
        <v>0</v>
      </c>
      <c r="V1731">
        <f t="shared" ref="V1731:V1794" si="55">IF(OR(R1731=1,S1731=1),1,0)</f>
        <v>0</v>
      </c>
    </row>
    <row r="1732" spans="1:22" x14ac:dyDescent="0.2">
      <c r="A1732" t="s">
        <v>2948</v>
      </c>
      <c r="B1732" t="s">
        <v>38</v>
      </c>
      <c r="C1732" t="s">
        <v>76</v>
      </c>
      <c r="D1732" t="s">
        <v>77</v>
      </c>
      <c r="E1732" s="1" t="s">
        <v>82</v>
      </c>
      <c r="F1732" t="s">
        <v>83</v>
      </c>
      <c r="G1732">
        <v>12</v>
      </c>
      <c r="H1732">
        <v>13</v>
      </c>
      <c r="I1732">
        <v>23281258</v>
      </c>
      <c r="J1732">
        <v>101</v>
      </c>
      <c r="K1732">
        <v>27</v>
      </c>
      <c r="L1732">
        <v>23281245</v>
      </c>
      <c r="M1732" s="1" t="s">
        <v>2997</v>
      </c>
      <c r="N1732" s="1" t="s">
        <v>2998</v>
      </c>
      <c r="O1732">
        <v>6.8878288720271699E-2</v>
      </c>
      <c r="P1732">
        <v>0</v>
      </c>
      <c r="Q1732">
        <v>0</v>
      </c>
      <c r="R1732">
        <v>0</v>
      </c>
      <c r="S1732">
        <v>0</v>
      </c>
      <c r="T1732">
        <v>71.887944790000006</v>
      </c>
      <c r="U1732">
        <f t="shared" si="54"/>
        <v>0</v>
      </c>
      <c r="V1732">
        <f t="shared" si="55"/>
        <v>0</v>
      </c>
    </row>
    <row r="1733" spans="1:22" x14ac:dyDescent="0.2">
      <c r="A1733" t="s">
        <v>2999</v>
      </c>
      <c r="B1733" t="s">
        <v>39</v>
      </c>
      <c r="C1733" t="s">
        <v>76</v>
      </c>
      <c r="D1733" t="s">
        <v>77</v>
      </c>
      <c r="E1733" s="1" t="s">
        <v>85</v>
      </c>
      <c r="F1733" t="s">
        <v>86</v>
      </c>
      <c r="G1733">
        <v>27</v>
      </c>
      <c r="H1733">
        <v>575244</v>
      </c>
      <c r="I1733">
        <v>122414</v>
      </c>
      <c r="J1733">
        <v>121</v>
      </c>
      <c r="K1733">
        <v>75</v>
      </c>
      <c r="L1733">
        <v>-452830</v>
      </c>
      <c r="M1733" s="1" t="s">
        <v>3000</v>
      </c>
      <c r="N1733" s="1" t="s">
        <v>3001</v>
      </c>
      <c r="O1733" s="1" t="s">
        <v>3002</v>
      </c>
      <c r="P1733">
        <v>0</v>
      </c>
      <c r="Q1733">
        <v>0</v>
      </c>
      <c r="R1733">
        <v>0</v>
      </c>
      <c r="S1733">
        <v>0</v>
      </c>
      <c r="T1733">
        <v>123.159243</v>
      </c>
      <c r="U1733">
        <f t="shared" si="54"/>
        <v>0</v>
      </c>
      <c r="V1733">
        <f t="shared" si="55"/>
        <v>0</v>
      </c>
    </row>
    <row r="1734" spans="1:22" x14ac:dyDescent="0.2">
      <c r="A1734" t="s">
        <v>2999</v>
      </c>
      <c r="B1734" t="s">
        <v>39</v>
      </c>
      <c r="C1734" t="s">
        <v>76</v>
      </c>
      <c r="D1734" t="s">
        <v>77</v>
      </c>
      <c r="E1734" s="1" t="s">
        <v>99</v>
      </c>
      <c r="F1734" t="s">
        <v>100</v>
      </c>
      <c r="G1734">
        <v>39</v>
      </c>
      <c r="H1734">
        <v>67930</v>
      </c>
      <c r="I1734">
        <v>0</v>
      </c>
      <c r="J1734">
        <v>116</v>
      </c>
      <c r="K1734">
        <v>109</v>
      </c>
      <c r="L1734">
        <v>-67930</v>
      </c>
      <c r="M1734">
        <v>1</v>
      </c>
      <c r="N1734">
        <v>0</v>
      </c>
      <c r="O1734">
        <v>3.32818060619725E-3</v>
      </c>
      <c r="P1734">
        <v>0</v>
      </c>
      <c r="Q1734">
        <v>0</v>
      </c>
      <c r="R1734">
        <v>0</v>
      </c>
      <c r="S1734">
        <v>0</v>
      </c>
      <c r="T1734">
        <v>123.159243</v>
      </c>
      <c r="U1734">
        <f t="shared" si="54"/>
        <v>0</v>
      </c>
      <c r="V1734">
        <f t="shared" si="55"/>
        <v>0</v>
      </c>
    </row>
    <row r="1735" spans="1:22" x14ac:dyDescent="0.2">
      <c r="A1735" t="s">
        <v>2999</v>
      </c>
      <c r="B1735" t="s">
        <v>39</v>
      </c>
      <c r="C1735" t="s">
        <v>76</v>
      </c>
      <c r="D1735" t="s">
        <v>77</v>
      </c>
      <c r="E1735" s="1" t="s">
        <v>155</v>
      </c>
      <c r="F1735" t="s">
        <v>156</v>
      </c>
      <c r="G1735" s="1" t="s">
        <v>82</v>
      </c>
      <c r="H1735">
        <v>33641</v>
      </c>
      <c r="I1735">
        <v>0</v>
      </c>
      <c r="J1735">
        <v>52</v>
      </c>
      <c r="K1735">
        <v>59</v>
      </c>
      <c r="L1735">
        <v>-33641</v>
      </c>
      <c r="M1735">
        <v>1</v>
      </c>
      <c r="N1735">
        <v>0</v>
      </c>
      <c r="O1735">
        <v>1.6482161603574501E-3</v>
      </c>
      <c r="P1735">
        <v>0</v>
      </c>
      <c r="Q1735">
        <v>0</v>
      </c>
      <c r="R1735">
        <v>0</v>
      </c>
      <c r="S1735">
        <v>0</v>
      </c>
      <c r="T1735">
        <v>123.159243</v>
      </c>
      <c r="U1735">
        <f t="shared" si="54"/>
        <v>0</v>
      </c>
      <c r="V1735">
        <f t="shared" si="55"/>
        <v>0</v>
      </c>
    </row>
    <row r="1736" spans="1:22" x14ac:dyDescent="0.2">
      <c r="A1736" t="s">
        <v>2999</v>
      </c>
      <c r="B1736" t="s">
        <v>39</v>
      </c>
      <c r="C1736" t="s">
        <v>76</v>
      </c>
      <c r="D1736" t="s">
        <v>77</v>
      </c>
      <c r="E1736" s="1" t="s">
        <v>93</v>
      </c>
      <c r="F1736" t="s">
        <v>94</v>
      </c>
      <c r="G1736">
        <v>44</v>
      </c>
      <c r="H1736">
        <v>48160</v>
      </c>
      <c r="I1736">
        <v>0</v>
      </c>
      <c r="J1736">
        <v>118</v>
      </c>
      <c r="K1736">
        <v>103</v>
      </c>
      <c r="L1736">
        <v>-48160</v>
      </c>
      <c r="M1736">
        <v>1</v>
      </c>
      <c r="N1736">
        <v>0</v>
      </c>
      <c r="O1736">
        <v>2.3595639333793498E-3</v>
      </c>
      <c r="P1736">
        <v>0</v>
      </c>
      <c r="Q1736">
        <v>0</v>
      </c>
      <c r="R1736">
        <v>0</v>
      </c>
      <c r="S1736">
        <v>0</v>
      </c>
      <c r="T1736">
        <v>123.159243</v>
      </c>
      <c r="U1736">
        <f t="shared" si="54"/>
        <v>0</v>
      </c>
      <c r="V1736">
        <f t="shared" si="55"/>
        <v>0</v>
      </c>
    </row>
    <row r="1737" spans="1:22" x14ac:dyDescent="0.2">
      <c r="A1737" t="s">
        <v>2999</v>
      </c>
      <c r="B1737" t="s">
        <v>39</v>
      </c>
      <c r="C1737" t="s">
        <v>76</v>
      </c>
      <c r="D1737" t="s">
        <v>77</v>
      </c>
      <c r="E1737">
        <v>17</v>
      </c>
      <c r="F1737" t="s">
        <v>97</v>
      </c>
      <c r="G1737">
        <v>87</v>
      </c>
      <c r="H1737">
        <v>73967</v>
      </c>
      <c r="I1737">
        <v>16039</v>
      </c>
      <c r="J1737">
        <v>126</v>
      </c>
      <c r="K1737">
        <v>83</v>
      </c>
      <c r="L1737">
        <v>-57928</v>
      </c>
      <c r="M1737" s="1" t="s">
        <v>3003</v>
      </c>
      <c r="N1737" s="1" t="s">
        <v>3004</v>
      </c>
      <c r="O1737">
        <v>4.4097780603767102E-3</v>
      </c>
      <c r="P1737">
        <v>0</v>
      </c>
      <c r="Q1737">
        <v>0</v>
      </c>
      <c r="R1737">
        <v>0</v>
      </c>
      <c r="S1737">
        <v>0</v>
      </c>
      <c r="T1737">
        <v>123.159243</v>
      </c>
      <c r="U1737">
        <f t="shared" si="54"/>
        <v>0</v>
      </c>
      <c r="V1737">
        <f t="shared" si="55"/>
        <v>0</v>
      </c>
    </row>
    <row r="1738" spans="1:22" x14ac:dyDescent="0.2">
      <c r="A1738" t="s">
        <v>2999</v>
      </c>
      <c r="B1738" t="s">
        <v>39</v>
      </c>
      <c r="C1738" t="s">
        <v>76</v>
      </c>
      <c r="D1738" t="s">
        <v>77</v>
      </c>
      <c r="E1738">
        <v>17</v>
      </c>
      <c r="F1738" t="s">
        <v>97</v>
      </c>
      <c r="G1738">
        <v>88</v>
      </c>
      <c r="H1738">
        <v>58933</v>
      </c>
      <c r="I1738">
        <v>0</v>
      </c>
      <c r="J1738">
        <v>88</v>
      </c>
      <c r="K1738">
        <v>87</v>
      </c>
      <c r="L1738">
        <v>-58933</v>
      </c>
      <c r="M1738">
        <v>1</v>
      </c>
      <c r="N1738">
        <v>0</v>
      </c>
      <c r="O1738">
        <v>2.8873791795233699E-3</v>
      </c>
      <c r="P1738">
        <v>0</v>
      </c>
      <c r="Q1738">
        <v>0</v>
      </c>
      <c r="R1738">
        <v>0</v>
      </c>
      <c r="S1738">
        <v>0</v>
      </c>
      <c r="T1738">
        <v>123.159243</v>
      </c>
      <c r="U1738">
        <f t="shared" si="54"/>
        <v>0</v>
      </c>
      <c r="V1738">
        <f t="shared" si="55"/>
        <v>0</v>
      </c>
    </row>
    <row r="1739" spans="1:22" x14ac:dyDescent="0.2">
      <c r="A1739" t="s">
        <v>2999</v>
      </c>
      <c r="B1739" t="s">
        <v>39</v>
      </c>
      <c r="C1739" t="s">
        <v>76</v>
      </c>
      <c r="D1739" t="s">
        <v>77</v>
      </c>
      <c r="E1739">
        <v>16</v>
      </c>
      <c r="F1739" t="s">
        <v>95</v>
      </c>
      <c r="G1739">
        <v>84</v>
      </c>
      <c r="H1739">
        <v>52414</v>
      </c>
      <c r="I1739">
        <v>1533</v>
      </c>
      <c r="J1739">
        <v>137</v>
      </c>
      <c r="K1739">
        <v>106</v>
      </c>
      <c r="L1739">
        <v>-50881</v>
      </c>
      <c r="M1739" s="1" t="s">
        <v>3005</v>
      </c>
      <c r="N1739" s="1" t="s">
        <v>3006</v>
      </c>
      <c r="O1739">
        <v>2.6430937606730901E-3</v>
      </c>
      <c r="P1739">
        <v>0</v>
      </c>
      <c r="Q1739">
        <v>0</v>
      </c>
      <c r="R1739">
        <v>0</v>
      </c>
      <c r="S1739">
        <v>0</v>
      </c>
      <c r="T1739">
        <v>123.159243</v>
      </c>
      <c r="U1739">
        <f t="shared" si="54"/>
        <v>0</v>
      </c>
      <c r="V1739">
        <f t="shared" si="55"/>
        <v>0</v>
      </c>
    </row>
    <row r="1740" spans="1:22" x14ac:dyDescent="0.2">
      <c r="A1740" t="s">
        <v>2999</v>
      </c>
      <c r="B1740" t="s">
        <v>39</v>
      </c>
      <c r="C1740" t="s">
        <v>76</v>
      </c>
      <c r="D1740" t="s">
        <v>77</v>
      </c>
      <c r="E1740">
        <v>19</v>
      </c>
      <c r="F1740" t="s">
        <v>838</v>
      </c>
      <c r="G1740">
        <v>93</v>
      </c>
      <c r="H1740">
        <v>13752</v>
      </c>
      <c r="I1740">
        <v>0</v>
      </c>
      <c r="J1740">
        <v>68</v>
      </c>
      <c r="K1740">
        <v>36</v>
      </c>
      <c r="L1740">
        <v>-13752</v>
      </c>
      <c r="M1740">
        <v>1</v>
      </c>
      <c r="N1740">
        <v>0</v>
      </c>
      <c r="O1740" s="1" t="s">
        <v>3007</v>
      </c>
      <c r="P1740">
        <v>0</v>
      </c>
      <c r="Q1740">
        <v>0</v>
      </c>
      <c r="R1740">
        <v>0</v>
      </c>
      <c r="S1740">
        <v>0</v>
      </c>
      <c r="T1740">
        <v>123.159243</v>
      </c>
      <c r="U1740">
        <f t="shared" si="54"/>
        <v>0</v>
      </c>
      <c r="V1740">
        <f t="shared" si="55"/>
        <v>0</v>
      </c>
    </row>
    <row r="1741" spans="1:22" x14ac:dyDescent="0.2">
      <c r="A1741" t="s">
        <v>2999</v>
      </c>
      <c r="B1741" t="s">
        <v>39</v>
      </c>
      <c r="C1741" t="s">
        <v>76</v>
      </c>
      <c r="D1741" t="s">
        <v>77</v>
      </c>
      <c r="E1741">
        <v>16</v>
      </c>
      <c r="F1741" t="s">
        <v>95</v>
      </c>
      <c r="G1741">
        <v>85</v>
      </c>
      <c r="H1741">
        <v>151301</v>
      </c>
      <c r="I1741">
        <v>0</v>
      </c>
      <c r="J1741">
        <v>124</v>
      </c>
      <c r="K1741">
        <v>117</v>
      </c>
      <c r="L1741">
        <v>-151301</v>
      </c>
      <c r="M1741">
        <v>1</v>
      </c>
      <c r="N1741">
        <v>0</v>
      </c>
      <c r="O1741">
        <v>7.4128817002539499E-3</v>
      </c>
      <c r="P1741">
        <v>0</v>
      </c>
      <c r="Q1741">
        <v>0</v>
      </c>
      <c r="R1741">
        <v>0</v>
      </c>
      <c r="S1741">
        <v>0</v>
      </c>
      <c r="T1741">
        <v>123.159243</v>
      </c>
      <c r="U1741">
        <f t="shared" si="54"/>
        <v>0</v>
      </c>
      <c r="V1741">
        <f t="shared" si="55"/>
        <v>0</v>
      </c>
    </row>
    <row r="1742" spans="1:22" x14ac:dyDescent="0.2">
      <c r="A1742" t="s">
        <v>2999</v>
      </c>
      <c r="B1742" t="s">
        <v>39</v>
      </c>
      <c r="C1742" t="s">
        <v>76</v>
      </c>
      <c r="D1742" t="s">
        <v>77</v>
      </c>
      <c r="E1742">
        <v>18</v>
      </c>
      <c r="F1742" t="s">
        <v>147</v>
      </c>
      <c r="G1742">
        <v>90</v>
      </c>
      <c r="H1742">
        <v>8093</v>
      </c>
      <c r="I1742">
        <v>2243</v>
      </c>
      <c r="J1742">
        <v>134</v>
      </c>
      <c r="K1742">
        <v>97</v>
      </c>
      <c r="L1742">
        <v>-5850</v>
      </c>
      <c r="M1742" s="1" t="s">
        <v>3008</v>
      </c>
      <c r="N1742" s="1" t="s">
        <v>3009</v>
      </c>
      <c r="O1742" s="1" t="s">
        <v>3010</v>
      </c>
      <c r="P1742">
        <v>0</v>
      </c>
      <c r="Q1742">
        <v>0</v>
      </c>
      <c r="R1742">
        <v>0</v>
      </c>
      <c r="S1742">
        <v>0</v>
      </c>
      <c r="T1742">
        <v>123.159243</v>
      </c>
      <c r="U1742">
        <f t="shared" si="54"/>
        <v>0</v>
      </c>
      <c r="V1742">
        <f t="shared" si="55"/>
        <v>0</v>
      </c>
    </row>
    <row r="1743" spans="1:22" x14ac:dyDescent="0.2">
      <c r="A1743" t="s">
        <v>3011</v>
      </c>
      <c r="B1743" t="s">
        <v>40</v>
      </c>
      <c r="C1743" t="s">
        <v>76</v>
      </c>
      <c r="D1743" t="s">
        <v>77</v>
      </c>
      <c r="E1743" s="1" t="s">
        <v>82</v>
      </c>
      <c r="F1743" t="s">
        <v>83</v>
      </c>
      <c r="G1743">
        <v>10</v>
      </c>
      <c r="H1743">
        <v>1805579805</v>
      </c>
      <c r="I1743">
        <v>0</v>
      </c>
      <c r="J1743">
        <v>4</v>
      </c>
      <c r="K1743">
        <v>65</v>
      </c>
      <c r="L1743">
        <v>-1805579805</v>
      </c>
      <c r="M1743">
        <v>1</v>
      </c>
      <c r="N1743">
        <v>0</v>
      </c>
      <c r="O1743" s="1" t="s">
        <v>3012</v>
      </c>
      <c r="P1743">
        <v>1</v>
      </c>
      <c r="Q1743">
        <v>0</v>
      </c>
      <c r="R1743">
        <v>1</v>
      </c>
      <c r="S1743">
        <v>0</v>
      </c>
      <c r="T1743">
        <v>12.30838397</v>
      </c>
      <c r="U1743">
        <f t="shared" si="54"/>
        <v>1</v>
      </c>
      <c r="V1743">
        <f t="shared" si="55"/>
        <v>1</v>
      </c>
    </row>
    <row r="1744" spans="1:22" x14ac:dyDescent="0.2">
      <c r="A1744" t="s">
        <v>3011</v>
      </c>
      <c r="B1744" t="s">
        <v>40</v>
      </c>
      <c r="C1744" t="s">
        <v>76</v>
      </c>
      <c r="D1744" t="s">
        <v>77</v>
      </c>
      <c r="E1744" s="1" t="s">
        <v>89</v>
      </c>
      <c r="F1744" t="s">
        <v>90</v>
      </c>
      <c r="G1744">
        <v>31</v>
      </c>
      <c r="H1744">
        <v>148516154</v>
      </c>
      <c r="I1744">
        <v>0</v>
      </c>
      <c r="J1744">
        <v>49</v>
      </c>
      <c r="K1744">
        <v>51</v>
      </c>
      <c r="L1744">
        <v>-148516154</v>
      </c>
      <c r="M1744">
        <v>1</v>
      </c>
      <c r="N1744">
        <v>0</v>
      </c>
      <c r="O1744">
        <v>3.5778415057938301E-2</v>
      </c>
      <c r="P1744">
        <v>0</v>
      </c>
      <c r="Q1744">
        <v>0</v>
      </c>
      <c r="R1744">
        <v>0</v>
      </c>
      <c r="S1744">
        <v>0</v>
      </c>
      <c r="T1744">
        <v>12.30838397</v>
      </c>
      <c r="U1744">
        <f t="shared" si="54"/>
        <v>0</v>
      </c>
      <c r="V1744">
        <f t="shared" si="55"/>
        <v>0</v>
      </c>
    </row>
    <row r="1745" spans="1:22" x14ac:dyDescent="0.2">
      <c r="A1745" t="s">
        <v>3011</v>
      </c>
      <c r="B1745" t="s">
        <v>40</v>
      </c>
      <c r="C1745" t="s">
        <v>76</v>
      </c>
      <c r="D1745" t="s">
        <v>77</v>
      </c>
      <c r="E1745" s="1" t="s">
        <v>85</v>
      </c>
      <c r="F1745" t="s">
        <v>86</v>
      </c>
      <c r="G1745">
        <v>27</v>
      </c>
      <c r="H1745">
        <v>1174009179</v>
      </c>
      <c r="I1745">
        <v>0</v>
      </c>
      <c r="J1745">
        <v>54</v>
      </c>
      <c r="K1745">
        <v>91</v>
      </c>
      <c r="L1745">
        <v>-1174009179</v>
      </c>
      <c r="M1745">
        <v>1</v>
      </c>
      <c r="N1745">
        <v>0</v>
      </c>
      <c r="O1745" s="1" t="s">
        <v>3013</v>
      </c>
      <c r="P1745">
        <v>0</v>
      </c>
      <c r="Q1745">
        <v>0</v>
      </c>
      <c r="R1745">
        <v>0</v>
      </c>
      <c r="S1745">
        <v>0</v>
      </c>
      <c r="T1745">
        <v>12.30838397</v>
      </c>
      <c r="U1745">
        <f t="shared" si="54"/>
        <v>0</v>
      </c>
      <c r="V1745">
        <f t="shared" si="55"/>
        <v>0</v>
      </c>
    </row>
    <row r="1746" spans="1:22" x14ac:dyDescent="0.2">
      <c r="A1746" t="s">
        <v>3011</v>
      </c>
      <c r="B1746" t="s">
        <v>40</v>
      </c>
      <c r="C1746" t="s">
        <v>76</v>
      </c>
      <c r="D1746" t="s">
        <v>77</v>
      </c>
      <c r="E1746" s="1" t="s">
        <v>155</v>
      </c>
      <c r="F1746" t="s">
        <v>156</v>
      </c>
      <c r="G1746" s="1" t="s">
        <v>110</v>
      </c>
      <c r="H1746">
        <v>521683106</v>
      </c>
      <c r="I1746">
        <v>479999</v>
      </c>
      <c r="J1746">
        <v>7</v>
      </c>
      <c r="K1746">
        <v>44</v>
      </c>
      <c r="L1746">
        <v>-521203107</v>
      </c>
      <c r="M1746">
        <v>0.99908074891656695</v>
      </c>
      <c r="N1746" s="1" t="s">
        <v>3014</v>
      </c>
      <c r="O1746" s="1" t="s">
        <v>3015</v>
      </c>
      <c r="P1746">
        <v>0</v>
      </c>
      <c r="Q1746">
        <v>0</v>
      </c>
      <c r="R1746">
        <v>1</v>
      </c>
      <c r="S1746">
        <v>0</v>
      </c>
      <c r="T1746">
        <v>12.30838397</v>
      </c>
      <c r="U1746">
        <f t="shared" si="54"/>
        <v>0</v>
      </c>
      <c r="V1746">
        <f t="shared" si="55"/>
        <v>1</v>
      </c>
    </row>
    <row r="1747" spans="1:22" x14ac:dyDescent="0.2">
      <c r="A1747" t="s">
        <v>3011</v>
      </c>
      <c r="B1747" t="s">
        <v>40</v>
      </c>
      <c r="C1747" t="s">
        <v>76</v>
      </c>
      <c r="D1747" t="s">
        <v>77</v>
      </c>
      <c r="E1747">
        <v>10</v>
      </c>
      <c r="F1747" t="s">
        <v>119</v>
      </c>
      <c r="G1747">
        <v>48</v>
      </c>
      <c r="H1747">
        <v>43171661</v>
      </c>
      <c r="I1747">
        <v>0</v>
      </c>
      <c r="J1747">
        <v>48</v>
      </c>
      <c r="K1747">
        <v>97</v>
      </c>
      <c r="L1747">
        <v>-43171661</v>
      </c>
      <c r="M1747">
        <v>1</v>
      </c>
      <c r="N1747">
        <v>0</v>
      </c>
      <c r="O1747">
        <v>1.04003070669242E-2</v>
      </c>
      <c r="P1747">
        <v>0</v>
      </c>
      <c r="Q1747">
        <v>0</v>
      </c>
      <c r="R1747">
        <v>0</v>
      </c>
      <c r="S1747">
        <v>0</v>
      </c>
      <c r="T1747">
        <v>12.30838397</v>
      </c>
      <c r="U1747">
        <f t="shared" si="54"/>
        <v>0</v>
      </c>
      <c r="V1747">
        <f t="shared" si="55"/>
        <v>0</v>
      </c>
    </row>
    <row r="1748" spans="1:22" x14ac:dyDescent="0.2">
      <c r="A1748" t="s">
        <v>3011</v>
      </c>
      <c r="B1748" t="s">
        <v>40</v>
      </c>
      <c r="C1748" t="s">
        <v>76</v>
      </c>
      <c r="D1748" t="s">
        <v>77</v>
      </c>
      <c r="E1748" s="1" t="s">
        <v>89</v>
      </c>
      <c r="F1748" t="s">
        <v>90</v>
      </c>
      <c r="G1748">
        <v>28</v>
      </c>
      <c r="H1748">
        <v>74005840</v>
      </c>
      <c r="I1748">
        <v>0</v>
      </c>
      <c r="J1748">
        <v>35</v>
      </c>
      <c r="K1748">
        <v>85</v>
      </c>
      <c r="L1748">
        <v>-74005840</v>
      </c>
      <c r="M1748">
        <v>1</v>
      </c>
      <c r="N1748">
        <v>0</v>
      </c>
      <c r="O1748">
        <v>1.7828442152032602E-2</v>
      </c>
      <c r="P1748">
        <v>0</v>
      </c>
      <c r="Q1748">
        <v>0</v>
      </c>
      <c r="R1748">
        <v>0</v>
      </c>
      <c r="S1748">
        <v>0</v>
      </c>
      <c r="T1748">
        <v>12.30838397</v>
      </c>
      <c r="U1748">
        <f t="shared" si="54"/>
        <v>0</v>
      </c>
      <c r="V1748">
        <f t="shared" si="55"/>
        <v>0</v>
      </c>
    </row>
    <row r="1749" spans="1:22" x14ac:dyDescent="0.2">
      <c r="A1749" t="s">
        <v>3011</v>
      </c>
      <c r="B1749" t="s">
        <v>40</v>
      </c>
      <c r="C1749" t="s">
        <v>76</v>
      </c>
      <c r="D1749" t="s">
        <v>77</v>
      </c>
      <c r="E1749">
        <v>10</v>
      </c>
      <c r="F1749" t="s">
        <v>119</v>
      </c>
      <c r="G1749">
        <v>47</v>
      </c>
      <c r="H1749">
        <v>14088255</v>
      </c>
      <c r="I1749">
        <v>0</v>
      </c>
      <c r="J1749">
        <v>28</v>
      </c>
      <c r="K1749">
        <v>37</v>
      </c>
      <c r="L1749">
        <v>-14088255</v>
      </c>
      <c r="M1749">
        <v>1</v>
      </c>
      <c r="N1749">
        <v>0</v>
      </c>
      <c r="O1749">
        <v>3.3939434954131302E-3</v>
      </c>
      <c r="P1749">
        <v>0</v>
      </c>
      <c r="Q1749">
        <v>0</v>
      </c>
      <c r="R1749">
        <v>0</v>
      </c>
      <c r="S1749">
        <v>0</v>
      </c>
      <c r="T1749">
        <v>12.30838397</v>
      </c>
      <c r="U1749">
        <f t="shared" si="54"/>
        <v>0</v>
      </c>
      <c r="V1749">
        <f t="shared" si="55"/>
        <v>0</v>
      </c>
    </row>
    <row r="1750" spans="1:22" x14ac:dyDescent="0.2">
      <c r="A1750" t="s">
        <v>3011</v>
      </c>
      <c r="B1750" t="s">
        <v>40</v>
      </c>
      <c r="C1750" t="s">
        <v>76</v>
      </c>
      <c r="D1750" t="s">
        <v>77</v>
      </c>
      <c r="E1750">
        <v>15</v>
      </c>
      <c r="F1750" t="s">
        <v>88</v>
      </c>
      <c r="G1750">
        <v>72</v>
      </c>
      <c r="H1750">
        <v>194648740</v>
      </c>
      <c r="I1750">
        <v>0</v>
      </c>
      <c r="J1750">
        <v>57</v>
      </c>
      <c r="K1750">
        <v>74</v>
      </c>
      <c r="L1750">
        <v>-194648740</v>
      </c>
      <c r="M1750">
        <v>1</v>
      </c>
      <c r="N1750">
        <v>0</v>
      </c>
      <c r="O1750" s="1" t="s">
        <v>3016</v>
      </c>
      <c r="P1750">
        <v>0</v>
      </c>
      <c r="Q1750">
        <v>0</v>
      </c>
      <c r="R1750">
        <v>0</v>
      </c>
      <c r="S1750">
        <v>0</v>
      </c>
      <c r="T1750">
        <v>12.30838397</v>
      </c>
      <c r="U1750">
        <f t="shared" si="54"/>
        <v>0</v>
      </c>
      <c r="V1750">
        <f t="shared" si="55"/>
        <v>0</v>
      </c>
    </row>
    <row r="1751" spans="1:22" x14ac:dyDescent="0.2">
      <c r="A1751" t="s">
        <v>3011</v>
      </c>
      <c r="B1751" t="s">
        <v>40</v>
      </c>
      <c r="C1751" t="s">
        <v>76</v>
      </c>
      <c r="D1751" t="s">
        <v>77</v>
      </c>
      <c r="E1751" s="1" t="s">
        <v>138</v>
      </c>
      <c r="F1751" t="s">
        <v>139</v>
      </c>
      <c r="G1751">
        <v>22</v>
      </c>
      <c r="H1751">
        <v>912507</v>
      </c>
      <c r="I1751">
        <v>0</v>
      </c>
      <c r="J1751">
        <v>68</v>
      </c>
      <c r="K1751">
        <v>98</v>
      </c>
      <c r="L1751">
        <v>-912507</v>
      </c>
      <c r="M1751">
        <v>1</v>
      </c>
      <c r="N1751">
        <v>0</v>
      </c>
      <c r="O1751" s="1" t="s">
        <v>3017</v>
      </c>
      <c r="P1751">
        <v>0</v>
      </c>
      <c r="Q1751">
        <v>0</v>
      </c>
      <c r="R1751">
        <v>0</v>
      </c>
      <c r="S1751">
        <v>0</v>
      </c>
      <c r="T1751">
        <v>12.30838397</v>
      </c>
      <c r="U1751">
        <f t="shared" si="54"/>
        <v>0</v>
      </c>
      <c r="V1751">
        <f t="shared" si="55"/>
        <v>0</v>
      </c>
    </row>
    <row r="1752" spans="1:22" x14ac:dyDescent="0.2">
      <c r="A1752" t="s">
        <v>3011</v>
      </c>
      <c r="B1752" t="s">
        <v>40</v>
      </c>
      <c r="C1752" t="s">
        <v>76</v>
      </c>
      <c r="D1752" t="s">
        <v>77</v>
      </c>
      <c r="E1752">
        <v>10</v>
      </c>
      <c r="F1752" t="s">
        <v>119</v>
      </c>
      <c r="G1752">
        <v>49</v>
      </c>
      <c r="H1752">
        <v>4499317</v>
      </c>
      <c r="I1752">
        <v>0</v>
      </c>
      <c r="J1752">
        <v>24</v>
      </c>
      <c r="K1752">
        <v>109</v>
      </c>
      <c r="L1752">
        <v>-4499317</v>
      </c>
      <c r="M1752">
        <v>1</v>
      </c>
      <c r="N1752">
        <v>0</v>
      </c>
      <c r="O1752">
        <v>1.08391192989846E-3</v>
      </c>
      <c r="P1752">
        <v>0</v>
      </c>
      <c r="Q1752">
        <v>0</v>
      </c>
      <c r="R1752">
        <v>0</v>
      </c>
      <c r="S1752">
        <v>0</v>
      </c>
      <c r="T1752">
        <v>12.30838397</v>
      </c>
      <c r="U1752">
        <f t="shared" si="54"/>
        <v>0</v>
      </c>
      <c r="V1752">
        <f t="shared" si="55"/>
        <v>0</v>
      </c>
    </row>
    <row r="1753" spans="1:22" x14ac:dyDescent="0.2">
      <c r="A1753" t="s">
        <v>3011</v>
      </c>
      <c r="B1753" t="s">
        <v>40</v>
      </c>
      <c r="C1753" t="s">
        <v>76</v>
      </c>
      <c r="D1753" t="s">
        <v>77</v>
      </c>
      <c r="E1753" s="1" t="s">
        <v>138</v>
      </c>
      <c r="F1753" t="s">
        <v>139</v>
      </c>
      <c r="G1753">
        <v>17</v>
      </c>
      <c r="H1753">
        <v>1563293</v>
      </c>
      <c r="I1753">
        <v>0</v>
      </c>
      <c r="J1753">
        <v>50</v>
      </c>
      <c r="K1753">
        <v>88</v>
      </c>
      <c r="L1753">
        <v>-1563293</v>
      </c>
      <c r="M1753">
        <v>1</v>
      </c>
      <c r="N1753">
        <v>0</v>
      </c>
      <c r="O1753" s="1" t="s">
        <v>3018</v>
      </c>
      <c r="P1753">
        <v>0</v>
      </c>
      <c r="Q1753">
        <v>0</v>
      </c>
      <c r="R1753">
        <v>0</v>
      </c>
      <c r="S1753">
        <v>0</v>
      </c>
      <c r="T1753">
        <v>12.30838397</v>
      </c>
      <c r="U1753">
        <f t="shared" si="54"/>
        <v>0</v>
      </c>
      <c r="V1753">
        <f t="shared" si="55"/>
        <v>0</v>
      </c>
    </row>
    <row r="1754" spans="1:22" x14ac:dyDescent="0.2">
      <c r="A1754" t="s">
        <v>3011</v>
      </c>
      <c r="B1754" t="s">
        <v>40</v>
      </c>
      <c r="C1754" t="s">
        <v>76</v>
      </c>
      <c r="D1754" t="s">
        <v>77</v>
      </c>
      <c r="E1754" s="1" t="s">
        <v>89</v>
      </c>
      <c r="F1754" t="s">
        <v>90</v>
      </c>
      <c r="G1754">
        <v>29</v>
      </c>
      <c r="H1754">
        <v>20053761</v>
      </c>
      <c r="I1754">
        <v>0</v>
      </c>
      <c r="J1754">
        <v>47</v>
      </c>
      <c r="K1754">
        <v>81</v>
      </c>
      <c r="L1754">
        <v>-20053761</v>
      </c>
      <c r="M1754">
        <v>1</v>
      </c>
      <c r="N1754">
        <v>0</v>
      </c>
      <c r="O1754">
        <v>4.8310689794101198E-3</v>
      </c>
      <c r="P1754">
        <v>0</v>
      </c>
      <c r="Q1754">
        <v>0</v>
      </c>
      <c r="R1754">
        <v>0</v>
      </c>
      <c r="S1754">
        <v>0</v>
      </c>
      <c r="T1754">
        <v>12.30838397</v>
      </c>
      <c r="U1754">
        <f t="shared" si="54"/>
        <v>0</v>
      </c>
      <c r="V1754">
        <f t="shared" si="55"/>
        <v>0</v>
      </c>
    </row>
    <row r="1755" spans="1:22" x14ac:dyDescent="0.2">
      <c r="A1755" t="s">
        <v>3011</v>
      </c>
      <c r="B1755" t="s">
        <v>40</v>
      </c>
      <c r="C1755" t="s">
        <v>76</v>
      </c>
      <c r="D1755" t="s">
        <v>77</v>
      </c>
      <c r="E1755">
        <v>16</v>
      </c>
      <c r="F1755" t="s">
        <v>95</v>
      </c>
      <c r="G1755">
        <v>84</v>
      </c>
      <c r="H1755">
        <v>4607824</v>
      </c>
      <c r="I1755">
        <v>667544</v>
      </c>
      <c r="J1755">
        <v>80</v>
      </c>
      <c r="K1755">
        <v>80</v>
      </c>
      <c r="L1755">
        <v>-3940280</v>
      </c>
      <c r="M1755" s="1" t="s">
        <v>3019</v>
      </c>
      <c r="N1755" s="1" t="s">
        <v>3020</v>
      </c>
      <c r="O1755">
        <v>1.27086718046419E-3</v>
      </c>
      <c r="P1755">
        <v>0</v>
      </c>
      <c r="Q1755">
        <v>0</v>
      </c>
      <c r="R1755">
        <v>0</v>
      </c>
      <c r="S1755">
        <v>0</v>
      </c>
      <c r="T1755">
        <v>12.30838397</v>
      </c>
      <c r="U1755">
        <f t="shared" si="54"/>
        <v>0</v>
      </c>
      <c r="V1755">
        <f t="shared" si="55"/>
        <v>0</v>
      </c>
    </row>
    <row r="1756" spans="1:22" x14ac:dyDescent="0.2">
      <c r="A1756" t="s">
        <v>3011</v>
      </c>
      <c r="B1756" t="s">
        <v>40</v>
      </c>
      <c r="C1756" t="s">
        <v>76</v>
      </c>
      <c r="D1756" t="s">
        <v>77</v>
      </c>
      <c r="E1756">
        <v>15</v>
      </c>
      <c r="F1756" t="s">
        <v>88</v>
      </c>
      <c r="G1756">
        <v>76</v>
      </c>
      <c r="H1756">
        <v>14479815</v>
      </c>
      <c r="I1756">
        <v>0</v>
      </c>
      <c r="J1756">
        <v>59</v>
      </c>
      <c r="K1756">
        <v>92</v>
      </c>
      <c r="L1756">
        <v>-14479815</v>
      </c>
      <c r="M1756">
        <v>1</v>
      </c>
      <c r="N1756">
        <v>0</v>
      </c>
      <c r="O1756">
        <v>3.4882726025356201E-3</v>
      </c>
      <c r="P1756">
        <v>0</v>
      </c>
      <c r="Q1756">
        <v>0</v>
      </c>
      <c r="R1756">
        <v>0</v>
      </c>
      <c r="S1756">
        <v>0</v>
      </c>
      <c r="T1756">
        <v>12.30838397</v>
      </c>
      <c r="U1756">
        <f t="shared" si="54"/>
        <v>0</v>
      </c>
      <c r="V1756">
        <f t="shared" si="55"/>
        <v>0</v>
      </c>
    </row>
    <row r="1757" spans="1:22" x14ac:dyDescent="0.2">
      <c r="A1757" t="s">
        <v>3011</v>
      </c>
      <c r="B1757" t="s">
        <v>40</v>
      </c>
      <c r="C1757" t="s">
        <v>76</v>
      </c>
      <c r="D1757" t="s">
        <v>77</v>
      </c>
      <c r="E1757" s="1" t="s">
        <v>93</v>
      </c>
      <c r="F1757" t="s">
        <v>94</v>
      </c>
      <c r="G1757">
        <v>44</v>
      </c>
      <c r="H1757">
        <v>2037970</v>
      </c>
      <c r="I1757">
        <v>11750</v>
      </c>
      <c r="J1757">
        <v>86</v>
      </c>
      <c r="K1757">
        <v>78</v>
      </c>
      <c r="L1757">
        <v>-2026220</v>
      </c>
      <c r="M1757" s="1" t="s">
        <v>3021</v>
      </c>
      <c r="N1757">
        <v>5.7324902913568603E-3</v>
      </c>
      <c r="O1757" s="1" t="s">
        <v>3022</v>
      </c>
      <c r="P1757">
        <v>0</v>
      </c>
      <c r="Q1757">
        <v>0</v>
      </c>
      <c r="R1757">
        <v>0</v>
      </c>
      <c r="S1757">
        <v>0</v>
      </c>
      <c r="T1757">
        <v>12.30838397</v>
      </c>
      <c r="U1757">
        <f t="shared" si="54"/>
        <v>0</v>
      </c>
      <c r="V1757">
        <f t="shared" si="55"/>
        <v>0</v>
      </c>
    </row>
    <row r="1758" spans="1:22" x14ac:dyDescent="0.2">
      <c r="A1758" t="s">
        <v>3011</v>
      </c>
      <c r="B1758" t="s">
        <v>40</v>
      </c>
      <c r="C1758" t="s">
        <v>76</v>
      </c>
      <c r="D1758" t="s">
        <v>77</v>
      </c>
      <c r="E1758">
        <v>15</v>
      </c>
      <c r="F1758" t="s">
        <v>88</v>
      </c>
      <c r="G1758">
        <v>82</v>
      </c>
      <c r="H1758">
        <v>2768422</v>
      </c>
      <c r="I1758">
        <v>0</v>
      </c>
      <c r="J1758">
        <v>38</v>
      </c>
      <c r="K1758">
        <v>96</v>
      </c>
      <c r="L1758">
        <v>-2768422</v>
      </c>
      <c r="M1758">
        <v>1</v>
      </c>
      <c r="N1758">
        <v>0</v>
      </c>
      <c r="O1758" s="1" t="s">
        <v>3023</v>
      </c>
      <c r="P1758">
        <v>0</v>
      </c>
      <c r="Q1758">
        <v>0</v>
      </c>
      <c r="R1758">
        <v>0</v>
      </c>
      <c r="S1758">
        <v>0</v>
      </c>
      <c r="T1758">
        <v>12.30838397</v>
      </c>
      <c r="U1758">
        <f t="shared" si="54"/>
        <v>0</v>
      </c>
      <c r="V1758">
        <f t="shared" si="55"/>
        <v>0</v>
      </c>
    </row>
    <row r="1759" spans="1:22" x14ac:dyDescent="0.2">
      <c r="A1759" t="s">
        <v>3011</v>
      </c>
      <c r="B1759" t="s">
        <v>40</v>
      </c>
      <c r="C1759" t="s">
        <v>76</v>
      </c>
      <c r="D1759" t="s">
        <v>77</v>
      </c>
      <c r="E1759">
        <v>16</v>
      </c>
      <c r="F1759" t="s">
        <v>95</v>
      </c>
      <c r="G1759">
        <v>85</v>
      </c>
      <c r="H1759">
        <v>1819198</v>
      </c>
      <c r="I1759">
        <v>0</v>
      </c>
      <c r="J1759">
        <v>91</v>
      </c>
      <c r="K1759">
        <v>117</v>
      </c>
      <c r="L1759">
        <v>-1819198</v>
      </c>
      <c r="M1759">
        <v>1</v>
      </c>
      <c r="N1759">
        <v>0</v>
      </c>
      <c r="O1759" s="1" t="s">
        <v>3024</v>
      </c>
      <c r="P1759">
        <v>0</v>
      </c>
      <c r="Q1759">
        <v>0</v>
      </c>
      <c r="R1759">
        <v>0</v>
      </c>
      <c r="S1759">
        <v>0</v>
      </c>
      <c r="T1759">
        <v>12.30838397</v>
      </c>
      <c r="U1759">
        <f t="shared" si="54"/>
        <v>0</v>
      </c>
      <c r="V1759">
        <f t="shared" si="55"/>
        <v>0</v>
      </c>
    </row>
    <row r="1760" spans="1:22" x14ac:dyDescent="0.2">
      <c r="A1760" t="s">
        <v>3011</v>
      </c>
      <c r="B1760" t="s">
        <v>40</v>
      </c>
      <c r="C1760" t="s">
        <v>76</v>
      </c>
      <c r="D1760" t="s">
        <v>77</v>
      </c>
      <c r="E1760" s="1" t="s">
        <v>89</v>
      </c>
      <c r="F1760" t="s">
        <v>90</v>
      </c>
      <c r="G1760">
        <v>38</v>
      </c>
      <c r="H1760">
        <v>3554104</v>
      </c>
      <c r="I1760">
        <v>0</v>
      </c>
      <c r="J1760">
        <v>60</v>
      </c>
      <c r="K1760">
        <v>87</v>
      </c>
      <c r="L1760">
        <v>-3554104</v>
      </c>
      <c r="M1760">
        <v>1</v>
      </c>
      <c r="N1760">
        <v>0</v>
      </c>
      <c r="O1760" s="1" t="s">
        <v>3025</v>
      </c>
      <c r="P1760">
        <v>0</v>
      </c>
      <c r="Q1760">
        <v>0</v>
      </c>
      <c r="R1760">
        <v>0</v>
      </c>
      <c r="S1760">
        <v>0</v>
      </c>
      <c r="T1760">
        <v>12.30838397</v>
      </c>
      <c r="U1760">
        <f t="shared" si="54"/>
        <v>0</v>
      </c>
      <c r="V1760">
        <f t="shared" si="55"/>
        <v>0</v>
      </c>
    </row>
    <row r="1761" spans="1:22" x14ac:dyDescent="0.2">
      <c r="A1761" t="s">
        <v>3011</v>
      </c>
      <c r="B1761" t="s">
        <v>40</v>
      </c>
      <c r="C1761" t="s">
        <v>76</v>
      </c>
      <c r="D1761" t="s">
        <v>77</v>
      </c>
      <c r="E1761" s="1" t="s">
        <v>138</v>
      </c>
      <c r="F1761" t="s">
        <v>139</v>
      </c>
      <c r="G1761">
        <v>24</v>
      </c>
      <c r="H1761">
        <v>66481</v>
      </c>
      <c r="I1761">
        <v>113583</v>
      </c>
      <c r="J1761">
        <v>62</v>
      </c>
      <c r="K1761">
        <v>64</v>
      </c>
      <c r="L1761">
        <v>47102</v>
      </c>
      <c r="M1761" s="1" t="s">
        <v>3026</v>
      </c>
      <c r="N1761" s="1" t="s">
        <v>3027</v>
      </c>
      <c r="O1761" s="1" t="s">
        <v>3028</v>
      </c>
      <c r="P1761">
        <v>0</v>
      </c>
      <c r="Q1761">
        <v>0</v>
      </c>
      <c r="R1761">
        <v>0</v>
      </c>
      <c r="S1761">
        <v>0</v>
      </c>
      <c r="T1761">
        <v>12.30838397</v>
      </c>
      <c r="U1761">
        <f t="shared" si="54"/>
        <v>0</v>
      </c>
      <c r="V1761">
        <f t="shared" si="55"/>
        <v>0</v>
      </c>
    </row>
    <row r="1762" spans="1:22" x14ac:dyDescent="0.2">
      <c r="A1762" t="s">
        <v>3011</v>
      </c>
      <c r="B1762" t="s">
        <v>40</v>
      </c>
      <c r="C1762" t="s">
        <v>76</v>
      </c>
      <c r="D1762" t="s">
        <v>77</v>
      </c>
      <c r="E1762">
        <v>15</v>
      </c>
      <c r="F1762" t="s">
        <v>88</v>
      </c>
      <c r="G1762">
        <v>73</v>
      </c>
      <c r="H1762">
        <v>1136699</v>
      </c>
      <c r="I1762">
        <v>0</v>
      </c>
      <c r="J1762">
        <v>81</v>
      </c>
      <c r="K1762">
        <v>103</v>
      </c>
      <c r="L1762">
        <v>-1136699</v>
      </c>
      <c r="M1762">
        <v>1</v>
      </c>
      <c r="N1762">
        <v>0</v>
      </c>
      <c r="O1762" s="1" t="s">
        <v>3029</v>
      </c>
      <c r="P1762">
        <v>0</v>
      </c>
      <c r="Q1762">
        <v>0</v>
      </c>
      <c r="R1762">
        <v>0</v>
      </c>
      <c r="S1762">
        <v>0</v>
      </c>
      <c r="T1762">
        <v>12.30838397</v>
      </c>
      <c r="U1762">
        <f t="shared" si="54"/>
        <v>0</v>
      </c>
      <c r="V1762">
        <f t="shared" si="55"/>
        <v>0</v>
      </c>
    </row>
    <row r="1763" spans="1:22" x14ac:dyDescent="0.2">
      <c r="A1763" t="s">
        <v>3011</v>
      </c>
      <c r="B1763" t="s">
        <v>40</v>
      </c>
      <c r="C1763" t="s">
        <v>76</v>
      </c>
      <c r="D1763" t="s">
        <v>77</v>
      </c>
      <c r="E1763" s="1" t="s">
        <v>89</v>
      </c>
      <c r="F1763" t="s">
        <v>90</v>
      </c>
      <c r="G1763">
        <v>32</v>
      </c>
      <c r="H1763">
        <v>5330732</v>
      </c>
      <c r="I1763">
        <v>0</v>
      </c>
      <c r="J1763">
        <v>22</v>
      </c>
      <c r="K1763">
        <v>80</v>
      </c>
      <c r="L1763">
        <v>-5330732</v>
      </c>
      <c r="M1763">
        <v>1</v>
      </c>
      <c r="N1763">
        <v>0</v>
      </c>
      <c r="O1763">
        <v>1.28420469371051E-3</v>
      </c>
      <c r="P1763">
        <v>0</v>
      </c>
      <c r="Q1763">
        <v>0</v>
      </c>
      <c r="R1763">
        <v>0</v>
      </c>
      <c r="S1763">
        <v>0</v>
      </c>
      <c r="T1763">
        <v>12.30838397</v>
      </c>
      <c r="U1763">
        <f t="shared" si="54"/>
        <v>0</v>
      </c>
      <c r="V1763">
        <f t="shared" si="55"/>
        <v>0</v>
      </c>
    </row>
    <row r="1764" spans="1:22" x14ac:dyDescent="0.2">
      <c r="A1764" t="s">
        <v>3011</v>
      </c>
      <c r="B1764" t="s">
        <v>40</v>
      </c>
      <c r="C1764" t="s">
        <v>76</v>
      </c>
      <c r="D1764" t="s">
        <v>77</v>
      </c>
      <c r="E1764">
        <v>17</v>
      </c>
      <c r="F1764" t="s">
        <v>97</v>
      </c>
      <c r="G1764">
        <v>89</v>
      </c>
      <c r="H1764">
        <v>48751</v>
      </c>
      <c r="I1764">
        <v>3736722</v>
      </c>
      <c r="J1764">
        <v>64</v>
      </c>
      <c r="K1764">
        <v>27</v>
      </c>
      <c r="L1764">
        <v>3687971</v>
      </c>
      <c r="M1764" s="1" t="s">
        <v>3030</v>
      </c>
      <c r="N1764" s="1" t="s">
        <v>3031</v>
      </c>
      <c r="O1764" s="1" t="s">
        <v>3032</v>
      </c>
      <c r="P1764">
        <v>0</v>
      </c>
      <c r="Q1764">
        <v>0</v>
      </c>
      <c r="R1764">
        <v>0</v>
      </c>
      <c r="S1764">
        <v>0</v>
      </c>
      <c r="T1764">
        <v>12.30838397</v>
      </c>
      <c r="U1764">
        <f t="shared" si="54"/>
        <v>0</v>
      </c>
      <c r="V1764">
        <f t="shared" si="55"/>
        <v>0</v>
      </c>
    </row>
    <row r="1765" spans="1:22" x14ac:dyDescent="0.2">
      <c r="A1765" t="s">
        <v>3011</v>
      </c>
      <c r="B1765" t="s">
        <v>40</v>
      </c>
      <c r="C1765" t="s">
        <v>76</v>
      </c>
      <c r="D1765" t="s">
        <v>77</v>
      </c>
      <c r="E1765">
        <v>17</v>
      </c>
      <c r="F1765" t="s">
        <v>97</v>
      </c>
      <c r="G1765">
        <v>87</v>
      </c>
      <c r="H1765">
        <v>689147</v>
      </c>
      <c r="I1765">
        <v>0</v>
      </c>
      <c r="J1765">
        <v>95</v>
      </c>
      <c r="K1765">
        <v>96</v>
      </c>
      <c r="L1765">
        <v>-689147</v>
      </c>
      <c r="M1765">
        <v>1</v>
      </c>
      <c r="N1765">
        <v>0</v>
      </c>
      <c r="O1765" s="1" t="s">
        <v>3033</v>
      </c>
      <c r="P1765">
        <v>0</v>
      </c>
      <c r="Q1765">
        <v>0</v>
      </c>
      <c r="R1765">
        <v>0</v>
      </c>
      <c r="S1765">
        <v>0</v>
      </c>
      <c r="T1765">
        <v>12.30838397</v>
      </c>
      <c r="U1765">
        <f t="shared" si="54"/>
        <v>0</v>
      </c>
      <c r="V1765">
        <f t="shared" si="55"/>
        <v>0</v>
      </c>
    </row>
    <row r="1766" spans="1:22" x14ac:dyDescent="0.2">
      <c r="A1766" t="s">
        <v>3011</v>
      </c>
      <c r="B1766" t="s">
        <v>40</v>
      </c>
      <c r="C1766" t="s">
        <v>76</v>
      </c>
      <c r="D1766" t="s">
        <v>77</v>
      </c>
      <c r="E1766" s="1" t="s">
        <v>89</v>
      </c>
      <c r="F1766" t="s">
        <v>90</v>
      </c>
      <c r="G1766">
        <v>34</v>
      </c>
      <c r="H1766">
        <v>149732</v>
      </c>
      <c r="I1766">
        <v>43282</v>
      </c>
      <c r="J1766">
        <v>81</v>
      </c>
      <c r="K1766">
        <v>68</v>
      </c>
      <c r="L1766">
        <v>-106450</v>
      </c>
      <c r="M1766">
        <v>0.775757198959661</v>
      </c>
      <c r="N1766" s="1" t="s">
        <v>3034</v>
      </c>
      <c r="O1766" s="1" t="s">
        <v>3035</v>
      </c>
      <c r="P1766">
        <v>0</v>
      </c>
      <c r="Q1766">
        <v>0</v>
      </c>
      <c r="R1766">
        <v>0</v>
      </c>
      <c r="S1766">
        <v>0</v>
      </c>
      <c r="T1766">
        <v>12.30838397</v>
      </c>
      <c r="U1766">
        <f t="shared" si="54"/>
        <v>0</v>
      </c>
      <c r="V1766">
        <f t="shared" si="55"/>
        <v>0</v>
      </c>
    </row>
    <row r="1767" spans="1:22" x14ac:dyDescent="0.2">
      <c r="A1767" t="s">
        <v>3011</v>
      </c>
      <c r="B1767" t="s">
        <v>40</v>
      </c>
      <c r="C1767" t="s">
        <v>76</v>
      </c>
      <c r="D1767" t="s">
        <v>77</v>
      </c>
      <c r="E1767" s="1" t="s">
        <v>99</v>
      </c>
      <c r="F1767" t="s">
        <v>100</v>
      </c>
      <c r="G1767">
        <v>39</v>
      </c>
      <c r="H1767">
        <v>500940</v>
      </c>
      <c r="I1767">
        <v>0</v>
      </c>
      <c r="J1767">
        <v>99</v>
      </c>
      <c r="K1767">
        <v>109</v>
      </c>
      <c r="L1767">
        <v>-500940</v>
      </c>
      <c r="M1767">
        <v>1</v>
      </c>
      <c r="N1767">
        <v>0</v>
      </c>
      <c r="O1767" s="1" t="s">
        <v>3036</v>
      </c>
      <c r="P1767">
        <v>0</v>
      </c>
      <c r="Q1767">
        <v>0</v>
      </c>
      <c r="R1767">
        <v>0</v>
      </c>
      <c r="S1767">
        <v>0</v>
      </c>
      <c r="T1767">
        <v>12.30838397</v>
      </c>
      <c r="U1767">
        <f t="shared" si="54"/>
        <v>0</v>
      </c>
      <c r="V1767">
        <f t="shared" si="55"/>
        <v>0</v>
      </c>
    </row>
    <row r="1768" spans="1:22" x14ac:dyDescent="0.2">
      <c r="A1768" t="s">
        <v>3011</v>
      </c>
      <c r="B1768" t="s">
        <v>40</v>
      </c>
      <c r="C1768" t="s">
        <v>76</v>
      </c>
      <c r="D1768" t="s">
        <v>77</v>
      </c>
      <c r="E1768">
        <v>18</v>
      </c>
      <c r="F1768" t="s">
        <v>147</v>
      </c>
      <c r="G1768">
        <v>90</v>
      </c>
      <c r="H1768">
        <v>1059687</v>
      </c>
      <c r="I1768">
        <v>0</v>
      </c>
      <c r="J1768">
        <v>80</v>
      </c>
      <c r="K1768">
        <v>103</v>
      </c>
      <c r="L1768">
        <v>-1059687</v>
      </c>
      <c r="M1768">
        <v>1</v>
      </c>
      <c r="N1768">
        <v>0</v>
      </c>
      <c r="O1768" s="1" t="s">
        <v>3037</v>
      </c>
      <c r="P1768">
        <v>0</v>
      </c>
      <c r="Q1768">
        <v>0</v>
      </c>
      <c r="R1768">
        <v>0</v>
      </c>
      <c r="S1768">
        <v>0</v>
      </c>
      <c r="T1768">
        <v>12.30838397</v>
      </c>
      <c r="U1768">
        <f t="shared" si="54"/>
        <v>0</v>
      </c>
      <c r="V1768">
        <f t="shared" si="55"/>
        <v>0</v>
      </c>
    </row>
    <row r="1769" spans="1:22" x14ac:dyDescent="0.2">
      <c r="A1769" t="s">
        <v>3011</v>
      </c>
      <c r="B1769" t="s">
        <v>40</v>
      </c>
      <c r="C1769" t="s">
        <v>76</v>
      </c>
      <c r="D1769" t="s">
        <v>77</v>
      </c>
      <c r="E1769">
        <v>15</v>
      </c>
      <c r="F1769" t="s">
        <v>88</v>
      </c>
      <c r="G1769">
        <v>74</v>
      </c>
      <c r="H1769">
        <v>1552050</v>
      </c>
      <c r="I1769">
        <v>0</v>
      </c>
      <c r="J1769">
        <v>62</v>
      </c>
      <c r="K1769">
        <v>84</v>
      </c>
      <c r="L1769">
        <v>-1552050</v>
      </c>
      <c r="M1769">
        <v>1</v>
      </c>
      <c r="N1769">
        <v>0</v>
      </c>
      <c r="O1769" s="1" t="s">
        <v>3038</v>
      </c>
      <c r="P1769">
        <v>0</v>
      </c>
      <c r="Q1769">
        <v>0</v>
      </c>
      <c r="R1769">
        <v>0</v>
      </c>
      <c r="S1769">
        <v>0</v>
      </c>
      <c r="T1769">
        <v>12.30838397</v>
      </c>
      <c r="U1769">
        <f t="shared" si="54"/>
        <v>0</v>
      </c>
      <c r="V1769">
        <f t="shared" si="55"/>
        <v>0</v>
      </c>
    </row>
    <row r="1770" spans="1:22" x14ac:dyDescent="0.2">
      <c r="A1770" t="s">
        <v>3011</v>
      </c>
      <c r="B1770" t="s">
        <v>40</v>
      </c>
      <c r="C1770" t="s">
        <v>76</v>
      </c>
      <c r="D1770" t="s">
        <v>77</v>
      </c>
      <c r="E1770" s="1" t="s">
        <v>99</v>
      </c>
      <c r="F1770" t="s">
        <v>100</v>
      </c>
      <c r="G1770">
        <v>40</v>
      </c>
      <c r="H1770">
        <v>314264</v>
      </c>
      <c r="I1770">
        <v>30345</v>
      </c>
      <c r="J1770">
        <v>98</v>
      </c>
      <c r="K1770">
        <v>80</v>
      </c>
      <c r="L1770">
        <v>-283919</v>
      </c>
      <c r="M1770" s="1" t="s">
        <v>3039</v>
      </c>
      <c r="N1770">
        <v>8.8056318900551003E-2</v>
      </c>
      <c r="O1770" s="1" t="s">
        <v>3040</v>
      </c>
      <c r="P1770">
        <v>0</v>
      </c>
      <c r="Q1770">
        <v>0</v>
      </c>
      <c r="R1770">
        <v>0</v>
      </c>
      <c r="S1770">
        <v>0</v>
      </c>
      <c r="T1770">
        <v>12.30838397</v>
      </c>
      <c r="U1770">
        <f t="shared" si="54"/>
        <v>0</v>
      </c>
      <c r="V1770">
        <f t="shared" si="55"/>
        <v>0</v>
      </c>
    </row>
    <row r="1771" spans="1:22" x14ac:dyDescent="0.2">
      <c r="A1771" t="s">
        <v>3011</v>
      </c>
      <c r="B1771" t="s">
        <v>40</v>
      </c>
      <c r="C1771" t="s">
        <v>76</v>
      </c>
      <c r="D1771" t="s">
        <v>77</v>
      </c>
      <c r="E1771">
        <v>17</v>
      </c>
      <c r="F1771" t="s">
        <v>97</v>
      </c>
      <c r="G1771">
        <v>86</v>
      </c>
      <c r="H1771">
        <v>4004</v>
      </c>
      <c r="I1771">
        <v>0</v>
      </c>
      <c r="J1771">
        <v>73</v>
      </c>
      <c r="K1771">
        <v>64</v>
      </c>
      <c r="L1771">
        <v>-4004</v>
      </c>
      <c r="M1771">
        <v>1</v>
      </c>
      <c r="N1771">
        <v>0</v>
      </c>
      <c r="O1771" s="1" t="s">
        <v>3041</v>
      </c>
      <c r="P1771">
        <v>0</v>
      </c>
      <c r="Q1771">
        <v>0</v>
      </c>
      <c r="R1771">
        <v>0</v>
      </c>
      <c r="S1771">
        <v>0</v>
      </c>
      <c r="T1771">
        <v>12.30838397</v>
      </c>
      <c r="U1771">
        <f t="shared" si="54"/>
        <v>0</v>
      </c>
      <c r="V1771">
        <f t="shared" si="55"/>
        <v>0</v>
      </c>
    </row>
    <row r="1772" spans="1:22" x14ac:dyDescent="0.2">
      <c r="A1772" t="s">
        <v>3011</v>
      </c>
      <c r="B1772" t="s">
        <v>40</v>
      </c>
      <c r="C1772" t="s">
        <v>76</v>
      </c>
      <c r="D1772" t="s">
        <v>77</v>
      </c>
      <c r="E1772">
        <v>11</v>
      </c>
      <c r="F1772" t="s">
        <v>127</v>
      </c>
      <c r="G1772">
        <v>58</v>
      </c>
      <c r="H1772">
        <v>280</v>
      </c>
      <c r="I1772">
        <v>0</v>
      </c>
      <c r="J1772">
        <v>71</v>
      </c>
      <c r="K1772">
        <v>65</v>
      </c>
      <c r="L1772">
        <v>-280</v>
      </c>
      <c r="M1772">
        <v>1</v>
      </c>
      <c r="N1772">
        <v>0</v>
      </c>
      <c r="O1772" s="1" t="s">
        <v>3042</v>
      </c>
      <c r="P1772">
        <v>0</v>
      </c>
      <c r="Q1772">
        <v>0</v>
      </c>
      <c r="R1772">
        <v>0</v>
      </c>
      <c r="S1772">
        <v>0</v>
      </c>
      <c r="T1772">
        <v>12.30838397</v>
      </c>
      <c r="U1772">
        <f t="shared" si="54"/>
        <v>0</v>
      </c>
      <c r="V1772">
        <f t="shared" si="55"/>
        <v>0</v>
      </c>
    </row>
    <row r="1773" spans="1:22" x14ac:dyDescent="0.2">
      <c r="A1773" t="s">
        <v>3011</v>
      </c>
      <c r="B1773" t="s">
        <v>40</v>
      </c>
      <c r="C1773" t="s">
        <v>76</v>
      </c>
      <c r="D1773" t="s">
        <v>77</v>
      </c>
      <c r="E1773">
        <v>15</v>
      </c>
      <c r="F1773" t="s">
        <v>88</v>
      </c>
      <c r="G1773">
        <v>83</v>
      </c>
      <c r="H1773">
        <v>80</v>
      </c>
      <c r="I1773">
        <v>0</v>
      </c>
      <c r="J1773">
        <v>129</v>
      </c>
      <c r="K1773">
        <v>85</v>
      </c>
      <c r="L1773">
        <v>-80</v>
      </c>
      <c r="M1773">
        <v>1</v>
      </c>
      <c r="N1773">
        <v>0</v>
      </c>
      <c r="O1773" s="1" t="s">
        <v>3043</v>
      </c>
      <c r="P1773">
        <v>0</v>
      </c>
      <c r="Q1773">
        <v>0</v>
      </c>
      <c r="R1773">
        <v>0</v>
      </c>
      <c r="S1773">
        <v>0</v>
      </c>
      <c r="T1773">
        <v>12.30838397</v>
      </c>
      <c r="U1773">
        <f t="shared" si="54"/>
        <v>0</v>
      </c>
      <c r="V1773">
        <f t="shared" si="55"/>
        <v>0</v>
      </c>
    </row>
    <row r="1774" spans="1:22" x14ac:dyDescent="0.2">
      <c r="A1774" t="s">
        <v>3011</v>
      </c>
      <c r="B1774" t="s">
        <v>40</v>
      </c>
      <c r="C1774" t="s">
        <v>76</v>
      </c>
      <c r="D1774" t="s">
        <v>77</v>
      </c>
      <c r="E1774" s="1" t="s">
        <v>138</v>
      </c>
      <c r="F1774" t="s">
        <v>139</v>
      </c>
      <c r="G1774">
        <v>21</v>
      </c>
      <c r="H1774">
        <v>385796</v>
      </c>
      <c r="I1774">
        <v>0</v>
      </c>
      <c r="J1774">
        <v>69</v>
      </c>
      <c r="K1774">
        <v>99</v>
      </c>
      <c r="L1774">
        <v>-385796</v>
      </c>
      <c r="M1774">
        <v>1</v>
      </c>
      <c r="N1774">
        <v>0</v>
      </c>
      <c r="O1774" s="1" t="s">
        <v>3044</v>
      </c>
      <c r="P1774">
        <v>0</v>
      </c>
      <c r="Q1774">
        <v>0</v>
      </c>
      <c r="R1774">
        <v>0</v>
      </c>
      <c r="S1774">
        <v>0</v>
      </c>
      <c r="T1774">
        <v>12.30838397</v>
      </c>
      <c r="U1774">
        <f t="shared" si="54"/>
        <v>0</v>
      </c>
      <c r="V1774">
        <f t="shared" si="55"/>
        <v>0</v>
      </c>
    </row>
    <row r="1775" spans="1:22" x14ac:dyDescent="0.2">
      <c r="A1775" t="s">
        <v>3011</v>
      </c>
      <c r="B1775" t="s">
        <v>40</v>
      </c>
      <c r="C1775" t="s">
        <v>76</v>
      </c>
      <c r="D1775" t="s">
        <v>77</v>
      </c>
      <c r="E1775">
        <v>11</v>
      </c>
      <c r="F1775" t="s">
        <v>127</v>
      </c>
      <c r="G1775">
        <v>52</v>
      </c>
      <c r="H1775">
        <v>9</v>
      </c>
      <c r="I1775">
        <v>0</v>
      </c>
      <c r="J1775">
        <v>80</v>
      </c>
      <c r="K1775">
        <v>67</v>
      </c>
      <c r="L1775">
        <v>-9</v>
      </c>
      <c r="M1775">
        <v>1</v>
      </c>
      <c r="N1775">
        <v>0</v>
      </c>
      <c r="O1775" s="1" t="s">
        <v>3045</v>
      </c>
      <c r="P1775">
        <v>0</v>
      </c>
      <c r="Q1775">
        <v>0</v>
      </c>
      <c r="R1775">
        <v>0</v>
      </c>
      <c r="S1775">
        <v>0</v>
      </c>
      <c r="T1775">
        <v>12.30838397</v>
      </c>
      <c r="U1775">
        <f t="shared" si="54"/>
        <v>0</v>
      </c>
      <c r="V1775">
        <f t="shared" si="55"/>
        <v>0</v>
      </c>
    </row>
    <row r="1776" spans="1:22" x14ac:dyDescent="0.2">
      <c r="A1776" t="s">
        <v>3011</v>
      </c>
      <c r="B1776" t="s">
        <v>40</v>
      </c>
      <c r="C1776" t="s">
        <v>76</v>
      </c>
      <c r="D1776" t="s">
        <v>77</v>
      </c>
      <c r="E1776" s="1" t="s">
        <v>82</v>
      </c>
      <c r="F1776" t="s">
        <v>83</v>
      </c>
      <c r="G1776" s="1" t="s">
        <v>163</v>
      </c>
      <c r="H1776">
        <v>0</v>
      </c>
      <c r="I1776">
        <v>2096462</v>
      </c>
      <c r="J1776">
        <v>74</v>
      </c>
      <c r="K1776">
        <v>57</v>
      </c>
      <c r="L1776">
        <v>2096462</v>
      </c>
      <c r="M1776">
        <v>0</v>
      </c>
      <c r="N1776">
        <v>1</v>
      </c>
      <c r="O1776" s="1" t="s">
        <v>3046</v>
      </c>
      <c r="P1776">
        <v>0</v>
      </c>
      <c r="Q1776">
        <v>0</v>
      </c>
      <c r="R1776">
        <v>0</v>
      </c>
      <c r="S1776">
        <v>0</v>
      </c>
      <c r="T1776">
        <v>12.30838397</v>
      </c>
      <c r="U1776">
        <f t="shared" si="54"/>
        <v>0</v>
      </c>
      <c r="V1776">
        <f t="shared" si="55"/>
        <v>0</v>
      </c>
    </row>
    <row r="1777" spans="1:22" x14ac:dyDescent="0.2">
      <c r="A1777" t="s">
        <v>3011</v>
      </c>
      <c r="B1777" t="s">
        <v>40</v>
      </c>
      <c r="C1777" t="s">
        <v>76</v>
      </c>
      <c r="D1777" t="s">
        <v>77</v>
      </c>
      <c r="E1777">
        <v>99</v>
      </c>
      <c r="F1777" t="s">
        <v>78</v>
      </c>
      <c r="G1777">
        <v>99</v>
      </c>
      <c r="H1777">
        <v>1036450</v>
      </c>
      <c r="I1777">
        <v>11421019</v>
      </c>
      <c r="J1777">
        <v>57</v>
      </c>
      <c r="K1777">
        <v>30</v>
      </c>
      <c r="L1777">
        <v>10384569</v>
      </c>
      <c r="M1777">
        <v>8.3199083216663E-2</v>
      </c>
      <c r="N1777">
        <v>0.91680091678333697</v>
      </c>
      <c r="O1777">
        <v>3.0010775558691099E-3</v>
      </c>
      <c r="P1777">
        <v>0</v>
      </c>
      <c r="Q1777">
        <v>0</v>
      </c>
      <c r="R1777">
        <v>0</v>
      </c>
      <c r="S1777">
        <v>0</v>
      </c>
      <c r="T1777">
        <v>12.30838397</v>
      </c>
      <c r="U1777">
        <f t="shared" si="54"/>
        <v>0</v>
      </c>
      <c r="V1777">
        <f t="shared" si="55"/>
        <v>0</v>
      </c>
    </row>
    <row r="1778" spans="1:22" x14ac:dyDescent="0.2">
      <c r="A1778" t="s">
        <v>3011</v>
      </c>
      <c r="B1778" t="s">
        <v>40</v>
      </c>
      <c r="C1778" t="s">
        <v>76</v>
      </c>
      <c r="D1778" t="s">
        <v>77</v>
      </c>
      <c r="E1778" s="1" t="s">
        <v>138</v>
      </c>
      <c r="F1778" t="s">
        <v>139</v>
      </c>
      <c r="G1778">
        <v>18</v>
      </c>
      <c r="H1778">
        <v>0</v>
      </c>
      <c r="I1778">
        <v>2197008</v>
      </c>
      <c r="J1778">
        <v>110</v>
      </c>
      <c r="K1778">
        <v>40</v>
      </c>
      <c r="L1778">
        <v>2197008</v>
      </c>
      <c r="M1778">
        <v>0</v>
      </c>
      <c r="N1778">
        <v>1</v>
      </c>
      <c r="O1778" s="1" t="s">
        <v>3047</v>
      </c>
      <c r="P1778">
        <v>0</v>
      </c>
      <c r="Q1778">
        <v>0</v>
      </c>
      <c r="R1778">
        <v>0</v>
      </c>
      <c r="S1778">
        <v>0</v>
      </c>
      <c r="T1778">
        <v>12.30838397</v>
      </c>
      <c r="U1778">
        <f t="shared" si="54"/>
        <v>0</v>
      </c>
      <c r="V1778">
        <f t="shared" si="55"/>
        <v>0</v>
      </c>
    </row>
    <row r="1779" spans="1:22" x14ac:dyDescent="0.2">
      <c r="A1779" t="s">
        <v>3011</v>
      </c>
      <c r="B1779" t="s">
        <v>40</v>
      </c>
      <c r="C1779" t="s">
        <v>76</v>
      </c>
      <c r="D1779" t="s">
        <v>77</v>
      </c>
      <c r="E1779" s="1" t="s">
        <v>82</v>
      </c>
      <c r="F1779" t="s">
        <v>83</v>
      </c>
      <c r="G1779" s="1" t="s">
        <v>89</v>
      </c>
      <c r="H1779">
        <v>7</v>
      </c>
      <c r="I1779">
        <v>4742216</v>
      </c>
      <c r="J1779">
        <v>48</v>
      </c>
      <c r="K1779">
        <v>22</v>
      </c>
      <c r="L1779">
        <v>4742209</v>
      </c>
      <c r="M1779" s="1" t="s">
        <v>3048</v>
      </c>
      <c r="N1779" s="1" t="s">
        <v>3049</v>
      </c>
      <c r="O1779">
        <v>1.14242941405082E-3</v>
      </c>
      <c r="P1779">
        <v>0</v>
      </c>
      <c r="Q1779">
        <v>0</v>
      </c>
      <c r="R1779">
        <v>0</v>
      </c>
      <c r="S1779">
        <v>0</v>
      </c>
      <c r="T1779">
        <v>12.30838397</v>
      </c>
      <c r="U1779">
        <f t="shared" si="54"/>
        <v>0</v>
      </c>
      <c r="V1779">
        <f t="shared" si="55"/>
        <v>0</v>
      </c>
    </row>
    <row r="1780" spans="1:22" x14ac:dyDescent="0.2">
      <c r="A1780" t="s">
        <v>3050</v>
      </c>
      <c r="B1780" t="s">
        <v>41</v>
      </c>
      <c r="C1780" t="s">
        <v>76</v>
      </c>
      <c r="D1780" t="s">
        <v>77</v>
      </c>
      <c r="E1780" s="1" t="s">
        <v>82</v>
      </c>
      <c r="F1780" t="s">
        <v>83</v>
      </c>
      <c r="G1780" s="1" t="s">
        <v>99</v>
      </c>
      <c r="H1780">
        <v>449654649</v>
      </c>
      <c r="I1780">
        <v>15729598</v>
      </c>
      <c r="J1780">
        <v>2</v>
      </c>
      <c r="K1780">
        <v>22</v>
      </c>
      <c r="L1780">
        <v>-433925051</v>
      </c>
      <c r="M1780" s="1" t="s">
        <v>3051</v>
      </c>
      <c r="N1780">
        <v>3.37991629527589E-2</v>
      </c>
      <c r="O1780" s="1" t="s">
        <v>3052</v>
      </c>
      <c r="P1780">
        <v>1</v>
      </c>
      <c r="Q1780">
        <v>0</v>
      </c>
      <c r="R1780">
        <v>1</v>
      </c>
      <c r="S1780">
        <v>0</v>
      </c>
      <c r="T1780">
        <v>29.702585079999999</v>
      </c>
      <c r="U1780">
        <f t="shared" si="54"/>
        <v>1</v>
      </c>
      <c r="V1780">
        <f t="shared" si="55"/>
        <v>1</v>
      </c>
    </row>
    <row r="1781" spans="1:22" x14ac:dyDescent="0.2">
      <c r="A1781" t="s">
        <v>3050</v>
      </c>
      <c r="B1781" t="s">
        <v>41</v>
      </c>
      <c r="C1781" t="s">
        <v>76</v>
      </c>
      <c r="D1781" t="s">
        <v>77</v>
      </c>
      <c r="E1781">
        <v>10</v>
      </c>
      <c r="F1781" t="s">
        <v>119</v>
      </c>
      <c r="G1781">
        <v>48</v>
      </c>
      <c r="H1781">
        <v>176690761</v>
      </c>
      <c r="I1781">
        <v>30900</v>
      </c>
      <c r="J1781">
        <v>14</v>
      </c>
      <c r="K1781">
        <v>74</v>
      </c>
      <c r="L1781">
        <v>-176659861</v>
      </c>
      <c r="M1781" s="1" t="s">
        <v>3053</v>
      </c>
      <c r="N1781" s="1" t="s">
        <v>3054</v>
      </c>
      <c r="O1781">
        <v>7.0926886363002803E-2</v>
      </c>
      <c r="P1781">
        <v>0</v>
      </c>
      <c r="Q1781">
        <v>0</v>
      </c>
      <c r="R1781">
        <v>0</v>
      </c>
      <c r="S1781">
        <v>0</v>
      </c>
      <c r="T1781">
        <v>29.702585079999999</v>
      </c>
      <c r="U1781">
        <f t="shared" si="54"/>
        <v>0</v>
      </c>
      <c r="V1781">
        <f t="shared" si="55"/>
        <v>0</v>
      </c>
    </row>
    <row r="1782" spans="1:22" x14ac:dyDescent="0.2">
      <c r="A1782" t="s">
        <v>3050</v>
      </c>
      <c r="B1782" t="s">
        <v>41</v>
      </c>
      <c r="C1782" t="s">
        <v>76</v>
      </c>
      <c r="D1782" t="s">
        <v>77</v>
      </c>
      <c r="E1782">
        <v>15</v>
      </c>
      <c r="F1782" t="s">
        <v>88</v>
      </c>
      <c r="G1782">
        <v>72</v>
      </c>
      <c r="H1782">
        <v>318593221</v>
      </c>
      <c r="I1782">
        <v>0</v>
      </c>
      <c r="J1782">
        <v>41</v>
      </c>
      <c r="K1782">
        <v>74</v>
      </c>
      <c r="L1782">
        <v>-318593221</v>
      </c>
      <c r="M1782">
        <v>1</v>
      </c>
      <c r="N1782">
        <v>0</v>
      </c>
      <c r="O1782" s="1" t="s">
        <v>3055</v>
      </c>
      <c r="P1782">
        <v>0</v>
      </c>
      <c r="Q1782">
        <v>0</v>
      </c>
      <c r="R1782">
        <v>0</v>
      </c>
      <c r="S1782">
        <v>0</v>
      </c>
      <c r="T1782">
        <v>29.702585079999999</v>
      </c>
      <c r="U1782">
        <f t="shared" si="54"/>
        <v>0</v>
      </c>
      <c r="V1782">
        <f t="shared" si="55"/>
        <v>0</v>
      </c>
    </row>
    <row r="1783" spans="1:22" x14ac:dyDescent="0.2">
      <c r="A1783" t="s">
        <v>3050</v>
      </c>
      <c r="B1783" t="s">
        <v>41</v>
      </c>
      <c r="C1783" t="s">
        <v>76</v>
      </c>
      <c r="D1783" t="s">
        <v>77</v>
      </c>
      <c r="E1783" s="1" t="s">
        <v>99</v>
      </c>
      <c r="F1783" t="s">
        <v>100</v>
      </c>
      <c r="G1783">
        <v>40</v>
      </c>
      <c r="H1783">
        <v>118299391</v>
      </c>
      <c r="I1783">
        <v>256719</v>
      </c>
      <c r="J1783">
        <v>29</v>
      </c>
      <c r="K1783">
        <v>63</v>
      </c>
      <c r="L1783">
        <v>-118042672</v>
      </c>
      <c r="M1783" s="1" t="s">
        <v>3056</v>
      </c>
      <c r="N1783">
        <v>2.16537975141053E-3</v>
      </c>
      <c r="O1783" s="1" t="s">
        <v>3057</v>
      </c>
      <c r="P1783">
        <v>0</v>
      </c>
      <c r="Q1783">
        <v>0</v>
      </c>
      <c r="R1783">
        <v>0</v>
      </c>
      <c r="S1783">
        <v>0</v>
      </c>
      <c r="T1783">
        <v>29.702585079999999</v>
      </c>
      <c r="U1783">
        <f t="shared" si="54"/>
        <v>0</v>
      </c>
      <c r="V1783">
        <f t="shared" si="55"/>
        <v>0</v>
      </c>
    </row>
    <row r="1784" spans="1:22" x14ac:dyDescent="0.2">
      <c r="A1784" t="s">
        <v>3050</v>
      </c>
      <c r="B1784" t="s">
        <v>41</v>
      </c>
      <c r="C1784" t="s">
        <v>76</v>
      </c>
      <c r="D1784" t="s">
        <v>77</v>
      </c>
      <c r="E1784">
        <v>15</v>
      </c>
      <c r="F1784" t="s">
        <v>88</v>
      </c>
      <c r="G1784">
        <v>73</v>
      </c>
      <c r="H1784">
        <v>15851334</v>
      </c>
      <c r="I1784">
        <v>138</v>
      </c>
      <c r="J1784">
        <v>44</v>
      </c>
      <c r="K1784">
        <v>99</v>
      </c>
      <c r="L1784">
        <v>-15851196</v>
      </c>
      <c r="M1784" s="1" t="s">
        <v>3058</v>
      </c>
      <c r="N1784" s="1" t="s">
        <v>3059</v>
      </c>
      <c r="O1784">
        <v>6.36195668866151E-3</v>
      </c>
      <c r="P1784">
        <v>0</v>
      </c>
      <c r="Q1784">
        <v>0</v>
      </c>
      <c r="R1784">
        <v>0</v>
      </c>
      <c r="S1784">
        <v>0</v>
      </c>
      <c r="T1784">
        <v>29.702585079999999</v>
      </c>
      <c r="U1784">
        <f t="shared" si="54"/>
        <v>0</v>
      </c>
      <c r="V1784">
        <f t="shared" si="55"/>
        <v>0</v>
      </c>
    </row>
    <row r="1785" spans="1:22" x14ac:dyDescent="0.2">
      <c r="A1785" t="s">
        <v>3050</v>
      </c>
      <c r="B1785" t="s">
        <v>41</v>
      </c>
      <c r="C1785" t="s">
        <v>76</v>
      </c>
      <c r="D1785" t="s">
        <v>77</v>
      </c>
      <c r="E1785" s="1" t="s">
        <v>85</v>
      </c>
      <c r="F1785" t="s">
        <v>86</v>
      </c>
      <c r="G1785">
        <v>27</v>
      </c>
      <c r="H1785">
        <v>208606967</v>
      </c>
      <c r="I1785">
        <v>0</v>
      </c>
      <c r="J1785">
        <v>77</v>
      </c>
      <c r="K1785">
        <v>91</v>
      </c>
      <c r="L1785">
        <v>-208606967</v>
      </c>
      <c r="M1785">
        <v>1</v>
      </c>
      <c r="N1785">
        <v>0</v>
      </c>
      <c r="O1785">
        <v>8.3723990365503001E-2</v>
      </c>
      <c r="P1785">
        <v>0</v>
      </c>
      <c r="Q1785">
        <v>0</v>
      </c>
      <c r="R1785">
        <v>0</v>
      </c>
      <c r="S1785">
        <v>0</v>
      </c>
      <c r="T1785">
        <v>29.702585079999999</v>
      </c>
      <c r="U1785">
        <f t="shared" si="54"/>
        <v>0</v>
      </c>
      <c r="V1785">
        <f t="shared" si="55"/>
        <v>0</v>
      </c>
    </row>
    <row r="1786" spans="1:22" x14ac:dyDescent="0.2">
      <c r="A1786" t="s">
        <v>3050</v>
      </c>
      <c r="B1786" t="s">
        <v>41</v>
      </c>
      <c r="C1786" t="s">
        <v>76</v>
      </c>
      <c r="D1786" t="s">
        <v>77</v>
      </c>
      <c r="E1786" s="1" t="s">
        <v>89</v>
      </c>
      <c r="F1786" t="s">
        <v>90</v>
      </c>
      <c r="G1786">
        <v>29</v>
      </c>
      <c r="H1786">
        <v>20189383</v>
      </c>
      <c r="I1786">
        <v>0</v>
      </c>
      <c r="J1786">
        <v>46</v>
      </c>
      <c r="K1786">
        <v>81</v>
      </c>
      <c r="L1786">
        <v>-20189383</v>
      </c>
      <c r="M1786">
        <v>1</v>
      </c>
      <c r="N1786">
        <v>0</v>
      </c>
      <c r="O1786">
        <v>8.1029686212611002E-3</v>
      </c>
      <c r="P1786">
        <v>0</v>
      </c>
      <c r="Q1786">
        <v>0</v>
      </c>
      <c r="R1786">
        <v>0</v>
      </c>
      <c r="S1786">
        <v>0</v>
      </c>
      <c r="T1786">
        <v>29.702585079999999</v>
      </c>
      <c r="U1786">
        <f t="shared" si="54"/>
        <v>0</v>
      </c>
      <c r="V1786">
        <f t="shared" si="55"/>
        <v>0</v>
      </c>
    </row>
    <row r="1787" spans="1:22" x14ac:dyDescent="0.2">
      <c r="A1787" t="s">
        <v>3050</v>
      </c>
      <c r="B1787" t="s">
        <v>41</v>
      </c>
      <c r="C1787" t="s">
        <v>76</v>
      </c>
      <c r="D1787" t="s">
        <v>77</v>
      </c>
      <c r="E1787" s="1" t="s">
        <v>89</v>
      </c>
      <c r="F1787" t="s">
        <v>90</v>
      </c>
      <c r="G1787">
        <v>28</v>
      </c>
      <c r="H1787">
        <v>20986062</v>
      </c>
      <c r="I1787">
        <v>23512</v>
      </c>
      <c r="J1787">
        <v>62</v>
      </c>
      <c r="K1787">
        <v>75</v>
      </c>
      <c r="L1787">
        <v>-20962550</v>
      </c>
      <c r="M1787" s="1" t="s">
        <v>3060</v>
      </c>
      <c r="N1787">
        <v>1.1191088405695399E-3</v>
      </c>
      <c r="O1787">
        <v>8.4321506441312807E-3</v>
      </c>
      <c r="P1787">
        <v>0</v>
      </c>
      <c r="Q1787">
        <v>0</v>
      </c>
      <c r="R1787">
        <v>0</v>
      </c>
      <c r="S1787">
        <v>0</v>
      </c>
      <c r="T1787">
        <v>29.702585079999999</v>
      </c>
      <c r="U1787">
        <f t="shared" si="54"/>
        <v>0</v>
      </c>
      <c r="V1787">
        <f t="shared" si="55"/>
        <v>0</v>
      </c>
    </row>
    <row r="1788" spans="1:22" x14ac:dyDescent="0.2">
      <c r="A1788" t="s">
        <v>3050</v>
      </c>
      <c r="B1788" t="s">
        <v>41</v>
      </c>
      <c r="C1788" t="s">
        <v>76</v>
      </c>
      <c r="D1788" t="s">
        <v>77</v>
      </c>
      <c r="E1788" s="1" t="s">
        <v>85</v>
      </c>
      <c r="F1788" t="s">
        <v>86</v>
      </c>
      <c r="G1788">
        <v>25</v>
      </c>
      <c r="H1788">
        <v>12681156</v>
      </c>
      <c r="I1788">
        <v>6291205</v>
      </c>
      <c r="J1788">
        <v>34</v>
      </c>
      <c r="K1788">
        <v>29</v>
      </c>
      <c r="L1788">
        <v>-6389951</v>
      </c>
      <c r="M1788" s="1" t="s">
        <v>3061</v>
      </c>
      <c r="N1788" s="1" t="s">
        <v>3062</v>
      </c>
      <c r="O1788">
        <v>7.6145192675892001E-3</v>
      </c>
      <c r="P1788">
        <v>0</v>
      </c>
      <c r="Q1788">
        <v>0</v>
      </c>
      <c r="R1788">
        <v>0</v>
      </c>
      <c r="S1788">
        <v>0</v>
      </c>
      <c r="T1788">
        <v>29.702585079999999</v>
      </c>
      <c r="U1788">
        <f t="shared" si="54"/>
        <v>0</v>
      </c>
      <c r="V1788">
        <f t="shared" si="55"/>
        <v>0</v>
      </c>
    </row>
    <row r="1789" spans="1:22" x14ac:dyDescent="0.2">
      <c r="A1789" t="s">
        <v>3050</v>
      </c>
      <c r="B1789" t="s">
        <v>41</v>
      </c>
      <c r="C1789" t="s">
        <v>76</v>
      </c>
      <c r="D1789" t="s">
        <v>77</v>
      </c>
      <c r="E1789">
        <v>15</v>
      </c>
      <c r="F1789" t="s">
        <v>88</v>
      </c>
      <c r="G1789">
        <v>82</v>
      </c>
      <c r="H1789">
        <v>10141542</v>
      </c>
      <c r="I1789">
        <v>13131881</v>
      </c>
      <c r="J1789">
        <v>18</v>
      </c>
      <c r="K1789">
        <v>34</v>
      </c>
      <c r="L1789">
        <v>2990339</v>
      </c>
      <c r="M1789" s="1" t="s">
        <v>3063</v>
      </c>
      <c r="N1789" s="1" t="s">
        <v>3064</v>
      </c>
      <c r="O1789">
        <v>9.3407419274940898E-3</v>
      </c>
      <c r="P1789">
        <v>0</v>
      </c>
      <c r="Q1789">
        <v>0</v>
      </c>
      <c r="R1789">
        <v>0</v>
      </c>
      <c r="S1789">
        <v>0</v>
      </c>
      <c r="T1789">
        <v>29.702585079999999</v>
      </c>
      <c r="U1789">
        <f t="shared" si="54"/>
        <v>0</v>
      </c>
      <c r="V1789">
        <f t="shared" si="55"/>
        <v>0</v>
      </c>
    </row>
    <row r="1790" spans="1:22" x14ac:dyDescent="0.2">
      <c r="A1790" t="s">
        <v>3050</v>
      </c>
      <c r="B1790" t="s">
        <v>41</v>
      </c>
      <c r="C1790" t="s">
        <v>76</v>
      </c>
      <c r="D1790" t="s">
        <v>77</v>
      </c>
      <c r="E1790">
        <v>17</v>
      </c>
      <c r="F1790" t="s">
        <v>97</v>
      </c>
      <c r="G1790">
        <v>88</v>
      </c>
      <c r="H1790">
        <v>32242266</v>
      </c>
      <c r="I1790">
        <v>0</v>
      </c>
      <c r="J1790">
        <v>26</v>
      </c>
      <c r="K1790">
        <v>87</v>
      </c>
      <c r="L1790">
        <v>-32242266</v>
      </c>
      <c r="M1790">
        <v>1</v>
      </c>
      <c r="N1790">
        <v>0</v>
      </c>
      <c r="O1790">
        <v>1.29403691869312E-2</v>
      </c>
      <c r="P1790">
        <v>0</v>
      </c>
      <c r="Q1790">
        <v>0</v>
      </c>
      <c r="R1790">
        <v>0</v>
      </c>
      <c r="S1790">
        <v>0</v>
      </c>
      <c r="T1790">
        <v>29.702585079999999</v>
      </c>
      <c r="U1790">
        <f t="shared" si="54"/>
        <v>0</v>
      </c>
      <c r="V1790">
        <f t="shared" si="55"/>
        <v>0</v>
      </c>
    </row>
    <row r="1791" spans="1:22" x14ac:dyDescent="0.2">
      <c r="A1791" t="s">
        <v>3050</v>
      </c>
      <c r="B1791" t="s">
        <v>41</v>
      </c>
      <c r="C1791" t="s">
        <v>76</v>
      </c>
      <c r="D1791" t="s">
        <v>77</v>
      </c>
      <c r="E1791" s="1" t="s">
        <v>89</v>
      </c>
      <c r="F1791" t="s">
        <v>90</v>
      </c>
      <c r="G1791">
        <v>34</v>
      </c>
      <c r="H1791">
        <v>7484495</v>
      </c>
      <c r="I1791">
        <v>9846</v>
      </c>
      <c r="J1791">
        <v>25</v>
      </c>
      <c r="K1791">
        <v>74</v>
      </c>
      <c r="L1791">
        <v>-7474649</v>
      </c>
      <c r="M1791" s="1" t="s">
        <v>3065</v>
      </c>
      <c r="N1791">
        <v>1.3137912993283799E-3</v>
      </c>
      <c r="O1791">
        <v>3.00783882102937E-3</v>
      </c>
      <c r="P1791">
        <v>0</v>
      </c>
      <c r="Q1791">
        <v>0</v>
      </c>
      <c r="R1791">
        <v>0</v>
      </c>
      <c r="S1791">
        <v>0</v>
      </c>
      <c r="T1791">
        <v>29.702585079999999</v>
      </c>
      <c r="U1791">
        <f t="shared" si="54"/>
        <v>0</v>
      </c>
      <c r="V1791">
        <f t="shared" si="55"/>
        <v>0</v>
      </c>
    </row>
    <row r="1792" spans="1:22" x14ac:dyDescent="0.2">
      <c r="A1792" t="s">
        <v>3050</v>
      </c>
      <c r="B1792" t="s">
        <v>41</v>
      </c>
      <c r="C1792" t="s">
        <v>76</v>
      </c>
      <c r="D1792" t="s">
        <v>77</v>
      </c>
      <c r="E1792">
        <v>15</v>
      </c>
      <c r="F1792" t="s">
        <v>88</v>
      </c>
      <c r="G1792">
        <v>78</v>
      </c>
      <c r="H1792">
        <v>12025791</v>
      </c>
      <c r="I1792">
        <v>0</v>
      </c>
      <c r="J1792">
        <v>17</v>
      </c>
      <c r="K1792">
        <v>44</v>
      </c>
      <c r="L1792">
        <v>-12025791</v>
      </c>
      <c r="M1792">
        <v>1</v>
      </c>
      <c r="N1792">
        <v>0</v>
      </c>
      <c r="O1792">
        <v>4.8265272454757098E-3</v>
      </c>
      <c r="P1792">
        <v>0</v>
      </c>
      <c r="Q1792">
        <v>0</v>
      </c>
      <c r="R1792">
        <v>0</v>
      </c>
      <c r="S1792">
        <v>0</v>
      </c>
      <c r="T1792">
        <v>29.702585079999999</v>
      </c>
      <c r="U1792">
        <f t="shared" si="54"/>
        <v>0</v>
      </c>
      <c r="V1792">
        <f t="shared" si="55"/>
        <v>0</v>
      </c>
    </row>
    <row r="1793" spans="1:22" x14ac:dyDescent="0.2">
      <c r="A1793" t="s">
        <v>3050</v>
      </c>
      <c r="B1793" t="s">
        <v>41</v>
      </c>
      <c r="C1793" t="s">
        <v>76</v>
      </c>
      <c r="D1793" t="s">
        <v>77</v>
      </c>
      <c r="E1793">
        <v>15</v>
      </c>
      <c r="F1793" t="s">
        <v>88</v>
      </c>
      <c r="G1793">
        <v>74</v>
      </c>
      <c r="H1793">
        <v>3308072</v>
      </c>
      <c r="I1793">
        <v>2910</v>
      </c>
      <c r="J1793">
        <v>58</v>
      </c>
      <c r="K1793">
        <v>75</v>
      </c>
      <c r="L1793">
        <v>-3305162</v>
      </c>
      <c r="M1793" s="1" t="s">
        <v>3066</v>
      </c>
      <c r="N1793" s="1" t="s">
        <v>3067</v>
      </c>
      <c r="O1793">
        <v>1.3288560255437299E-3</v>
      </c>
      <c r="P1793">
        <v>0</v>
      </c>
      <c r="Q1793">
        <v>0</v>
      </c>
      <c r="R1793">
        <v>0</v>
      </c>
      <c r="S1793">
        <v>0</v>
      </c>
      <c r="T1793">
        <v>29.702585079999999</v>
      </c>
      <c r="U1793">
        <f t="shared" si="54"/>
        <v>0</v>
      </c>
      <c r="V1793">
        <f t="shared" si="55"/>
        <v>0</v>
      </c>
    </row>
    <row r="1794" spans="1:22" x14ac:dyDescent="0.2">
      <c r="A1794" t="s">
        <v>3050</v>
      </c>
      <c r="B1794" t="s">
        <v>41</v>
      </c>
      <c r="C1794" t="s">
        <v>76</v>
      </c>
      <c r="D1794" t="s">
        <v>77</v>
      </c>
      <c r="E1794" s="1" t="s">
        <v>89</v>
      </c>
      <c r="F1794" t="s">
        <v>90</v>
      </c>
      <c r="G1794">
        <v>31</v>
      </c>
      <c r="H1794">
        <v>14403622</v>
      </c>
      <c r="I1794">
        <v>0</v>
      </c>
      <c r="J1794">
        <v>97</v>
      </c>
      <c r="K1794">
        <v>51</v>
      </c>
      <c r="L1794">
        <v>-14403622</v>
      </c>
      <c r="M1794">
        <v>1</v>
      </c>
      <c r="N1794">
        <v>0</v>
      </c>
      <c r="O1794">
        <v>5.7808649773252599E-3</v>
      </c>
      <c r="P1794">
        <v>0</v>
      </c>
      <c r="Q1794">
        <v>0</v>
      </c>
      <c r="R1794">
        <v>0</v>
      </c>
      <c r="S1794">
        <v>0</v>
      </c>
      <c r="T1794">
        <v>29.702585079999999</v>
      </c>
      <c r="U1794">
        <f t="shared" si="54"/>
        <v>0</v>
      </c>
      <c r="V1794">
        <f t="shared" si="55"/>
        <v>0</v>
      </c>
    </row>
    <row r="1795" spans="1:22" x14ac:dyDescent="0.2">
      <c r="A1795" t="s">
        <v>3050</v>
      </c>
      <c r="B1795" t="s">
        <v>41</v>
      </c>
      <c r="C1795" t="s">
        <v>76</v>
      </c>
      <c r="D1795" t="s">
        <v>77</v>
      </c>
      <c r="E1795">
        <v>17</v>
      </c>
      <c r="F1795" t="s">
        <v>97</v>
      </c>
      <c r="G1795">
        <v>87</v>
      </c>
      <c r="H1795">
        <v>2081115</v>
      </c>
      <c r="I1795">
        <v>17728</v>
      </c>
      <c r="J1795">
        <v>81</v>
      </c>
      <c r="K1795">
        <v>81</v>
      </c>
      <c r="L1795">
        <v>-2063387</v>
      </c>
      <c r="M1795" s="1" t="s">
        <v>3068</v>
      </c>
      <c r="N1795">
        <v>8.4465584133734603E-3</v>
      </c>
      <c r="O1795" s="1" t="s">
        <v>3069</v>
      </c>
      <c r="P1795">
        <v>0</v>
      </c>
      <c r="Q1795">
        <v>0</v>
      </c>
      <c r="R1795">
        <v>0</v>
      </c>
      <c r="S1795">
        <v>0</v>
      </c>
      <c r="T1795">
        <v>29.702585079999999</v>
      </c>
      <c r="U1795">
        <f t="shared" ref="U1795:U1858" si="56">IF(OR(P1795=1,Q1795=1),1,0)</f>
        <v>0</v>
      </c>
      <c r="V1795">
        <f t="shared" ref="V1795:V1858" si="57">IF(OR(R1795=1,S1795=1),1,0)</f>
        <v>0</v>
      </c>
    </row>
    <row r="1796" spans="1:22" x14ac:dyDescent="0.2">
      <c r="A1796" t="s">
        <v>3050</v>
      </c>
      <c r="B1796" t="s">
        <v>41</v>
      </c>
      <c r="C1796" t="s">
        <v>76</v>
      </c>
      <c r="D1796" t="s">
        <v>77</v>
      </c>
      <c r="E1796" s="1" t="s">
        <v>93</v>
      </c>
      <c r="F1796" t="s">
        <v>94</v>
      </c>
      <c r="G1796">
        <v>44</v>
      </c>
      <c r="H1796">
        <v>5749409</v>
      </c>
      <c r="I1796">
        <v>2138</v>
      </c>
      <c r="J1796">
        <v>79</v>
      </c>
      <c r="K1796">
        <v>88</v>
      </c>
      <c r="L1796">
        <v>-5747271</v>
      </c>
      <c r="M1796">
        <v>0.99962827392352005</v>
      </c>
      <c r="N1796" s="1" t="s">
        <v>3070</v>
      </c>
      <c r="O1796">
        <v>2.3083719232384801E-3</v>
      </c>
      <c r="P1796">
        <v>0</v>
      </c>
      <c r="Q1796">
        <v>0</v>
      </c>
      <c r="R1796">
        <v>0</v>
      </c>
      <c r="S1796">
        <v>0</v>
      </c>
      <c r="T1796">
        <v>29.702585079999999</v>
      </c>
      <c r="U1796">
        <f t="shared" si="56"/>
        <v>0</v>
      </c>
      <c r="V1796">
        <f t="shared" si="57"/>
        <v>0</v>
      </c>
    </row>
    <row r="1797" spans="1:22" x14ac:dyDescent="0.2">
      <c r="A1797" t="s">
        <v>3050</v>
      </c>
      <c r="B1797" t="s">
        <v>41</v>
      </c>
      <c r="C1797" t="s">
        <v>76</v>
      </c>
      <c r="D1797" t="s">
        <v>77</v>
      </c>
      <c r="E1797" s="1" t="s">
        <v>82</v>
      </c>
      <c r="F1797" t="s">
        <v>83</v>
      </c>
      <c r="G1797" s="1" t="s">
        <v>93</v>
      </c>
      <c r="H1797">
        <v>5919523</v>
      </c>
      <c r="I1797">
        <v>0</v>
      </c>
      <c r="J1797">
        <v>17</v>
      </c>
      <c r="K1797">
        <v>110</v>
      </c>
      <c r="L1797">
        <v>-5919523</v>
      </c>
      <c r="M1797">
        <v>1</v>
      </c>
      <c r="N1797">
        <v>0</v>
      </c>
      <c r="O1797">
        <v>2.3757887559928601E-3</v>
      </c>
      <c r="P1797">
        <v>0</v>
      </c>
      <c r="Q1797">
        <v>0</v>
      </c>
      <c r="R1797">
        <v>0</v>
      </c>
      <c r="S1797">
        <v>0</v>
      </c>
      <c r="T1797">
        <v>29.702585079999999</v>
      </c>
      <c r="U1797">
        <f t="shared" si="56"/>
        <v>0</v>
      </c>
      <c r="V1797">
        <f t="shared" si="57"/>
        <v>0</v>
      </c>
    </row>
    <row r="1798" spans="1:22" x14ac:dyDescent="0.2">
      <c r="A1798" t="s">
        <v>3050</v>
      </c>
      <c r="B1798" t="s">
        <v>41</v>
      </c>
      <c r="C1798" t="s">
        <v>76</v>
      </c>
      <c r="D1798" t="s">
        <v>77</v>
      </c>
      <c r="E1798">
        <v>16</v>
      </c>
      <c r="F1798" t="s">
        <v>95</v>
      </c>
      <c r="G1798">
        <v>85</v>
      </c>
      <c r="H1798">
        <v>1618806</v>
      </c>
      <c r="I1798">
        <v>22693</v>
      </c>
      <c r="J1798">
        <v>92</v>
      </c>
      <c r="K1798">
        <v>94</v>
      </c>
      <c r="L1798">
        <v>-1596113</v>
      </c>
      <c r="M1798">
        <v>0.98617544086228504</v>
      </c>
      <c r="N1798" s="1" t="s">
        <v>3071</v>
      </c>
      <c r="O1798" s="1" t="s">
        <v>3072</v>
      </c>
      <c r="P1798">
        <v>0</v>
      </c>
      <c r="Q1798">
        <v>0</v>
      </c>
      <c r="R1798">
        <v>0</v>
      </c>
      <c r="S1798">
        <v>0</v>
      </c>
      <c r="T1798">
        <v>29.702585079999999</v>
      </c>
      <c r="U1798">
        <f t="shared" si="56"/>
        <v>0</v>
      </c>
      <c r="V1798">
        <f t="shared" si="57"/>
        <v>0</v>
      </c>
    </row>
    <row r="1799" spans="1:22" x14ac:dyDescent="0.2">
      <c r="A1799" t="s">
        <v>3050</v>
      </c>
      <c r="B1799" t="s">
        <v>41</v>
      </c>
      <c r="C1799" t="s">
        <v>76</v>
      </c>
      <c r="D1799" t="s">
        <v>77</v>
      </c>
      <c r="E1799" s="1" t="s">
        <v>89</v>
      </c>
      <c r="F1799" t="s">
        <v>90</v>
      </c>
      <c r="G1799">
        <v>38</v>
      </c>
      <c r="H1799">
        <v>2950051</v>
      </c>
      <c r="I1799">
        <v>141</v>
      </c>
      <c r="J1799">
        <v>63</v>
      </c>
      <c r="K1799">
        <v>83</v>
      </c>
      <c r="L1799">
        <v>-2949910</v>
      </c>
      <c r="M1799" s="1" t="s">
        <v>3073</v>
      </c>
      <c r="N1799" s="1" t="s">
        <v>3074</v>
      </c>
      <c r="O1799">
        <v>1.1840536782474001E-3</v>
      </c>
      <c r="P1799">
        <v>0</v>
      </c>
      <c r="Q1799">
        <v>0</v>
      </c>
      <c r="R1799">
        <v>0</v>
      </c>
      <c r="S1799">
        <v>0</v>
      </c>
      <c r="T1799">
        <v>29.702585079999999</v>
      </c>
      <c r="U1799">
        <f t="shared" si="56"/>
        <v>0</v>
      </c>
      <c r="V1799">
        <f t="shared" si="57"/>
        <v>0</v>
      </c>
    </row>
    <row r="1800" spans="1:22" x14ac:dyDescent="0.2">
      <c r="A1800" t="s">
        <v>3050</v>
      </c>
      <c r="B1800" t="s">
        <v>41</v>
      </c>
      <c r="C1800" t="s">
        <v>76</v>
      </c>
      <c r="D1800" t="s">
        <v>77</v>
      </c>
      <c r="E1800" s="1" t="s">
        <v>99</v>
      </c>
      <c r="F1800" t="s">
        <v>100</v>
      </c>
      <c r="G1800">
        <v>39</v>
      </c>
      <c r="H1800">
        <v>2960909</v>
      </c>
      <c r="I1800">
        <v>1834104</v>
      </c>
      <c r="J1800">
        <v>73</v>
      </c>
      <c r="K1800">
        <v>69</v>
      </c>
      <c r="L1800">
        <v>-1126805</v>
      </c>
      <c r="M1800" s="1" t="s">
        <v>3075</v>
      </c>
      <c r="N1800" s="1" t="s">
        <v>3076</v>
      </c>
      <c r="O1800">
        <v>1.92446890910629E-3</v>
      </c>
      <c r="P1800">
        <v>0</v>
      </c>
      <c r="Q1800">
        <v>0</v>
      </c>
      <c r="R1800">
        <v>0</v>
      </c>
      <c r="S1800">
        <v>0</v>
      </c>
      <c r="T1800">
        <v>29.702585079999999</v>
      </c>
      <c r="U1800">
        <f t="shared" si="56"/>
        <v>0</v>
      </c>
      <c r="V1800">
        <f t="shared" si="57"/>
        <v>0</v>
      </c>
    </row>
    <row r="1801" spans="1:22" x14ac:dyDescent="0.2">
      <c r="A1801" t="s">
        <v>3050</v>
      </c>
      <c r="B1801" t="s">
        <v>41</v>
      </c>
      <c r="C1801" t="s">
        <v>76</v>
      </c>
      <c r="D1801" t="s">
        <v>77</v>
      </c>
      <c r="E1801">
        <v>18</v>
      </c>
      <c r="F1801" t="s">
        <v>147</v>
      </c>
      <c r="G1801">
        <v>90</v>
      </c>
      <c r="H1801">
        <v>2352421</v>
      </c>
      <c r="I1801">
        <v>25034035</v>
      </c>
      <c r="J1801">
        <v>70</v>
      </c>
      <c r="K1801">
        <v>42</v>
      </c>
      <c r="L1801">
        <v>22681614</v>
      </c>
      <c r="M1801">
        <v>8.5897240592210905E-2</v>
      </c>
      <c r="N1801" s="1" t="s">
        <v>3077</v>
      </c>
      <c r="O1801" s="1" t="s">
        <v>3078</v>
      </c>
      <c r="P1801">
        <v>0</v>
      </c>
      <c r="Q1801">
        <v>0</v>
      </c>
      <c r="R1801">
        <v>0</v>
      </c>
      <c r="S1801">
        <v>0</v>
      </c>
      <c r="T1801">
        <v>29.702585079999999</v>
      </c>
      <c r="U1801">
        <f t="shared" si="56"/>
        <v>0</v>
      </c>
      <c r="V1801">
        <f t="shared" si="57"/>
        <v>0</v>
      </c>
    </row>
    <row r="1802" spans="1:22" x14ac:dyDescent="0.2">
      <c r="A1802" t="s">
        <v>3050</v>
      </c>
      <c r="B1802" t="s">
        <v>41</v>
      </c>
      <c r="C1802" t="s">
        <v>76</v>
      </c>
      <c r="D1802" t="s">
        <v>77</v>
      </c>
      <c r="E1802">
        <v>16</v>
      </c>
      <c r="F1802" t="s">
        <v>95</v>
      </c>
      <c r="G1802">
        <v>84</v>
      </c>
      <c r="H1802">
        <v>3444231</v>
      </c>
      <c r="I1802">
        <v>91503</v>
      </c>
      <c r="J1802">
        <v>86</v>
      </c>
      <c r="K1802">
        <v>94</v>
      </c>
      <c r="L1802">
        <v>-3352728</v>
      </c>
      <c r="M1802" s="1" t="s">
        <v>3079</v>
      </c>
      <c r="N1802">
        <v>2.5879492065862399E-2</v>
      </c>
      <c r="O1802">
        <v>1.41905979272006E-3</v>
      </c>
      <c r="P1802">
        <v>0</v>
      </c>
      <c r="Q1802">
        <v>0</v>
      </c>
      <c r="R1802">
        <v>0</v>
      </c>
      <c r="S1802">
        <v>0</v>
      </c>
      <c r="T1802">
        <v>29.702585079999999</v>
      </c>
      <c r="U1802">
        <f t="shared" si="56"/>
        <v>0</v>
      </c>
      <c r="V1802">
        <f t="shared" si="57"/>
        <v>0</v>
      </c>
    </row>
    <row r="1803" spans="1:22" x14ac:dyDescent="0.2">
      <c r="A1803" t="s">
        <v>3050</v>
      </c>
      <c r="B1803" t="s">
        <v>41</v>
      </c>
      <c r="C1803" t="s">
        <v>76</v>
      </c>
      <c r="D1803" t="s">
        <v>77</v>
      </c>
      <c r="E1803" s="1" t="s">
        <v>138</v>
      </c>
      <c r="F1803" t="s">
        <v>139</v>
      </c>
      <c r="G1803">
        <v>18</v>
      </c>
      <c r="H1803">
        <v>2110800</v>
      </c>
      <c r="I1803">
        <v>0</v>
      </c>
      <c r="J1803">
        <v>45</v>
      </c>
      <c r="K1803">
        <v>82</v>
      </c>
      <c r="L1803">
        <v>-2110800</v>
      </c>
      <c r="M1803">
        <v>1</v>
      </c>
      <c r="N1803">
        <v>0</v>
      </c>
      <c r="O1803" s="1" t="s">
        <v>3080</v>
      </c>
      <c r="P1803">
        <v>0</v>
      </c>
      <c r="Q1803">
        <v>0</v>
      </c>
      <c r="R1803">
        <v>0</v>
      </c>
      <c r="S1803">
        <v>0</v>
      </c>
      <c r="T1803">
        <v>29.702585079999999</v>
      </c>
      <c r="U1803">
        <f t="shared" si="56"/>
        <v>0</v>
      </c>
      <c r="V1803">
        <f t="shared" si="57"/>
        <v>0</v>
      </c>
    </row>
    <row r="1804" spans="1:22" x14ac:dyDescent="0.2">
      <c r="A1804" t="s">
        <v>3050</v>
      </c>
      <c r="B1804" t="s">
        <v>41</v>
      </c>
      <c r="C1804" t="s">
        <v>76</v>
      </c>
      <c r="D1804" t="s">
        <v>77</v>
      </c>
      <c r="E1804">
        <v>15</v>
      </c>
      <c r="F1804" t="s">
        <v>88</v>
      </c>
      <c r="G1804">
        <v>76</v>
      </c>
      <c r="H1804">
        <v>290381</v>
      </c>
      <c r="I1804">
        <v>283562</v>
      </c>
      <c r="J1804">
        <v>91</v>
      </c>
      <c r="K1804">
        <v>60</v>
      </c>
      <c r="L1804">
        <v>-6819</v>
      </c>
      <c r="M1804" s="1" t="s">
        <v>3081</v>
      </c>
      <c r="N1804" s="1" t="s">
        <v>3082</v>
      </c>
      <c r="O1804" s="1" t="s">
        <v>3083</v>
      </c>
      <c r="P1804">
        <v>0</v>
      </c>
      <c r="Q1804">
        <v>0</v>
      </c>
      <c r="R1804">
        <v>0</v>
      </c>
      <c r="S1804">
        <v>0</v>
      </c>
      <c r="T1804">
        <v>29.702585079999999</v>
      </c>
      <c r="U1804">
        <f t="shared" si="56"/>
        <v>0</v>
      </c>
      <c r="V1804">
        <f t="shared" si="57"/>
        <v>0</v>
      </c>
    </row>
    <row r="1805" spans="1:22" x14ac:dyDescent="0.2">
      <c r="A1805" t="s">
        <v>3050</v>
      </c>
      <c r="B1805" t="s">
        <v>41</v>
      </c>
      <c r="C1805" t="s">
        <v>76</v>
      </c>
      <c r="D1805" t="s">
        <v>77</v>
      </c>
      <c r="E1805" s="1" t="s">
        <v>89</v>
      </c>
      <c r="F1805" t="s">
        <v>90</v>
      </c>
      <c r="G1805">
        <v>30</v>
      </c>
      <c r="H1805">
        <v>29288813</v>
      </c>
      <c r="I1805">
        <v>1208691</v>
      </c>
      <c r="J1805">
        <v>18</v>
      </c>
      <c r="K1805">
        <v>57</v>
      </c>
      <c r="L1805">
        <v>-28080122</v>
      </c>
      <c r="M1805" s="1" t="s">
        <v>3084</v>
      </c>
      <c r="N1805">
        <v>3.9632456479061301E-2</v>
      </c>
      <c r="O1805" s="1" t="s">
        <v>3085</v>
      </c>
      <c r="P1805">
        <v>0</v>
      </c>
      <c r="Q1805">
        <v>0</v>
      </c>
      <c r="R1805">
        <v>0</v>
      </c>
      <c r="S1805">
        <v>0</v>
      </c>
      <c r="T1805">
        <v>29.702585079999999</v>
      </c>
      <c r="U1805">
        <f t="shared" si="56"/>
        <v>0</v>
      </c>
      <c r="V1805">
        <f t="shared" si="57"/>
        <v>0</v>
      </c>
    </row>
    <row r="1806" spans="1:22" x14ac:dyDescent="0.2">
      <c r="A1806" t="s">
        <v>3050</v>
      </c>
      <c r="B1806" t="s">
        <v>41</v>
      </c>
      <c r="C1806" t="s">
        <v>76</v>
      </c>
      <c r="D1806" t="s">
        <v>77</v>
      </c>
      <c r="E1806" s="1" t="s">
        <v>138</v>
      </c>
      <c r="F1806" t="s">
        <v>139</v>
      </c>
      <c r="G1806">
        <v>17</v>
      </c>
      <c r="H1806">
        <v>635943</v>
      </c>
      <c r="I1806">
        <v>496147</v>
      </c>
      <c r="J1806">
        <v>57</v>
      </c>
      <c r="K1806">
        <v>54</v>
      </c>
      <c r="L1806">
        <v>-139796</v>
      </c>
      <c r="M1806" s="1" t="s">
        <v>3086</v>
      </c>
      <c r="N1806" s="1" t="s">
        <v>3087</v>
      </c>
      <c r="O1806" s="1" t="s">
        <v>3088</v>
      </c>
      <c r="P1806">
        <v>0</v>
      </c>
      <c r="Q1806">
        <v>0</v>
      </c>
      <c r="R1806">
        <v>0</v>
      </c>
      <c r="S1806">
        <v>0</v>
      </c>
      <c r="T1806">
        <v>29.702585079999999</v>
      </c>
      <c r="U1806">
        <f t="shared" si="56"/>
        <v>0</v>
      </c>
      <c r="V1806">
        <f t="shared" si="57"/>
        <v>0</v>
      </c>
    </row>
    <row r="1807" spans="1:22" x14ac:dyDescent="0.2">
      <c r="A1807" t="s">
        <v>3050</v>
      </c>
      <c r="B1807" t="s">
        <v>41</v>
      </c>
      <c r="C1807" t="s">
        <v>76</v>
      </c>
      <c r="D1807" t="s">
        <v>77</v>
      </c>
      <c r="E1807" s="1" t="s">
        <v>163</v>
      </c>
      <c r="F1807" t="s">
        <v>224</v>
      </c>
      <c r="G1807">
        <v>41</v>
      </c>
      <c r="H1807">
        <v>115876</v>
      </c>
      <c r="I1807">
        <v>5574957</v>
      </c>
      <c r="J1807">
        <v>38</v>
      </c>
      <c r="K1807">
        <v>11</v>
      </c>
      <c r="L1807">
        <v>5459081</v>
      </c>
      <c r="M1807" s="1" t="s">
        <v>3089</v>
      </c>
      <c r="N1807" s="1" t="s">
        <v>3090</v>
      </c>
      <c r="O1807">
        <v>2.2840044803665899E-3</v>
      </c>
      <c r="P1807">
        <v>0</v>
      </c>
      <c r="Q1807">
        <v>0</v>
      </c>
      <c r="R1807">
        <v>0</v>
      </c>
      <c r="S1807">
        <v>0</v>
      </c>
      <c r="T1807">
        <v>29.702585079999999</v>
      </c>
      <c r="U1807">
        <f t="shared" si="56"/>
        <v>0</v>
      </c>
      <c r="V1807">
        <f t="shared" si="57"/>
        <v>0</v>
      </c>
    </row>
    <row r="1808" spans="1:22" x14ac:dyDescent="0.2">
      <c r="A1808" t="s">
        <v>3050</v>
      </c>
      <c r="B1808" t="s">
        <v>41</v>
      </c>
      <c r="C1808" t="s">
        <v>76</v>
      </c>
      <c r="D1808" t="s">
        <v>77</v>
      </c>
      <c r="E1808">
        <v>15</v>
      </c>
      <c r="F1808" t="s">
        <v>88</v>
      </c>
      <c r="G1808">
        <v>79</v>
      </c>
      <c r="H1808">
        <v>1932722</v>
      </c>
      <c r="I1808">
        <v>0</v>
      </c>
      <c r="J1808">
        <v>14</v>
      </c>
      <c r="K1808">
        <v>54</v>
      </c>
      <c r="L1808">
        <v>-1932722</v>
      </c>
      <c r="M1808">
        <v>1</v>
      </c>
      <c r="N1808">
        <v>0</v>
      </c>
      <c r="O1808" s="1" t="s">
        <v>3091</v>
      </c>
      <c r="P1808">
        <v>0</v>
      </c>
      <c r="Q1808">
        <v>0</v>
      </c>
      <c r="R1808">
        <v>0</v>
      </c>
      <c r="S1808">
        <v>0</v>
      </c>
      <c r="T1808">
        <v>29.702585079999999</v>
      </c>
      <c r="U1808">
        <f t="shared" si="56"/>
        <v>0</v>
      </c>
      <c r="V1808">
        <f t="shared" si="57"/>
        <v>0</v>
      </c>
    </row>
    <row r="1809" spans="1:22" x14ac:dyDescent="0.2">
      <c r="A1809" t="s">
        <v>3050</v>
      </c>
      <c r="B1809" t="s">
        <v>41</v>
      </c>
      <c r="C1809" t="s">
        <v>76</v>
      </c>
      <c r="D1809" t="s">
        <v>77</v>
      </c>
      <c r="E1809" s="1" t="s">
        <v>82</v>
      </c>
      <c r="F1809" t="s">
        <v>83</v>
      </c>
      <c r="G1809">
        <v>12</v>
      </c>
      <c r="H1809">
        <v>750602</v>
      </c>
      <c r="I1809">
        <v>237552</v>
      </c>
      <c r="J1809">
        <v>58</v>
      </c>
      <c r="K1809">
        <v>59</v>
      </c>
      <c r="L1809">
        <v>-513050</v>
      </c>
      <c r="M1809">
        <v>0.75960022425654306</v>
      </c>
      <c r="N1809">
        <v>0.240399775743457</v>
      </c>
      <c r="O1809" s="1" t="s">
        <v>3092</v>
      </c>
      <c r="P1809">
        <v>0</v>
      </c>
      <c r="Q1809">
        <v>0</v>
      </c>
      <c r="R1809">
        <v>0</v>
      </c>
      <c r="S1809">
        <v>0</v>
      </c>
      <c r="T1809">
        <v>29.702585079999999</v>
      </c>
      <c r="U1809">
        <f t="shared" si="56"/>
        <v>0</v>
      </c>
      <c r="V1809">
        <f t="shared" si="57"/>
        <v>0</v>
      </c>
    </row>
    <row r="1810" spans="1:22" x14ac:dyDescent="0.2">
      <c r="A1810" t="s">
        <v>3050</v>
      </c>
      <c r="B1810" t="s">
        <v>41</v>
      </c>
      <c r="C1810" t="s">
        <v>76</v>
      </c>
      <c r="D1810" t="s">
        <v>77</v>
      </c>
      <c r="E1810" s="1" t="s">
        <v>155</v>
      </c>
      <c r="F1810" t="s">
        <v>156</v>
      </c>
      <c r="G1810" s="1" t="s">
        <v>155</v>
      </c>
      <c r="H1810">
        <v>69119</v>
      </c>
      <c r="I1810">
        <v>0</v>
      </c>
      <c r="J1810">
        <v>43</v>
      </c>
      <c r="K1810">
        <v>76</v>
      </c>
      <c r="L1810">
        <v>-69119</v>
      </c>
      <c r="M1810">
        <v>1</v>
      </c>
      <c r="N1810">
        <v>0</v>
      </c>
      <c r="O1810" s="1" t="s">
        <v>3093</v>
      </c>
      <c r="P1810">
        <v>0</v>
      </c>
      <c r="Q1810">
        <v>0</v>
      </c>
      <c r="R1810">
        <v>0</v>
      </c>
      <c r="S1810">
        <v>0</v>
      </c>
      <c r="T1810">
        <v>29.702585079999999</v>
      </c>
      <c r="U1810">
        <f t="shared" si="56"/>
        <v>0</v>
      </c>
      <c r="V1810">
        <f t="shared" si="57"/>
        <v>0</v>
      </c>
    </row>
    <row r="1811" spans="1:22" x14ac:dyDescent="0.2">
      <c r="A1811" t="s">
        <v>3050</v>
      </c>
      <c r="B1811" t="s">
        <v>41</v>
      </c>
      <c r="C1811" t="s">
        <v>76</v>
      </c>
      <c r="D1811" t="s">
        <v>77</v>
      </c>
      <c r="E1811" s="1" t="s">
        <v>82</v>
      </c>
      <c r="F1811" t="s">
        <v>83</v>
      </c>
      <c r="G1811">
        <v>10</v>
      </c>
      <c r="H1811">
        <v>291230095</v>
      </c>
      <c r="I1811">
        <v>52832193</v>
      </c>
      <c r="J1811">
        <v>26</v>
      </c>
      <c r="K1811">
        <v>7</v>
      </c>
      <c r="L1811">
        <v>-238397902</v>
      </c>
      <c r="M1811" s="1" t="s">
        <v>3094</v>
      </c>
      <c r="N1811" s="1" t="s">
        <v>3095</v>
      </c>
      <c r="O1811" s="1" t="s">
        <v>3096</v>
      </c>
      <c r="P1811">
        <v>0</v>
      </c>
      <c r="Q1811">
        <v>0</v>
      </c>
      <c r="R1811">
        <v>0</v>
      </c>
      <c r="S1811">
        <v>1</v>
      </c>
      <c r="T1811">
        <v>29.702585079999999</v>
      </c>
      <c r="U1811">
        <f t="shared" si="56"/>
        <v>0</v>
      </c>
      <c r="V1811">
        <f t="shared" si="57"/>
        <v>1</v>
      </c>
    </row>
    <row r="1812" spans="1:22" x14ac:dyDescent="0.2">
      <c r="A1812" t="s">
        <v>3050</v>
      </c>
      <c r="B1812" t="s">
        <v>41</v>
      </c>
      <c r="C1812" t="s">
        <v>76</v>
      </c>
      <c r="D1812" t="s">
        <v>77</v>
      </c>
      <c r="E1812" s="1" t="s">
        <v>89</v>
      </c>
      <c r="F1812" t="s">
        <v>90</v>
      </c>
      <c r="G1812">
        <v>33</v>
      </c>
      <c r="H1812">
        <v>485787</v>
      </c>
      <c r="I1812">
        <v>11896</v>
      </c>
      <c r="J1812">
        <v>76</v>
      </c>
      <c r="K1812">
        <v>81</v>
      </c>
      <c r="L1812">
        <v>-473891</v>
      </c>
      <c r="M1812" s="1" t="s">
        <v>3097</v>
      </c>
      <c r="N1812">
        <v>2.3902765414932799E-2</v>
      </c>
      <c r="O1812" s="1" t="s">
        <v>3098</v>
      </c>
      <c r="P1812">
        <v>0</v>
      </c>
      <c r="Q1812">
        <v>0</v>
      </c>
      <c r="R1812">
        <v>0</v>
      </c>
      <c r="S1812">
        <v>0</v>
      </c>
      <c r="T1812">
        <v>29.702585079999999</v>
      </c>
      <c r="U1812">
        <f t="shared" si="56"/>
        <v>0</v>
      </c>
      <c r="V1812">
        <f t="shared" si="57"/>
        <v>0</v>
      </c>
    </row>
    <row r="1813" spans="1:22" x14ac:dyDescent="0.2">
      <c r="A1813" t="s">
        <v>3050</v>
      </c>
      <c r="B1813" t="s">
        <v>41</v>
      </c>
      <c r="C1813" t="s">
        <v>76</v>
      </c>
      <c r="D1813" t="s">
        <v>77</v>
      </c>
      <c r="E1813">
        <v>10</v>
      </c>
      <c r="F1813" t="s">
        <v>119</v>
      </c>
      <c r="G1813">
        <v>47</v>
      </c>
      <c r="H1813">
        <v>1227517</v>
      </c>
      <c r="I1813">
        <v>0</v>
      </c>
      <c r="J1813">
        <v>52</v>
      </c>
      <c r="K1813">
        <v>37</v>
      </c>
      <c r="L1813">
        <v>-1227517</v>
      </c>
      <c r="M1813">
        <v>1</v>
      </c>
      <c r="N1813">
        <v>0</v>
      </c>
      <c r="O1813" s="1" t="s">
        <v>3099</v>
      </c>
      <c r="P1813">
        <v>0</v>
      </c>
      <c r="Q1813">
        <v>0</v>
      </c>
      <c r="R1813">
        <v>0</v>
      </c>
      <c r="S1813">
        <v>0</v>
      </c>
      <c r="T1813">
        <v>29.702585079999999</v>
      </c>
      <c r="U1813">
        <f t="shared" si="56"/>
        <v>0</v>
      </c>
      <c r="V1813">
        <f t="shared" si="57"/>
        <v>0</v>
      </c>
    </row>
    <row r="1814" spans="1:22" x14ac:dyDescent="0.2">
      <c r="A1814" t="s">
        <v>3050</v>
      </c>
      <c r="B1814" t="s">
        <v>41</v>
      </c>
      <c r="C1814" t="s">
        <v>76</v>
      </c>
      <c r="D1814" t="s">
        <v>77</v>
      </c>
      <c r="E1814">
        <v>15</v>
      </c>
      <c r="F1814" t="s">
        <v>88</v>
      </c>
      <c r="G1814">
        <v>83</v>
      </c>
      <c r="H1814">
        <v>81987</v>
      </c>
      <c r="I1814">
        <v>3544</v>
      </c>
      <c r="J1814">
        <v>65</v>
      </c>
      <c r="K1814">
        <v>73</v>
      </c>
      <c r="L1814">
        <v>-78443</v>
      </c>
      <c r="M1814" s="1" t="s">
        <v>3100</v>
      </c>
      <c r="N1814">
        <v>4.1435269083723997E-2</v>
      </c>
      <c r="O1814" s="1" t="s">
        <v>3101</v>
      </c>
      <c r="P1814">
        <v>0</v>
      </c>
      <c r="Q1814">
        <v>0</v>
      </c>
      <c r="R1814">
        <v>0</v>
      </c>
      <c r="S1814">
        <v>0</v>
      </c>
      <c r="T1814">
        <v>29.702585079999999</v>
      </c>
      <c r="U1814">
        <f t="shared" si="56"/>
        <v>0</v>
      </c>
      <c r="V1814">
        <f t="shared" si="57"/>
        <v>0</v>
      </c>
    </row>
    <row r="1815" spans="1:22" x14ac:dyDescent="0.2">
      <c r="A1815" t="s">
        <v>3050</v>
      </c>
      <c r="B1815" t="s">
        <v>41</v>
      </c>
      <c r="C1815" t="s">
        <v>76</v>
      </c>
      <c r="D1815" t="s">
        <v>77</v>
      </c>
      <c r="E1815" s="1" t="s">
        <v>155</v>
      </c>
      <c r="F1815" t="s">
        <v>156</v>
      </c>
      <c r="G1815" s="1" t="s">
        <v>138</v>
      </c>
      <c r="H1815">
        <v>15246</v>
      </c>
      <c r="I1815">
        <v>0</v>
      </c>
      <c r="J1815">
        <v>55</v>
      </c>
      <c r="K1815">
        <v>75</v>
      </c>
      <c r="L1815">
        <v>-15246</v>
      </c>
      <c r="M1815">
        <v>1</v>
      </c>
      <c r="N1815">
        <v>0</v>
      </c>
      <c r="O1815" s="1" t="s">
        <v>3102</v>
      </c>
      <c r="P1815">
        <v>0</v>
      </c>
      <c r="Q1815">
        <v>0</v>
      </c>
      <c r="R1815">
        <v>0</v>
      </c>
      <c r="S1815">
        <v>0</v>
      </c>
      <c r="T1815">
        <v>29.702585079999999</v>
      </c>
      <c r="U1815">
        <f t="shared" si="56"/>
        <v>0</v>
      </c>
      <c r="V1815">
        <f t="shared" si="57"/>
        <v>0</v>
      </c>
    </row>
    <row r="1816" spans="1:22" x14ac:dyDescent="0.2">
      <c r="A1816" t="s">
        <v>3050</v>
      </c>
      <c r="B1816" t="s">
        <v>41</v>
      </c>
      <c r="C1816" t="s">
        <v>76</v>
      </c>
      <c r="D1816" t="s">
        <v>77</v>
      </c>
      <c r="E1816">
        <v>18</v>
      </c>
      <c r="F1816" t="s">
        <v>147</v>
      </c>
      <c r="G1816">
        <v>91</v>
      </c>
      <c r="H1816">
        <v>15756</v>
      </c>
      <c r="I1816">
        <v>0</v>
      </c>
      <c r="J1816">
        <v>53</v>
      </c>
      <c r="K1816">
        <v>69</v>
      </c>
      <c r="L1816">
        <v>-15756</v>
      </c>
      <c r="M1816">
        <v>1</v>
      </c>
      <c r="N1816">
        <v>0</v>
      </c>
      <c r="O1816" s="1" t="s">
        <v>3103</v>
      </c>
      <c r="P1816">
        <v>0</v>
      </c>
      <c r="Q1816">
        <v>0</v>
      </c>
      <c r="R1816">
        <v>0</v>
      </c>
      <c r="S1816">
        <v>0</v>
      </c>
      <c r="T1816">
        <v>29.702585079999999</v>
      </c>
      <c r="U1816">
        <f t="shared" si="56"/>
        <v>0</v>
      </c>
      <c r="V1816">
        <f t="shared" si="57"/>
        <v>0</v>
      </c>
    </row>
    <row r="1817" spans="1:22" x14ac:dyDescent="0.2">
      <c r="A1817" t="s">
        <v>3050</v>
      </c>
      <c r="B1817" t="s">
        <v>41</v>
      </c>
      <c r="C1817" t="s">
        <v>76</v>
      </c>
      <c r="D1817" t="s">
        <v>77</v>
      </c>
      <c r="E1817">
        <v>13</v>
      </c>
      <c r="F1817" t="s">
        <v>91</v>
      </c>
      <c r="G1817">
        <v>68</v>
      </c>
      <c r="H1817">
        <v>59448</v>
      </c>
      <c r="I1817">
        <v>973135</v>
      </c>
      <c r="J1817">
        <v>89</v>
      </c>
      <c r="K1817">
        <v>47</v>
      </c>
      <c r="L1817">
        <v>913687</v>
      </c>
      <c r="M1817" s="1" t="s">
        <v>3104</v>
      </c>
      <c r="N1817" s="1" t="s">
        <v>3105</v>
      </c>
      <c r="O1817" s="1" t="s">
        <v>3106</v>
      </c>
      <c r="P1817">
        <v>0</v>
      </c>
      <c r="Q1817">
        <v>0</v>
      </c>
      <c r="R1817">
        <v>0</v>
      </c>
      <c r="S1817">
        <v>0</v>
      </c>
      <c r="T1817">
        <v>29.702585079999999</v>
      </c>
      <c r="U1817">
        <f t="shared" si="56"/>
        <v>0</v>
      </c>
      <c r="V1817">
        <f t="shared" si="57"/>
        <v>0</v>
      </c>
    </row>
    <row r="1818" spans="1:22" x14ac:dyDescent="0.2">
      <c r="A1818" t="s">
        <v>3050</v>
      </c>
      <c r="B1818" t="s">
        <v>41</v>
      </c>
      <c r="C1818" t="s">
        <v>76</v>
      </c>
      <c r="D1818" t="s">
        <v>77</v>
      </c>
      <c r="E1818" s="1" t="s">
        <v>138</v>
      </c>
      <c r="F1818" t="s">
        <v>139</v>
      </c>
      <c r="G1818">
        <v>21</v>
      </c>
      <c r="H1818">
        <v>52552</v>
      </c>
      <c r="I1818">
        <v>22801</v>
      </c>
      <c r="J1818">
        <v>96</v>
      </c>
      <c r="K1818">
        <v>85</v>
      </c>
      <c r="L1818">
        <v>-29751</v>
      </c>
      <c r="M1818" s="1" t="s">
        <v>3107</v>
      </c>
      <c r="N1818" s="1" t="s">
        <v>3108</v>
      </c>
      <c r="O1818" s="1" t="s">
        <v>3109</v>
      </c>
      <c r="P1818">
        <v>0</v>
      </c>
      <c r="Q1818">
        <v>0</v>
      </c>
      <c r="R1818">
        <v>0</v>
      </c>
      <c r="S1818">
        <v>0</v>
      </c>
      <c r="T1818">
        <v>29.702585079999999</v>
      </c>
      <c r="U1818">
        <f t="shared" si="56"/>
        <v>0</v>
      </c>
      <c r="V1818">
        <f t="shared" si="57"/>
        <v>0</v>
      </c>
    </row>
    <row r="1819" spans="1:22" x14ac:dyDescent="0.2">
      <c r="A1819" t="s">
        <v>3050</v>
      </c>
      <c r="B1819" t="s">
        <v>41</v>
      </c>
      <c r="C1819" t="s">
        <v>76</v>
      </c>
      <c r="D1819" t="s">
        <v>77</v>
      </c>
      <c r="E1819" s="1" t="s">
        <v>138</v>
      </c>
      <c r="F1819" t="s">
        <v>139</v>
      </c>
      <c r="G1819">
        <v>22</v>
      </c>
      <c r="H1819">
        <v>13524</v>
      </c>
      <c r="I1819">
        <v>0</v>
      </c>
      <c r="J1819">
        <v>124</v>
      </c>
      <c r="K1819">
        <v>98</v>
      </c>
      <c r="L1819">
        <v>-13524</v>
      </c>
      <c r="M1819">
        <v>1</v>
      </c>
      <c r="N1819">
        <v>0</v>
      </c>
      <c r="O1819" s="1" t="s">
        <v>3110</v>
      </c>
      <c r="P1819">
        <v>0</v>
      </c>
      <c r="Q1819">
        <v>0</v>
      </c>
      <c r="R1819">
        <v>0</v>
      </c>
      <c r="S1819">
        <v>0</v>
      </c>
      <c r="T1819">
        <v>29.702585079999999</v>
      </c>
      <c r="U1819">
        <f t="shared" si="56"/>
        <v>0</v>
      </c>
      <c r="V1819">
        <f t="shared" si="57"/>
        <v>0</v>
      </c>
    </row>
    <row r="1820" spans="1:22" x14ac:dyDescent="0.2">
      <c r="A1820" t="s">
        <v>3050</v>
      </c>
      <c r="B1820" t="s">
        <v>41</v>
      </c>
      <c r="C1820" t="s">
        <v>76</v>
      </c>
      <c r="D1820" t="s">
        <v>77</v>
      </c>
      <c r="E1820">
        <v>11</v>
      </c>
      <c r="F1820" t="s">
        <v>127</v>
      </c>
      <c r="G1820">
        <v>61</v>
      </c>
      <c r="H1820">
        <v>8439</v>
      </c>
      <c r="I1820">
        <v>87615186</v>
      </c>
      <c r="J1820">
        <v>86</v>
      </c>
      <c r="K1820">
        <v>20</v>
      </c>
      <c r="L1820">
        <v>87606747</v>
      </c>
      <c r="M1820" s="1" t="s">
        <v>3111</v>
      </c>
      <c r="N1820" s="1" t="s">
        <v>3112</v>
      </c>
      <c r="O1820">
        <v>3.5167567223631797E-2</v>
      </c>
      <c r="P1820">
        <v>0</v>
      </c>
      <c r="Q1820">
        <v>0</v>
      </c>
      <c r="R1820">
        <v>0</v>
      </c>
      <c r="S1820">
        <v>0</v>
      </c>
      <c r="T1820">
        <v>29.702585079999999</v>
      </c>
      <c r="U1820">
        <f t="shared" si="56"/>
        <v>0</v>
      </c>
      <c r="V1820">
        <f t="shared" si="57"/>
        <v>0</v>
      </c>
    </row>
    <row r="1821" spans="1:22" x14ac:dyDescent="0.2">
      <c r="A1821" t="s">
        <v>3050</v>
      </c>
      <c r="B1821" t="s">
        <v>41</v>
      </c>
      <c r="C1821" t="s">
        <v>76</v>
      </c>
      <c r="D1821" t="s">
        <v>77</v>
      </c>
      <c r="E1821">
        <v>19</v>
      </c>
      <c r="F1821" t="s">
        <v>838</v>
      </c>
      <c r="G1821">
        <v>93</v>
      </c>
      <c r="H1821">
        <v>469446</v>
      </c>
      <c r="I1821">
        <v>0</v>
      </c>
      <c r="J1821">
        <v>36</v>
      </c>
      <c r="K1821">
        <v>36</v>
      </c>
      <c r="L1821">
        <v>-469446</v>
      </c>
      <c r="M1821">
        <v>1</v>
      </c>
      <c r="N1821">
        <v>0</v>
      </c>
      <c r="O1821" s="1" t="s">
        <v>3113</v>
      </c>
      <c r="P1821">
        <v>0</v>
      </c>
      <c r="Q1821">
        <v>0</v>
      </c>
      <c r="R1821">
        <v>0</v>
      </c>
      <c r="S1821">
        <v>0</v>
      </c>
      <c r="T1821">
        <v>29.702585079999999</v>
      </c>
      <c r="U1821">
        <f t="shared" si="56"/>
        <v>0</v>
      </c>
      <c r="V1821">
        <f t="shared" si="57"/>
        <v>0</v>
      </c>
    </row>
    <row r="1822" spans="1:22" x14ac:dyDescent="0.2">
      <c r="A1822" t="s">
        <v>3050</v>
      </c>
      <c r="B1822" t="s">
        <v>41</v>
      </c>
      <c r="C1822" t="s">
        <v>76</v>
      </c>
      <c r="D1822" t="s">
        <v>77</v>
      </c>
      <c r="E1822">
        <v>20</v>
      </c>
      <c r="F1822" t="s">
        <v>104</v>
      </c>
      <c r="G1822">
        <v>96</v>
      </c>
      <c r="H1822">
        <v>83506</v>
      </c>
      <c r="I1822">
        <v>816549</v>
      </c>
      <c r="J1822">
        <v>59</v>
      </c>
      <c r="K1822">
        <v>48</v>
      </c>
      <c r="L1822">
        <v>733043</v>
      </c>
      <c r="M1822">
        <v>9.2778774630439195E-2</v>
      </c>
      <c r="N1822" s="1" t="s">
        <v>3114</v>
      </c>
      <c r="O1822" s="1" t="s">
        <v>3115</v>
      </c>
      <c r="P1822">
        <v>0</v>
      </c>
      <c r="Q1822">
        <v>0</v>
      </c>
      <c r="R1822">
        <v>0</v>
      </c>
      <c r="S1822">
        <v>0</v>
      </c>
      <c r="T1822">
        <v>29.702585079999999</v>
      </c>
      <c r="U1822">
        <f t="shared" si="56"/>
        <v>0</v>
      </c>
      <c r="V1822">
        <f t="shared" si="57"/>
        <v>0</v>
      </c>
    </row>
    <row r="1823" spans="1:22" x14ac:dyDescent="0.2">
      <c r="A1823" t="s">
        <v>3050</v>
      </c>
      <c r="B1823" t="s">
        <v>41</v>
      </c>
      <c r="C1823" t="s">
        <v>76</v>
      </c>
      <c r="D1823" t="s">
        <v>77</v>
      </c>
      <c r="E1823" s="1" t="s">
        <v>110</v>
      </c>
      <c r="F1823" t="s">
        <v>111</v>
      </c>
      <c r="G1823">
        <v>15</v>
      </c>
      <c r="H1823">
        <v>1587</v>
      </c>
      <c r="I1823">
        <v>0</v>
      </c>
      <c r="J1823">
        <v>97</v>
      </c>
      <c r="K1823">
        <v>86</v>
      </c>
      <c r="L1823">
        <v>-1587</v>
      </c>
      <c r="M1823">
        <v>1</v>
      </c>
      <c r="N1823">
        <v>0</v>
      </c>
      <c r="O1823" s="1" t="s">
        <v>3116</v>
      </c>
      <c r="P1823">
        <v>0</v>
      </c>
      <c r="Q1823">
        <v>0</v>
      </c>
      <c r="R1823">
        <v>0</v>
      </c>
      <c r="S1823">
        <v>0</v>
      </c>
      <c r="T1823">
        <v>29.702585079999999</v>
      </c>
      <c r="U1823">
        <f t="shared" si="56"/>
        <v>0</v>
      </c>
      <c r="V1823">
        <f t="shared" si="57"/>
        <v>0</v>
      </c>
    </row>
    <row r="1824" spans="1:22" x14ac:dyDescent="0.2">
      <c r="A1824" t="s">
        <v>3050</v>
      </c>
      <c r="B1824" t="s">
        <v>41</v>
      </c>
      <c r="C1824" t="s">
        <v>76</v>
      </c>
      <c r="D1824" t="s">
        <v>77</v>
      </c>
      <c r="E1824">
        <v>99</v>
      </c>
      <c r="F1824" t="s">
        <v>78</v>
      </c>
      <c r="G1824">
        <v>99</v>
      </c>
      <c r="H1824">
        <v>389725</v>
      </c>
      <c r="I1824">
        <v>644</v>
      </c>
      <c r="J1824">
        <v>65</v>
      </c>
      <c r="K1824">
        <v>93</v>
      </c>
      <c r="L1824">
        <v>-389081</v>
      </c>
      <c r="M1824" s="1" t="s">
        <v>3117</v>
      </c>
      <c r="N1824">
        <v>1.64972116126024E-3</v>
      </c>
      <c r="O1824" s="1" t="s">
        <v>3118</v>
      </c>
      <c r="P1824">
        <v>0</v>
      </c>
      <c r="Q1824">
        <v>0</v>
      </c>
      <c r="R1824">
        <v>0</v>
      </c>
      <c r="S1824">
        <v>0</v>
      </c>
      <c r="T1824">
        <v>29.702585079999999</v>
      </c>
      <c r="U1824">
        <f t="shared" si="56"/>
        <v>0</v>
      </c>
      <c r="V1824">
        <f t="shared" si="57"/>
        <v>0</v>
      </c>
    </row>
    <row r="1825" spans="1:22" x14ac:dyDescent="0.2">
      <c r="A1825" t="s">
        <v>3050</v>
      </c>
      <c r="B1825" t="s">
        <v>41</v>
      </c>
      <c r="C1825" t="s">
        <v>76</v>
      </c>
      <c r="D1825" t="s">
        <v>77</v>
      </c>
      <c r="E1825" s="1" t="s">
        <v>89</v>
      </c>
      <c r="F1825" t="s">
        <v>90</v>
      </c>
      <c r="G1825">
        <v>32</v>
      </c>
      <c r="H1825">
        <v>789968</v>
      </c>
      <c r="I1825">
        <v>509</v>
      </c>
      <c r="J1825">
        <v>54</v>
      </c>
      <c r="K1825">
        <v>76</v>
      </c>
      <c r="L1825">
        <v>-789459</v>
      </c>
      <c r="M1825" s="1" t="s">
        <v>3119</v>
      </c>
      <c r="N1825" s="1" t="s">
        <v>3120</v>
      </c>
      <c r="O1825" s="1" t="s">
        <v>3121</v>
      </c>
      <c r="P1825">
        <v>0</v>
      </c>
      <c r="Q1825">
        <v>0</v>
      </c>
      <c r="R1825">
        <v>0</v>
      </c>
      <c r="S1825">
        <v>0</v>
      </c>
      <c r="T1825">
        <v>29.702585079999999</v>
      </c>
      <c r="U1825">
        <f t="shared" si="56"/>
        <v>0</v>
      </c>
      <c r="V1825">
        <f t="shared" si="57"/>
        <v>0</v>
      </c>
    </row>
    <row r="1826" spans="1:22" x14ac:dyDescent="0.2">
      <c r="A1826" t="s">
        <v>3050</v>
      </c>
      <c r="B1826" t="s">
        <v>41</v>
      </c>
      <c r="C1826" t="s">
        <v>76</v>
      </c>
      <c r="D1826" t="s">
        <v>77</v>
      </c>
      <c r="E1826">
        <v>20</v>
      </c>
      <c r="F1826" t="s">
        <v>104</v>
      </c>
      <c r="G1826">
        <v>95</v>
      </c>
      <c r="H1826">
        <v>19617</v>
      </c>
      <c r="I1826">
        <v>21489630</v>
      </c>
      <c r="J1826">
        <v>91</v>
      </c>
      <c r="K1826">
        <v>28</v>
      </c>
      <c r="L1826">
        <v>21470013</v>
      </c>
      <c r="M1826" s="1" t="s">
        <v>3122</v>
      </c>
      <c r="N1826" s="1" t="s">
        <v>3123</v>
      </c>
      <c r="O1826">
        <v>8.63269340662637E-3</v>
      </c>
      <c r="P1826">
        <v>0</v>
      </c>
      <c r="Q1826">
        <v>0</v>
      </c>
      <c r="R1826">
        <v>0</v>
      </c>
      <c r="S1826">
        <v>0</v>
      </c>
      <c r="T1826">
        <v>29.702585079999999</v>
      </c>
      <c r="U1826">
        <f t="shared" si="56"/>
        <v>0</v>
      </c>
      <c r="V1826">
        <f t="shared" si="57"/>
        <v>0</v>
      </c>
    </row>
    <row r="1827" spans="1:22" x14ac:dyDescent="0.2">
      <c r="A1827" t="s">
        <v>3050</v>
      </c>
      <c r="B1827" t="s">
        <v>41</v>
      </c>
      <c r="C1827" t="s">
        <v>76</v>
      </c>
      <c r="D1827" t="s">
        <v>77</v>
      </c>
      <c r="E1827">
        <v>11</v>
      </c>
      <c r="F1827" t="s">
        <v>127</v>
      </c>
      <c r="G1827">
        <v>63</v>
      </c>
      <c r="H1827">
        <v>1146</v>
      </c>
      <c r="I1827">
        <v>32473167</v>
      </c>
      <c r="J1827">
        <v>113</v>
      </c>
      <c r="K1827">
        <v>18</v>
      </c>
      <c r="L1827">
        <v>32472021</v>
      </c>
      <c r="M1827" s="1" t="s">
        <v>3124</v>
      </c>
      <c r="N1827" s="1" t="s">
        <v>3125</v>
      </c>
      <c r="O1827" s="1" t="s">
        <v>3126</v>
      </c>
      <c r="P1827">
        <v>0</v>
      </c>
      <c r="Q1827">
        <v>0</v>
      </c>
      <c r="R1827">
        <v>0</v>
      </c>
      <c r="S1827">
        <v>0</v>
      </c>
      <c r="T1827">
        <v>29.702585079999999</v>
      </c>
      <c r="U1827">
        <f t="shared" si="56"/>
        <v>0</v>
      </c>
      <c r="V1827">
        <f t="shared" si="57"/>
        <v>0</v>
      </c>
    </row>
    <row r="1828" spans="1:22" x14ac:dyDescent="0.2">
      <c r="A1828" t="s">
        <v>3050</v>
      </c>
      <c r="B1828" t="s">
        <v>41</v>
      </c>
      <c r="C1828" t="s">
        <v>76</v>
      </c>
      <c r="D1828" t="s">
        <v>77</v>
      </c>
      <c r="E1828">
        <v>14</v>
      </c>
      <c r="F1828" t="s">
        <v>261</v>
      </c>
      <c r="G1828">
        <v>71</v>
      </c>
      <c r="H1828">
        <v>0</v>
      </c>
      <c r="I1828">
        <v>1055</v>
      </c>
      <c r="J1828">
        <v>98</v>
      </c>
      <c r="K1828">
        <v>78</v>
      </c>
      <c r="L1828">
        <v>1055</v>
      </c>
      <c r="M1828">
        <v>0</v>
      </c>
      <c r="N1828">
        <v>1</v>
      </c>
      <c r="O1828" s="1" t="s">
        <v>3127</v>
      </c>
      <c r="P1828">
        <v>0</v>
      </c>
      <c r="Q1828">
        <v>0</v>
      </c>
      <c r="R1828">
        <v>0</v>
      </c>
      <c r="S1828">
        <v>0</v>
      </c>
      <c r="T1828">
        <v>29.702585079999999</v>
      </c>
      <c r="U1828">
        <f t="shared" si="56"/>
        <v>0</v>
      </c>
      <c r="V1828">
        <f t="shared" si="57"/>
        <v>0</v>
      </c>
    </row>
    <row r="1829" spans="1:22" x14ac:dyDescent="0.2">
      <c r="A1829" t="s">
        <v>3050</v>
      </c>
      <c r="B1829" t="s">
        <v>41</v>
      </c>
      <c r="C1829" t="s">
        <v>76</v>
      </c>
      <c r="D1829" t="s">
        <v>77</v>
      </c>
      <c r="E1829">
        <v>12</v>
      </c>
      <c r="F1829" t="s">
        <v>194</v>
      </c>
      <c r="G1829">
        <v>64</v>
      </c>
      <c r="H1829">
        <v>47</v>
      </c>
      <c r="I1829">
        <v>2746370</v>
      </c>
      <c r="J1829">
        <v>120</v>
      </c>
      <c r="K1829">
        <v>48</v>
      </c>
      <c r="L1829">
        <v>2746323</v>
      </c>
      <c r="M1829" s="1" t="s">
        <v>3128</v>
      </c>
      <c r="N1829" s="1" t="s">
        <v>3129</v>
      </c>
      <c r="O1829">
        <v>1.1022689882052301E-3</v>
      </c>
      <c r="P1829">
        <v>0</v>
      </c>
      <c r="Q1829">
        <v>0</v>
      </c>
      <c r="R1829">
        <v>0</v>
      </c>
      <c r="S1829">
        <v>0</v>
      </c>
      <c r="T1829">
        <v>29.702585079999999</v>
      </c>
      <c r="U1829">
        <f t="shared" si="56"/>
        <v>0</v>
      </c>
      <c r="V1829">
        <f t="shared" si="57"/>
        <v>0</v>
      </c>
    </row>
    <row r="1830" spans="1:22" x14ac:dyDescent="0.2">
      <c r="A1830" t="s">
        <v>3050</v>
      </c>
      <c r="B1830" t="s">
        <v>41</v>
      </c>
      <c r="C1830" t="s">
        <v>76</v>
      </c>
      <c r="D1830" t="s">
        <v>77</v>
      </c>
      <c r="E1830">
        <v>11</v>
      </c>
      <c r="F1830" t="s">
        <v>127</v>
      </c>
      <c r="G1830">
        <v>62</v>
      </c>
      <c r="H1830">
        <v>200</v>
      </c>
      <c r="I1830">
        <v>32492387</v>
      </c>
      <c r="J1830">
        <v>123</v>
      </c>
      <c r="K1830">
        <v>27</v>
      </c>
      <c r="L1830">
        <v>32492187</v>
      </c>
      <c r="M1830" s="1" t="s">
        <v>3130</v>
      </c>
      <c r="N1830">
        <v>0.99999384474988096</v>
      </c>
      <c r="O1830" s="1" t="s">
        <v>3131</v>
      </c>
      <c r="P1830">
        <v>0</v>
      </c>
      <c r="Q1830">
        <v>0</v>
      </c>
      <c r="R1830">
        <v>0</v>
      </c>
      <c r="S1830">
        <v>0</v>
      </c>
      <c r="T1830">
        <v>29.702585079999999</v>
      </c>
      <c r="U1830">
        <f t="shared" si="56"/>
        <v>0</v>
      </c>
      <c r="V1830">
        <f t="shared" si="57"/>
        <v>0</v>
      </c>
    </row>
    <row r="1831" spans="1:22" x14ac:dyDescent="0.2">
      <c r="A1831" t="s">
        <v>3050</v>
      </c>
      <c r="B1831" t="s">
        <v>41</v>
      </c>
      <c r="C1831" t="s">
        <v>76</v>
      </c>
      <c r="D1831" t="s">
        <v>77</v>
      </c>
      <c r="E1831">
        <v>11</v>
      </c>
      <c r="F1831" t="s">
        <v>127</v>
      </c>
      <c r="G1831">
        <v>58</v>
      </c>
      <c r="H1831">
        <v>0</v>
      </c>
      <c r="I1831">
        <v>303745</v>
      </c>
      <c r="J1831">
        <v>82</v>
      </c>
      <c r="K1831">
        <v>41</v>
      </c>
      <c r="L1831">
        <v>303745</v>
      </c>
      <c r="M1831">
        <v>0</v>
      </c>
      <c r="N1831">
        <v>1</v>
      </c>
      <c r="O1831" s="1" t="s">
        <v>3132</v>
      </c>
      <c r="P1831">
        <v>0</v>
      </c>
      <c r="Q1831">
        <v>0</v>
      </c>
      <c r="R1831">
        <v>0</v>
      </c>
      <c r="S1831">
        <v>0</v>
      </c>
      <c r="T1831">
        <v>29.702585079999999</v>
      </c>
      <c r="U1831">
        <f t="shared" si="56"/>
        <v>0</v>
      </c>
      <c r="V1831">
        <f t="shared" si="57"/>
        <v>0</v>
      </c>
    </row>
    <row r="1832" spans="1:22" x14ac:dyDescent="0.2">
      <c r="A1832" t="s">
        <v>3050</v>
      </c>
      <c r="B1832" t="s">
        <v>41</v>
      </c>
      <c r="C1832" t="s">
        <v>76</v>
      </c>
      <c r="D1832" t="s">
        <v>77</v>
      </c>
      <c r="E1832" s="1" t="s">
        <v>163</v>
      </c>
      <c r="F1832" t="s">
        <v>224</v>
      </c>
      <c r="G1832">
        <v>42</v>
      </c>
      <c r="H1832">
        <v>14859</v>
      </c>
      <c r="I1832">
        <v>63387276</v>
      </c>
      <c r="J1832">
        <v>65</v>
      </c>
      <c r="K1832">
        <v>11</v>
      </c>
      <c r="L1832">
        <v>63372417</v>
      </c>
      <c r="M1832" s="1" t="s">
        <v>3133</v>
      </c>
      <c r="N1832" s="1" t="s">
        <v>3134</v>
      </c>
      <c r="O1832" s="1" t="s">
        <v>3135</v>
      </c>
      <c r="P1832">
        <v>0</v>
      </c>
      <c r="Q1832">
        <v>0</v>
      </c>
      <c r="R1832">
        <v>0</v>
      </c>
      <c r="S1832">
        <v>0</v>
      </c>
      <c r="T1832">
        <v>29.702585079999999</v>
      </c>
      <c r="U1832">
        <f t="shared" si="56"/>
        <v>0</v>
      </c>
      <c r="V1832">
        <f t="shared" si="57"/>
        <v>0</v>
      </c>
    </row>
    <row r="1833" spans="1:22" x14ac:dyDescent="0.2">
      <c r="A1833" t="s">
        <v>3050</v>
      </c>
      <c r="B1833" t="s">
        <v>41</v>
      </c>
      <c r="C1833" t="s">
        <v>76</v>
      </c>
      <c r="D1833" t="s">
        <v>77</v>
      </c>
      <c r="E1833">
        <v>21</v>
      </c>
      <c r="F1833" t="s">
        <v>212</v>
      </c>
      <c r="G1833">
        <v>97</v>
      </c>
      <c r="H1833">
        <v>0</v>
      </c>
      <c r="I1833">
        <v>1237</v>
      </c>
      <c r="J1833">
        <v>97</v>
      </c>
      <c r="K1833">
        <v>77</v>
      </c>
      <c r="L1833">
        <v>1237</v>
      </c>
      <c r="M1833">
        <v>0</v>
      </c>
      <c r="N1833">
        <v>1</v>
      </c>
      <c r="O1833" s="1" t="s">
        <v>3136</v>
      </c>
      <c r="P1833">
        <v>0</v>
      </c>
      <c r="Q1833">
        <v>0</v>
      </c>
      <c r="R1833">
        <v>0</v>
      </c>
      <c r="S1833">
        <v>0</v>
      </c>
      <c r="T1833">
        <v>29.702585079999999</v>
      </c>
      <c r="U1833">
        <f t="shared" si="56"/>
        <v>0</v>
      </c>
      <c r="V1833">
        <f t="shared" si="57"/>
        <v>0</v>
      </c>
    </row>
    <row r="1834" spans="1:22" x14ac:dyDescent="0.2">
      <c r="A1834" t="s">
        <v>3050</v>
      </c>
      <c r="B1834" t="s">
        <v>41</v>
      </c>
      <c r="C1834" t="s">
        <v>76</v>
      </c>
      <c r="D1834" t="s">
        <v>77</v>
      </c>
      <c r="E1834">
        <v>11</v>
      </c>
      <c r="F1834" t="s">
        <v>127</v>
      </c>
      <c r="G1834">
        <v>57</v>
      </c>
      <c r="H1834">
        <v>124</v>
      </c>
      <c r="I1834">
        <v>86203</v>
      </c>
      <c r="J1834">
        <v>85</v>
      </c>
      <c r="K1834">
        <v>48</v>
      </c>
      <c r="L1834">
        <v>86079</v>
      </c>
      <c r="M1834">
        <v>1.4363988091790499E-3</v>
      </c>
      <c r="N1834">
        <v>0.99856360119082099</v>
      </c>
      <c r="O1834" s="1" t="s">
        <v>3137</v>
      </c>
      <c r="P1834">
        <v>0</v>
      </c>
      <c r="Q1834">
        <v>0</v>
      </c>
      <c r="R1834">
        <v>0</v>
      </c>
      <c r="S1834">
        <v>0</v>
      </c>
      <c r="T1834">
        <v>29.702585079999999</v>
      </c>
      <c r="U1834">
        <f t="shared" si="56"/>
        <v>0</v>
      </c>
      <c r="V1834">
        <f t="shared" si="57"/>
        <v>0</v>
      </c>
    </row>
    <row r="1835" spans="1:22" x14ac:dyDescent="0.2">
      <c r="A1835" t="s">
        <v>3050</v>
      </c>
      <c r="B1835" t="s">
        <v>41</v>
      </c>
      <c r="C1835" t="s">
        <v>76</v>
      </c>
      <c r="D1835" t="s">
        <v>77</v>
      </c>
      <c r="E1835">
        <v>11</v>
      </c>
      <c r="F1835" t="s">
        <v>127</v>
      </c>
      <c r="G1835">
        <v>52</v>
      </c>
      <c r="H1835">
        <v>0</v>
      </c>
      <c r="I1835">
        <v>95801610</v>
      </c>
      <c r="J1835">
        <v>81</v>
      </c>
      <c r="K1835">
        <v>6</v>
      </c>
      <c r="L1835">
        <v>95801610</v>
      </c>
      <c r="M1835">
        <v>0</v>
      </c>
      <c r="N1835">
        <v>1</v>
      </c>
      <c r="O1835" s="1" t="s">
        <v>3138</v>
      </c>
      <c r="P1835">
        <v>0</v>
      </c>
      <c r="Q1835">
        <v>0</v>
      </c>
      <c r="R1835">
        <v>0</v>
      </c>
      <c r="S1835">
        <v>1</v>
      </c>
      <c r="T1835">
        <v>29.702585079999999</v>
      </c>
      <c r="U1835">
        <f t="shared" si="56"/>
        <v>0</v>
      </c>
      <c r="V1835">
        <f t="shared" si="57"/>
        <v>1</v>
      </c>
    </row>
    <row r="1836" spans="1:22" x14ac:dyDescent="0.2">
      <c r="A1836" t="s">
        <v>3050</v>
      </c>
      <c r="B1836" t="s">
        <v>41</v>
      </c>
      <c r="C1836" t="s">
        <v>76</v>
      </c>
      <c r="D1836" t="s">
        <v>77</v>
      </c>
      <c r="E1836" s="1" t="s">
        <v>82</v>
      </c>
      <c r="F1836" t="s">
        <v>83</v>
      </c>
      <c r="G1836" s="1" t="s">
        <v>89</v>
      </c>
      <c r="H1836">
        <v>0</v>
      </c>
      <c r="I1836">
        <v>5987</v>
      </c>
      <c r="J1836">
        <v>49</v>
      </c>
      <c r="K1836">
        <v>62</v>
      </c>
      <c r="L1836">
        <v>5987</v>
      </c>
      <c r="M1836">
        <v>0</v>
      </c>
      <c r="N1836">
        <v>1</v>
      </c>
      <c r="O1836" s="1" t="s">
        <v>3139</v>
      </c>
      <c r="P1836">
        <v>0</v>
      </c>
      <c r="Q1836">
        <v>0</v>
      </c>
      <c r="R1836">
        <v>0</v>
      </c>
      <c r="S1836">
        <v>0</v>
      </c>
      <c r="T1836">
        <v>29.702585079999999</v>
      </c>
      <c r="U1836">
        <f t="shared" si="56"/>
        <v>0</v>
      </c>
      <c r="V1836">
        <f t="shared" si="57"/>
        <v>0</v>
      </c>
    </row>
    <row r="1837" spans="1:22" x14ac:dyDescent="0.2">
      <c r="A1837" t="s">
        <v>3050</v>
      </c>
      <c r="B1837" t="s">
        <v>41</v>
      </c>
      <c r="C1837" t="s">
        <v>76</v>
      </c>
      <c r="D1837" t="s">
        <v>77</v>
      </c>
      <c r="E1837">
        <v>11</v>
      </c>
      <c r="F1837" t="s">
        <v>127</v>
      </c>
      <c r="G1837">
        <v>55</v>
      </c>
      <c r="H1837">
        <v>41422</v>
      </c>
      <c r="I1837">
        <v>28745228</v>
      </c>
      <c r="J1837">
        <v>34</v>
      </c>
      <c r="K1837">
        <v>16</v>
      </c>
      <c r="L1837">
        <v>28703806</v>
      </c>
      <c r="M1837">
        <v>1.43893089331339E-3</v>
      </c>
      <c r="N1837" s="1" t="s">
        <v>3140</v>
      </c>
      <c r="O1837">
        <v>1.15534645938028E-2</v>
      </c>
      <c r="P1837">
        <v>0</v>
      </c>
      <c r="Q1837">
        <v>0</v>
      </c>
      <c r="R1837">
        <v>0</v>
      </c>
      <c r="S1837">
        <v>0</v>
      </c>
      <c r="T1837">
        <v>29.702585079999999</v>
      </c>
      <c r="U1837">
        <f t="shared" si="56"/>
        <v>0</v>
      </c>
      <c r="V1837">
        <f t="shared" si="57"/>
        <v>0</v>
      </c>
    </row>
    <row r="1838" spans="1:22" x14ac:dyDescent="0.2">
      <c r="A1838" t="s">
        <v>3050</v>
      </c>
      <c r="B1838" t="s">
        <v>41</v>
      </c>
      <c r="C1838" t="s">
        <v>76</v>
      </c>
      <c r="D1838" t="s">
        <v>77</v>
      </c>
      <c r="E1838">
        <v>20</v>
      </c>
      <c r="F1838" t="s">
        <v>104</v>
      </c>
      <c r="G1838">
        <v>94</v>
      </c>
      <c r="H1838">
        <v>2308</v>
      </c>
      <c r="I1838">
        <v>471780</v>
      </c>
      <c r="J1838">
        <v>123</v>
      </c>
      <c r="K1838">
        <v>60</v>
      </c>
      <c r="L1838">
        <v>469472</v>
      </c>
      <c r="M1838">
        <v>4.8682944938492397E-3</v>
      </c>
      <c r="N1838" s="1" t="s">
        <v>3141</v>
      </c>
      <c r="O1838" s="1" t="s">
        <v>3142</v>
      </c>
      <c r="P1838">
        <v>0</v>
      </c>
      <c r="Q1838">
        <v>0</v>
      </c>
      <c r="R1838">
        <v>0</v>
      </c>
      <c r="S1838">
        <v>0</v>
      </c>
      <c r="T1838">
        <v>29.702585079999999</v>
      </c>
      <c r="U1838">
        <f t="shared" si="56"/>
        <v>0</v>
      </c>
      <c r="V1838">
        <f t="shared" si="57"/>
        <v>0</v>
      </c>
    </row>
    <row r="1839" spans="1:22" x14ac:dyDescent="0.2">
      <c r="A1839" t="s">
        <v>3050</v>
      </c>
      <c r="B1839" t="s">
        <v>41</v>
      </c>
      <c r="C1839" t="s">
        <v>76</v>
      </c>
      <c r="D1839" t="s">
        <v>77</v>
      </c>
      <c r="E1839">
        <v>11</v>
      </c>
      <c r="F1839" t="s">
        <v>127</v>
      </c>
      <c r="G1839">
        <v>56</v>
      </c>
      <c r="H1839">
        <v>0</v>
      </c>
      <c r="I1839">
        <v>667475</v>
      </c>
      <c r="J1839">
        <v>102</v>
      </c>
      <c r="K1839">
        <v>49</v>
      </c>
      <c r="L1839">
        <v>667475</v>
      </c>
      <c r="M1839">
        <v>0</v>
      </c>
      <c r="N1839">
        <v>1</v>
      </c>
      <c r="O1839" s="1" t="s">
        <v>3143</v>
      </c>
      <c r="P1839">
        <v>0</v>
      </c>
      <c r="Q1839">
        <v>0</v>
      </c>
      <c r="R1839">
        <v>0</v>
      </c>
      <c r="S1839">
        <v>0</v>
      </c>
      <c r="T1839">
        <v>29.702585079999999</v>
      </c>
      <c r="U1839">
        <f t="shared" si="56"/>
        <v>0</v>
      </c>
      <c r="V1839">
        <f t="shared" si="57"/>
        <v>0</v>
      </c>
    </row>
    <row r="1840" spans="1:22" x14ac:dyDescent="0.2">
      <c r="A1840" t="s">
        <v>3050</v>
      </c>
      <c r="B1840" t="s">
        <v>41</v>
      </c>
      <c r="C1840" t="s">
        <v>76</v>
      </c>
      <c r="D1840" t="s">
        <v>77</v>
      </c>
      <c r="E1840" s="1" t="s">
        <v>82</v>
      </c>
      <c r="F1840" t="s">
        <v>83</v>
      </c>
      <c r="G1840" s="1" t="s">
        <v>163</v>
      </c>
      <c r="H1840">
        <v>5119</v>
      </c>
      <c r="I1840">
        <v>216582995</v>
      </c>
      <c r="J1840">
        <v>57</v>
      </c>
      <c r="K1840">
        <v>19</v>
      </c>
      <c r="L1840">
        <v>216577876</v>
      </c>
      <c r="M1840" s="1" t="s">
        <v>3144</v>
      </c>
      <c r="N1840">
        <v>0.999976365277367</v>
      </c>
      <c r="O1840">
        <v>8.6927207804226705E-2</v>
      </c>
      <c r="P1840">
        <v>0</v>
      </c>
      <c r="Q1840">
        <v>0</v>
      </c>
      <c r="R1840">
        <v>0</v>
      </c>
      <c r="S1840">
        <v>0</v>
      </c>
      <c r="T1840">
        <v>29.702585079999999</v>
      </c>
      <c r="U1840">
        <f t="shared" si="56"/>
        <v>0</v>
      </c>
      <c r="V1840">
        <f t="shared" si="57"/>
        <v>0</v>
      </c>
    </row>
    <row r="1841" spans="1:22" x14ac:dyDescent="0.2">
      <c r="A1841" t="s">
        <v>3050</v>
      </c>
      <c r="B1841" t="s">
        <v>41</v>
      </c>
      <c r="C1841" t="s">
        <v>76</v>
      </c>
      <c r="D1841" t="s">
        <v>77</v>
      </c>
      <c r="E1841">
        <v>12</v>
      </c>
      <c r="F1841" t="s">
        <v>194</v>
      </c>
      <c r="G1841">
        <v>65</v>
      </c>
      <c r="H1841">
        <v>0</v>
      </c>
      <c r="I1841">
        <v>460137</v>
      </c>
      <c r="J1841">
        <v>105</v>
      </c>
      <c r="K1841">
        <v>40</v>
      </c>
      <c r="L1841">
        <v>460137</v>
      </c>
      <c r="M1841">
        <v>0</v>
      </c>
      <c r="N1841">
        <v>1</v>
      </c>
      <c r="O1841" s="1" t="s">
        <v>3145</v>
      </c>
      <c r="P1841">
        <v>0</v>
      </c>
      <c r="Q1841">
        <v>0</v>
      </c>
      <c r="R1841">
        <v>0</v>
      </c>
      <c r="S1841">
        <v>0</v>
      </c>
      <c r="T1841">
        <v>29.702585079999999</v>
      </c>
      <c r="U1841">
        <f t="shared" si="56"/>
        <v>0</v>
      </c>
      <c r="V1841">
        <f t="shared" si="57"/>
        <v>0</v>
      </c>
    </row>
    <row r="1842" spans="1:22" x14ac:dyDescent="0.2">
      <c r="A1842" t="s">
        <v>3050</v>
      </c>
      <c r="B1842" t="s">
        <v>41</v>
      </c>
      <c r="C1842" t="s">
        <v>76</v>
      </c>
      <c r="D1842" t="s">
        <v>77</v>
      </c>
      <c r="E1842" s="1" t="s">
        <v>85</v>
      </c>
      <c r="F1842" t="s">
        <v>86</v>
      </c>
      <c r="G1842">
        <v>26</v>
      </c>
      <c r="H1842">
        <v>2191</v>
      </c>
      <c r="I1842">
        <v>1653135</v>
      </c>
      <c r="J1842">
        <v>59</v>
      </c>
      <c r="K1842">
        <v>25</v>
      </c>
      <c r="L1842">
        <v>1650944</v>
      </c>
      <c r="M1842">
        <v>1.3236063470277099E-3</v>
      </c>
      <c r="N1842" s="1" t="s">
        <v>3146</v>
      </c>
      <c r="O1842" s="1" t="s">
        <v>3147</v>
      </c>
      <c r="P1842">
        <v>0</v>
      </c>
      <c r="Q1842">
        <v>0</v>
      </c>
      <c r="R1842">
        <v>0</v>
      </c>
      <c r="S1842">
        <v>0</v>
      </c>
      <c r="T1842">
        <v>29.702585079999999</v>
      </c>
      <c r="U1842">
        <f t="shared" si="56"/>
        <v>0</v>
      </c>
      <c r="V1842">
        <f t="shared" si="57"/>
        <v>0</v>
      </c>
    </row>
    <row r="1843" spans="1:22" x14ac:dyDescent="0.2">
      <c r="A1843" t="s">
        <v>3148</v>
      </c>
      <c r="B1843" t="s">
        <v>42</v>
      </c>
      <c r="C1843" t="s">
        <v>76</v>
      </c>
      <c r="D1843" t="s">
        <v>77</v>
      </c>
      <c r="E1843" s="1" t="s">
        <v>85</v>
      </c>
      <c r="F1843" t="s">
        <v>86</v>
      </c>
      <c r="G1843">
        <v>27</v>
      </c>
      <c r="H1843">
        <v>95806897</v>
      </c>
      <c r="I1843">
        <v>0</v>
      </c>
      <c r="J1843">
        <v>84</v>
      </c>
      <c r="K1843">
        <v>91</v>
      </c>
      <c r="L1843">
        <v>-95806897</v>
      </c>
      <c r="M1843">
        <v>1</v>
      </c>
      <c r="N1843">
        <v>0</v>
      </c>
      <c r="O1843">
        <v>2.6694830873366701E-2</v>
      </c>
      <c r="P1843">
        <v>0</v>
      </c>
      <c r="Q1843">
        <v>0</v>
      </c>
      <c r="R1843">
        <v>0</v>
      </c>
      <c r="S1843">
        <v>0</v>
      </c>
      <c r="T1843">
        <v>2.5920305099999998</v>
      </c>
      <c r="U1843">
        <f t="shared" si="56"/>
        <v>0</v>
      </c>
      <c r="V1843">
        <f t="shared" si="57"/>
        <v>0</v>
      </c>
    </row>
    <row r="1844" spans="1:22" x14ac:dyDescent="0.2">
      <c r="A1844" t="s">
        <v>3148</v>
      </c>
      <c r="B1844" t="s">
        <v>42</v>
      </c>
      <c r="C1844" t="s">
        <v>76</v>
      </c>
      <c r="D1844" t="s">
        <v>77</v>
      </c>
      <c r="E1844" s="1" t="s">
        <v>89</v>
      </c>
      <c r="F1844" t="s">
        <v>90</v>
      </c>
      <c r="G1844">
        <v>31</v>
      </c>
      <c r="H1844">
        <v>340518957</v>
      </c>
      <c r="I1844">
        <v>0</v>
      </c>
      <c r="J1844">
        <v>29</v>
      </c>
      <c r="K1844">
        <v>51</v>
      </c>
      <c r="L1844">
        <v>-340518957</v>
      </c>
      <c r="M1844">
        <v>1</v>
      </c>
      <c r="N1844">
        <v>0</v>
      </c>
      <c r="O1844">
        <v>9.4879348469977601E-2</v>
      </c>
      <c r="P1844">
        <v>0</v>
      </c>
      <c r="Q1844">
        <v>0</v>
      </c>
      <c r="R1844">
        <v>0</v>
      </c>
      <c r="S1844">
        <v>0</v>
      </c>
      <c r="T1844">
        <v>2.5920305099999998</v>
      </c>
      <c r="U1844">
        <f t="shared" si="56"/>
        <v>0</v>
      </c>
      <c r="V1844">
        <f t="shared" si="57"/>
        <v>0</v>
      </c>
    </row>
    <row r="1845" spans="1:22" x14ac:dyDescent="0.2">
      <c r="A1845" t="s">
        <v>3148</v>
      </c>
      <c r="B1845" t="s">
        <v>42</v>
      </c>
      <c r="C1845" t="s">
        <v>76</v>
      </c>
      <c r="D1845" t="s">
        <v>77</v>
      </c>
      <c r="E1845">
        <v>15</v>
      </c>
      <c r="F1845" t="s">
        <v>88</v>
      </c>
      <c r="G1845">
        <v>76</v>
      </c>
      <c r="H1845">
        <v>9065591</v>
      </c>
      <c r="I1845">
        <v>0</v>
      </c>
      <c r="J1845">
        <v>69</v>
      </c>
      <c r="K1845">
        <v>92</v>
      </c>
      <c r="L1845">
        <v>-9065591</v>
      </c>
      <c r="M1845">
        <v>1</v>
      </c>
      <c r="N1845">
        <v>0</v>
      </c>
      <c r="O1845">
        <v>2.5259603023372701E-3</v>
      </c>
      <c r="P1845">
        <v>0</v>
      </c>
      <c r="Q1845">
        <v>0</v>
      </c>
      <c r="R1845">
        <v>0</v>
      </c>
      <c r="S1845">
        <v>0</v>
      </c>
      <c r="T1845">
        <v>2.5920305099999998</v>
      </c>
      <c r="U1845">
        <f t="shared" si="56"/>
        <v>0</v>
      </c>
      <c r="V1845">
        <f t="shared" si="57"/>
        <v>0</v>
      </c>
    </row>
    <row r="1846" spans="1:22" x14ac:dyDescent="0.2">
      <c r="A1846" t="s">
        <v>3148</v>
      </c>
      <c r="B1846" t="s">
        <v>42</v>
      </c>
      <c r="C1846" t="s">
        <v>76</v>
      </c>
      <c r="D1846" t="s">
        <v>77</v>
      </c>
      <c r="E1846" s="1" t="s">
        <v>89</v>
      </c>
      <c r="F1846" t="s">
        <v>90</v>
      </c>
      <c r="G1846">
        <v>28</v>
      </c>
      <c r="H1846">
        <v>5887291</v>
      </c>
      <c r="I1846">
        <v>0</v>
      </c>
      <c r="J1846">
        <v>87</v>
      </c>
      <c r="K1846">
        <v>85</v>
      </c>
      <c r="L1846">
        <v>-5887291</v>
      </c>
      <c r="M1846">
        <v>1</v>
      </c>
      <c r="N1846">
        <v>0</v>
      </c>
      <c r="O1846">
        <v>1.6403854259813299E-3</v>
      </c>
      <c r="P1846">
        <v>0</v>
      </c>
      <c r="Q1846">
        <v>0</v>
      </c>
      <c r="R1846">
        <v>0</v>
      </c>
      <c r="S1846">
        <v>0</v>
      </c>
      <c r="T1846">
        <v>2.5920305099999998</v>
      </c>
      <c r="U1846">
        <f t="shared" si="56"/>
        <v>0</v>
      </c>
      <c r="V1846">
        <f t="shared" si="57"/>
        <v>0</v>
      </c>
    </row>
    <row r="1847" spans="1:22" x14ac:dyDescent="0.2">
      <c r="A1847" t="s">
        <v>3148</v>
      </c>
      <c r="B1847" t="s">
        <v>42</v>
      </c>
      <c r="C1847" t="s">
        <v>76</v>
      </c>
      <c r="D1847" t="s">
        <v>77</v>
      </c>
      <c r="E1847">
        <v>15</v>
      </c>
      <c r="F1847" t="s">
        <v>88</v>
      </c>
      <c r="G1847">
        <v>72</v>
      </c>
      <c r="H1847">
        <v>1983540</v>
      </c>
      <c r="I1847">
        <v>0</v>
      </c>
      <c r="J1847">
        <v>104</v>
      </c>
      <c r="K1847">
        <v>74</v>
      </c>
      <c r="L1847">
        <v>-1983540</v>
      </c>
      <c r="M1847">
        <v>1</v>
      </c>
      <c r="N1847">
        <v>0</v>
      </c>
      <c r="O1847" s="1" t="s">
        <v>3149</v>
      </c>
      <c r="P1847">
        <v>0</v>
      </c>
      <c r="Q1847">
        <v>0</v>
      </c>
      <c r="R1847">
        <v>0</v>
      </c>
      <c r="S1847">
        <v>0</v>
      </c>
      <c r="T1847">
        <v>2.5920305099999998</v>
      </c>
      <c r="U1847">
        <f t="shared" si="56"/>
        <v>0</v>
      </c>
      <c r="V1847">
        <f t="shared" si="57"/>
        <v>0</v>
      </c>
    </row>
    <row r="1848" spans="1:22" x14ac:dyDescent="0.2">
      <c r="A1848" t="s">
        <v>3148</v>
      </c>
      <c r="B1848" t="s">
        <v>42</v>
      </c>
      <c r="C1848" t="s">
        <v>76</v>
      </c>
      <c r="D1848" t="s">
        <v>77</v>
      </c>
      <c r="E1848" s="1" t="s">
        <v>93</v>
      </c>
      <c r="F1848" t="s">
        <v>94</v>
      </c>
      <c r="G1848">
        <v>44</v>
      </c>
      <c r="H1848">
        <v>987058</v>
      </c>
      <c r="I1848">
        <v>150492</v>
      </c>
      <c r="J1848">
        <v>93</v>
      </c>
      <c r="K1848">
        <v>60</v>
      </c>
      <c r="L1848">
        <v>-836566</v>
      </c>
      <c r="M1848" s="1" t="s">
        <v>3150</v>
      </c>
      <c r="N1848" s="1" t="s">
        <v>3151</v>
      </c>
      <c r="O1848" s="1" t="s">
        <v>3152</v>
      </c>
      <c r="P1848">
        <v>0</v>
      </c>
      <c r="Q1848">
        <v>0</v>
      </c>
      <c r="R1848">
        <v>0</v>
      </c>
      <c r="S1848">
        <v>0</v>
      </c>
      <c r="T1848">
        <v>2.5920305099999998</v>
      </c>
      <c r="U1848">
        <f t="shared" si="56"/>
        <v>0</v>
      </c>
      <c r="V1848">
        <f t="shared" si="57"/>
        <v>0</v>
      </c>
    </row>
    <row r="1849" spans="1:22" x14ac:dyDescent="0.2">
      <c r="A1849" t="s">
        <v>3148</v>
      </c>
      <c r="B1849" t="s">
        <v>42</v>
      </c>
      <c r="C1849" t="s">
        <v>76</v>
      </c>
      <c r="D1849" t="s">
        <v>77</v>
      </c>
      <c r="E1849" s="1" t="s">
        <v>138</v>
      </c>
      <c r="F1849" t="s">
        <v>139</v>
      </c>
      <c r="G1849">
        <v>22</v>
      </c>
      <c r="H1849">
        <v>442721</v>
      </c>
      <c r="I1849">
        <v>0</v>
      </c>
      <c r="J1849">
        <v>85</v>
      </c>
      <c r="K1849">
        <v>98</v>
      </c>
      <c r="L1849">
        <v>-442721</v>
      </c>
      <c r="M1849">
        <v>1</v>
      </c>
      <c r="N1849">
        <v>0</v>
      </c>
      <c r="O1849" s="1" t="s">
        <v>3153</v>
      </c>
      <c r="P1849">
        <v>0</v>
      </c>
      <c r="Q1849">
        <v>0</v>
      </c>
      <c r="R1849">
        <v>0</v>
      </c>
      <c r="S1849">
        <v>0</v>
      </c>
      <c r="T1849">
        <v>2.5920305099999998</v>
      </c>
      <c r="U1849">
        <f t="shared" si="56"/>
        <v>0</v>
      </c>
      <c r="V1849">
        <f t="shared" si="57"/>
        <v>0</v>
      </c>
    </row>
    <row r="1850" spans="1:22" x14ac:dyDescent="0.2">
      <c r="A1850" t="s">
        <v>3148</v>
      </c>
      <c r="B1850" t="s">
        <v>42</v>
      </c>
      <c r="C1850" t="s">
        <v>76</v>
      </c>
      <c r="D1850" t="s">
        <v>77</v>
      </c>
      <c r="E1850">
        <v>10</v>
      </c>
      <c r="F1850" t="s">
        <v>119</v>
      </c>
      <c r="G1850">
        <v>47</v>
      </c>
      <c r="H1850">
        <v>605716</v>
      </c>
      <c r="I1850">
        <v>0</v>
      </c>
      <c r="J1850">
        <v>57</v>
      </c>
      <c r="K1850">
        <v>37</v>
      </c>
      <c r="L1850">
        <v>-605716</v>
      </c>
      <c r="M1850">
        <v>1</v>
      </c>
      <c r="N1850">
        <v>0</v>
      </c>
      <c r="O1850" s="1" t="s">
        <v>3154</v>
      </c>
      <c r="P1850">
        <v>0</v>
      </c>
      <c r="Q1850">
        <v>0</v>
      </c>
      <c r="R1850">
        <v>0</v>
      </c>
      <c r="S1850">
        <v>0</v>
      </c>
      <c r="T1850">
        <v>2.5920305099999998</v>
      </c>
      <c r="U1850">
        <f t="shared" si="56"/>
        <v>0</v>
      </c>
      <c r="V1850">
        <f t="shared" si="57"/>
        <v>0</v>
      </c>
    </row>
    <row r="1851" spans="1:22" x14ac:dyDescent="0.2">
      <c r="A1851" t="s">
        <v>3148</v>
      </c>
      <c r="B1851" t="s">
        <v>42</v>
      </c>
      <c r="C1851" t="s">
        <v>76</v>
      </c>
      <c r="D1851" t="s">
        <v>77</v>
      </c>
      <c r="E1851" s="1" t="s">
        <v>89</v>
      </c>
      <c r="F1851" t="s">
        <v>90</v>
      </c>
      <c r="G1851">
        <v>34</v>
      </c>
      <c r="H1851">
        <v>1984359</v>
      </c>
      <c r="I1851">
        <v>0</v>
      </c>
      <c r="J1851">
        <v>40</v>
      </c>
      <c r="K1851">
        <v>87</v>
      </c>
      <c r="L1851">
        <v>-1984359</v>
      </c>
      <c r="M1851">
        <v>1</v>
      </c>
      <c r="N1851">
        <v>0</v>
      </c>
      <c r="O1851" s="1" t="s">
        <v>3155</v>
      </c>
      <c r="P1851">
        <v>0</v>
      </c>
      <c r="Q1851">
        <v>0</v>
      </c>
      <c r="R1851">
        <v>0</v>
      </c>
      <c r="S1851">
        <v>0</v>
      </c>
      <c r="T1851">
        <v>2.5920305099999998</v>
      </c>
      <c r="U1851">
        <f t="shared" si="56"/>
        <v>0</v>
      </c>
      <c r="V1851">
        <f t="shared" si="57"/>
        <v>0</v>
      </c>
    </row>
    <row r="1852" spans="1:22" x14ac:dyDescent="0.2">
      <c r="A1852" t="s">
        <v>3148</v>
      </c>
      <c r="B1852" t="s">
        <v>42</v>
      </c>
      <c r="C1852" t="s">
        <v>76</v>
      </c>
      <c r="D1852" t="s">
        <v>77</v>
      </c>
      <c r="E1852" s="1" t="s">
        <v>89</v>
      </c>
      <c r="F1852" t="s">
        <v>90</v>
      </c>
      <c r="G1852">
        <v>29</v>
      </c>
      <c r="H1852">
        <v>1913024</v>
      </c>
      <c r="I1852">
        <v>0</v>
      </c>
      <c r="J1852">
        <v>81</v>
      </c>
      <c r="K1852">
        <v>81</v>
      </c>
      <c r="L1852">
        <v>-1913024</v>
      </c>
      <c r="M1852">
        <v>1</v>
      </c>
      <c r="N1852">
        <v>0</v>
      </c>
      <c r="O1852" s="1" t="s">
        <v>3156</v>
      </c>
      <c r="P1852">
        <v>0</v>
      </c>
      <c r="Q1852">
        <v>0</v>
      </c>
      <c r="R1852">
        <v>0</v>
      </c>
      <c r="S1852">
        <v>0</v>
      </c>
      <c r="T1852">
        <v>2.5920305099999998</v>
      </c>
      <c r="U1852">
        <f t="shared" si="56"/>
        <v>0</v>
      </c>
      <c r="V1852">
        <f t="shared" si="57"/>
        <v>0</v>
      </c>
    </row>
    <row r="1853" spans="1:22" x14ac:dyDescent="0.2">
      <c r="A1853" t="s">
        <v>3148</v>
      </c>
      <c r="B1853" t="s">
        <v>42</v>
      </c>
      <c r="C1853" t="s">
        <v>76</v>
      </c>
      <c r="D1853" t="s">
        <v>77</v>
      </c>
      <c r="E1853">
        <v>16</v>
      </c>
      <c r="F1853" t="s">
        <v>95</v>
      </c>
      <c r="G1853">
        <v>84</v>
      </c>
      <c r="H1853">
        <v>558942</v>
      </c>
      <c r="I1853">
        <v>0</v>
      </c>
      <c r="J1853">
        <v>115</v>
      </c>
      <c r="K1853">
        <v>117</v>
      </c>
      <c r="L1853">
        <v>-558942</v>
      </c>
      <c r="M1853">
        <v>1</v>
      </c>
      <c r="N1853">
        <v>0</v>
      </c>
      <c r="O1853" s="1" t="s">
        <v>3157</v>
      </c>
      <c r="P1853">
        <v>0</v>
      </c>
      <c r="Q1853">
        <v>0</v>
      </c>
      <c r="R1853">
        <v>0</v>
      </c>
      <c r="S1853">
        <v>0</v>
      </c>
      <c r="T1853">
        <v>2.5920305099999998</v>
      </c>
      <c r="U1853">
        <f t="shared" si="56"/>
        <v>0</v>
      </c>
      <c r="V1853">
        <f t="shared" si="57"/>
        <v>0</v>
      </c>
    </row>
    <row r="1854" spans="1:22" x14ac:dyDescent="0.2">
      <c r="A1854" t="s">
        <v>3148</v>
      </c>
      <c r="B1854" t="s">
        <v>42</v>
      </c>
      <c r="C1854" t="s">
        <v>76</v>
      </c>
      <c r="D1854" t="s">
        <v>77</v>
      </c>
      <c r="E1854">
        <v>17</v>
      </c>
      <c r="F1854" t="s">
        <v>97</v>
      </c>
      <c r="G1854">
        <v>87</v>
      </c>
      <c r="H1854">
        <v>640731</v>
      </c>
      <c r="I1854">
        <v>0</v>
      </c>
      <c r="J1854">
        <v>101</v>
      </c>
      <c r="K1854">
        <v>96</v>
      </c>
      <c r="L1854">
        <v>-640731</v>
      </c>
      <c r="M1854">
        <v>1</v>
      </c>
      <c r="N1854">
        <v>0</v>
      </c>
      <c r="O1854">
        <v>1.7852791621383101E-4</v>
      </c>
      <c r="P1854">
        <v>0</v>
      </c>
      <c r="Q1854">
        <v>0</v>
      </c>
      <c r="R1854">
        <v>0</v>
      </c>
      <c r="S1854">
        <v>0</v>
      </c>
      <c r="T1854">
        <v>2.5920305099999998</v>
      </c>
      <c r="U1854">
        <f t="shared" si="56"/>
        <v>0</v>
      </c>
      <c r="V1854">
        <f t="shared" si="57"/>
        <v>0</v>
      </c>
    </row>
    <row r="1855" spans="1:22" x14ac:dyDescent="0.2">
      <c r="A1855" t="s">
        <v>3148</v>
      </c>
      <c r="B1855" t="s">
        <v>42</v>
      </c>
      <c r="C1855" t="s">
        <v>76</v>
      </c>
      <c r="D1855" t="s">
        <v>77</v>
      </c>
      <c r="E1855">
        <v>12</v>
      </c>
      <c r="F1855" t="s">
        <v>194</v>
      </c>
      <c r="G1855">
        <v>64</v>
      </c>
      <c r="H1855">
        <v>102750</v>
      </c>
      <c r="I1855">
        <v>0</v>
      </c>
      <c r="J1855">
        <v>56</v>
      </c>
      <c r="K1855">
        <v>94</v>
      </c>
      <c r="L1855">
        <v>-102750</v>
      </c>
      <c r="M1855">
        <v>1</v>
      </c>
      <c r="N1855">
        <v>0</v>
      </c>
      <c r="O1855" s="1" t="s">
        <v>3158</v>
      </c>
      <c r="P1855">
        <v>0</v>
      </c>
      <c r="Q1855">
        <v>0</v>
      </c>
      <c r="R1855">
        <v>0</v>
      </c>
      <c r="S1855">
        <v>0</v>
      </c>
      <c r="T1855">
        <v>2.5920305099999998</v>
      </c>
      <c r="U1855">
        <f t="shared" si="56"/>
        <v>0</v>
      </c>
      <c r="V1855">
        <f t="shared" si="57"/>
        <v>0</v>
      </c>
    </row>
    <row r="1856" spans="1:22" x14ac:dyDescent="0.2">
      <c r="A1856" t="s">
        <v>3148</v>
      </c>
      <c r="B1856" t="s">
        <v>42</v>
      </c>
      <c r="C1856" t="s">
        <v>76</v>
      </c>
      <c r="D1856" t="s">
        <v>77</v>
      </c>
      <c r="E1856" s="1" t="s">
        <v>89</v>
      </c>
      <c r="F1856" t="s">
        <v>90</v>
      </c>
      <c r="G1856">
        <v>32</v>
      </c>
      <c r="H1856">
        <v>299821</v>
      </c>
      <c r="I1856">
        <v>0</v>
      </c>
      <c r="J1856">
        <v>72</v>
      </c>
      <c r="K1856">
        <v>80</v>
      </c>
      <c r="L1856">
        <v>-299821</v>
      </c>
      <c r="M1856">
        <v>1</v>
      </c>
      <c r="N1856">
        <v>0</v>
      </c>
      <c r="O1856" s="1" t="s">
        <v>3159</v>
      </c>
      <c r="P1856">
        <v>0</v>
      </c>
      <c r="Q1856">
        <v>0</v>
      </c>
      <c r="R1856">
        <v>0</v>
      </c>
      <c r="S1856">
        <v>0</v>
      </c>
      <c r="T1856">
        <v>2.5920305099999998</v>
      </c>
      <c r="U1856">
        <f t="shared" si="56"/>
        <v>0</v>
      </c>
      <c r="V1856">
        <f t="shared" si="57"/>
        <v>0</v>
      </c>
    </row>
    <row r="1857" spans="1:22" x14ac:dyDescent="0.2">
      <c r="A1857" t="s">
        <v>3148</v>
      </c>
      <c r="B1857" t="s">
        <v>42</v>
      </c>
      <c r="C1857" t="s">
        <v>76</v>
      </c>
      <c r="D1857" t="s">
        <v>77</v>
      </c>
      <c r="E1857">
        <v>19</v>
      </c>
      <c r="F1857" t="s">
        <v>838</v>
      </c>
      <c r="G1857">
        <v>93</v>
      </c>
      <c r="H1857">
        <v>7868</v>
      </c>
      <c r="I1857">
        <v>0</v>
      </c>
      <c r="J1857">
        <v>71</v>
      </c>
      <c r="K1857">
        <v>36</v>
      </c>
      <c r="L1857">
        <v>-7868</v>
      </c>
      <c r="M1857">
        <v>1</v>
      </c>
      <c r="N1857">
        <v>0</v>
      </c>
      <c r="O1857" s="1" t="s">
        <v>3160</v>
      </c>
      <c r="P1857">
        <v>0</v>
      </c>
      <c r="Q1857">
        <v>0</v>
      </c>
      <c r="R1857">
        <v>0</v>
      </c>
      <c r="S1857">
        <v>0</v>
      </c>
      <c r="T1857">
        <v>2.5920305099999998</v>
      </c>
      <c r="U1857">
        <f t="shared" si="56"/>
        <v>0</v>
      </c>
      <c r="V1857">
        <f t="shared" si="57"/>
        <v>0</v>
      </c>
    </row>
    <row r="1858" spans="1:22" x14ac:dyDescent="0.2">
      <c r="A1858" t="s">
        <v>3148</v>
      </c>
      <c r="B1858" t="s">
        <v>42</v>
      </c>
      <c r="C1858" t="s">
        <v>76</v>
      </c>
      <c r="D1858" t="s">
        <v>77</v>
      </c>
      <c r="E1858">
        <v>18</v>
      </c>
      <c r="F1858" t="s">
        <v>147</v>
      </c>
      <c r="G1858">
        <v>90</v>
      </c>
      <c r="H1858">
        <v>178563</v>
      </c>
      <c r="I1858">
        <v>0</v>
      </c>
      <c r="J1858">
        <v>102</v>
      </c>
      <c r="K1858">
        <v>103</v>
      </c>
      <c r="L1858">
        <v>-178563</v>
      </c>
      <c r="M1858">
        <v>1</v>
      </c>
      <c r="N1858">
        <v>0</v>
      </c>
      <c r="O1858" s="1" t="s">
        <v>3161</v>
      </c>
      <c r="P1858">
        <v>0</v>
      </c>
      <c r="Q1858">
        <v>0</v>
      </c>
      <c r="R1858">
        <v>0</v>
      </c>
      <c r="S1858">
        <v>0</v>
      </c>
      <c r="T1858">
        <v>2.5920305099999998</v>
      </c>
      <c r="U1858">
        <f t="shared" si="56"/>
        <v>0</v>
      </c>
      <c r="V1858">
        <f t="shared" si="57"/>
        <v>0</v>
      </c>
    </row>
    <row r="1859" spans="1:22" x14ac:dyDescent="0.2">
      <c r="A1859" t="s">
        <v>3148</v>
      </c>
      <c r="B1859" t="s">
        <v>42</v>
      </c>
      <c r="C1859" t="s">
        <v>76</v>
      </c>
      <c r="D1859" t="s">
        <v>77</v>
      </c>
      <c r="E1859">
        <v>15</v>
      </c>
      <c r="F1859" t="s">
        <v>88</v>
      </c>
      <c r="G1859">
        <v>73</v>
      </c>
      <c r="H1859">
        <v>8297</v>
      </c>
      <c r="I1859">
        <v>0</v>
      </c>
      <c r="J1859">
        <v>129</v>
      </c>
      <c r="K1859">
        <v>103</v>
      </c>
      <c r="L1859">
        <v>-8297</v>
      </c>
      <c r="M1859">
        <v>1</v>
      </c>
      <c r="N1859">
        <v>0</v>
      </c>
      <c r="O1859" s="1" t="s">
        <v>3162</v>
      </c>
      <c r="P1859">
        <v>0</v>
      </c>
      <c r="Q1859">
        <v>0</v>
      </c>
      <c r="R1859">
        <v>0</v>
      </c>
      <c r="S1859">
        <v>0</v>
      </c>
      <c r="T1859">
        <v>2.5920305099999998</v>
      </c>
      <c r="U1859">
        <f t="shared" ref="U1859:U1922" si="58">IF(OR(P1859=1,Q1859=1),1,0)</f>
        <v>0</v>
      </c>
      <c r="V1859">
        <f t="shared" ref="V1859:V1922" si="59">IF(OR(R1859=1,S1859=1),1,0)</f>
        <v>0</v>
      </c>
    </row>
    <row r="1860" spans="1:22" x14ac:dyDescent="0.2">
      <c r="A1860" t="s">
        <v>3148</v>
      </c>
      <c r="B1860" t="s">
        <v>42</v>
      </c>
      <c r="C1860" t="s">
        <v>76</v>
      </c>
      <c r="D1860" t="s">
        <v>77</v>
      </c>
      <c r="E1860" s="1" t="s">
        <v>89</v>
      </c>
      <c r="F1860" t="s">
        <v>90</v>
      </c>
      <c r="G1860">
        <v>38</v>
      </c>
      <c r="H1860">
        <v>10785</v>
      </c>
      <c r="I1860">
        <v>0</v>
      </c>
      <c r="J1860">
        <v>118</v>
      </c>
      <c r="K1860">
        <v>87</v>
      </c>
      <c r="L1860">
        <v>-10785</v>
      </c>
      <c r="M1860">
        <v>1</v>
      </c>
      <c r="N1860">
        <v>0</v>
      </c>
      <c r="O1860" s="1" t="s">
        <v>3163</v>
      </c>
      <c r="P1860">
        <v>0</v>
      </c>
      <c r="Q1860">
        <v>0</v>
      </c>
      <c r="R1860">
        <v>0</v>
      </c>
      <c r="S1860">
        <v>0</v>
      </c>
      <c r="T1860">
        <v>2.5920305099999998</v>
      </c>
      <c r="U1860">
        <f t="shared" si="58"/>
        <v>0</v>
      </c>
      <c r="V1860">
        <f t="shared" si="59"/>
        <v>0</v>
      </c>
    </row>
    <row r="1861" spans="1:22" x14ac:dyDescent="0.2">
      <c r="A1861" t="s">
        <v>3148</v>
      </c>
      <c r="B1861" t="s">
        <v>42</v>
      </c>
      <c r="C1861" t="s">
        <v>76</v>
      </c>
      <c r="D1861" t="s">
        <v>77</v>
      </c>
      <c r="E1861">
        <v>10</v>
      </c>
      <c r="F1861" t="s">
        <v>119</v>
      </c>
      <c r="G1861">
        <v>48</v>
      </c>
      <c r="H1861">
        <v>2700027</v>
      </c>
      <c r="I1861">
        <v>0</v>
      </c>
      <c r="J1861">
        <v>96</v>
      </c>
      <c r="K1861">
        <v>97</v>
      </c>
      <c r="L1861">
        <v>-2700027</v>
      </c>
      <c r="M1861">
        <v>1</v>
      </c>
      <c r="N1861">
        <v>0</v>
      </c>
      <c r="O1861" s="1" t="s">
        <v>3164</v>
      </c>
      <c r="P1861">
        <v>0</v>
      </c>
      <c r="Q1861">
        <v>0</v>
      </c>
      <c r="R1861">
        <v>0</v>
      </c>
      <c r="S1861">
        <v>0</v>
      </c>
      <c r="T1861">
        <v>2.5920305099999998</v>
      </c>
      <c r="U1861">
        <f t="shared" si="58"/>
        <v>0</v>
      </c>
      <c r="V1861">
        <f t="shared" si="59"/>
        <v>0</v>
      </c>
    </row>
    <row r="1862" spans="1:22" x14ac:dyDescent="0.2">
      <c r="A1862" t="s">
        <v>3148</v>
      </c>
      <c r="B1862" t="s">
        <v>42</v>
      </c>
      <c r="C1862" t="s">
        <v>76</v>
      </c>
      <c r="D1862" t="s">
        <v>77</v>
      </c>
      <c r="E1862">
        <v>10</v>
      </c>
      <c r="F1862" t="s">
        <v>119</v>
      </c>
      <c r="G1862">
        <v>49</v>
      </c>
      <c r="H1862">
        <v>6685</v>
      </c>
      <c r="I1862">
        <v>0</v>
      </c>
      <c r="J1862">
        <v>97</v>
      </c>
      <c r="K1862">
        <v>109</v>
      </c>
      <c r="L1862">
        <v>-6685</v>
      </c>
      <c r="M1862">
        <v>1</v>
      </c>
      <c r="N1862">
        <v>0</v>
      </c>
      <c r="O1862" s="1" t="s">
        <v>3165</v>
      </c>
      <c r="P1862">
        <v>0</v>
      </c>
      <c r="Q1862">
        <v>0</v>
      </c>
      <c r="R1862">
        <v>0</v>
      </c>
      <c r="S1862">
        <v>0</v>
      </c>
      <c r="T1862">
        <v>2.5920305099999998</v>
      </c>
      <c r="U1862">
        <f t="shared" si="58"/>
        <v>0</v>
      </c>
      <c r="V1862">
        <f t="shared" si="59"/>
        <v>0</v>
      </c>
    </row>
    <row r="1863" spans="1:22" x14ac:dyDescent="0.2">
      <c r="A1863" t="s">
        <v>3148</v>
      </c>
      <c r="B1863" t="s">
        <v>42</v>
      </c>
      <c r="C1863" t="s">
        <v>76</v>
      </c>
      <c r="D1863" t="s">
        <v>77</v>
      </c>
      <c r="E1863" s="1" t="s">
        <v>99</v>
      </c>
      <c r="F1863" t="s">
        <v>100</v>
      </c>
      <c r="G1863">
        <v>40</v>
      </c>
      <c r="H1863">
        <v>22205</v>
      </c>
      <c r="I1863">
        <v>0</v>
      </c>
      <c r="J1863">
        <v>122</v>
      </c>
      <c r="K1863">
        <v>97</v>
      </c>
      <c r="L1863">
        <v>-22205</v>
      </c>
      <c r="M1863">
        <v>1</v>
      </c>
      <c r="N1863">
        <v>0</v>
      </c>
      <c r="O1863" s="1" t="s">
        <v>3166</v>
      </c>
      <c r="P1863">
        <v>0</v>
      </c>
      <c r="Q1863">
        <v>0</v>
      </c>
      <c r="R1863">
        <v>0</v>
      </c>
      <c r="S1863">
        <v>0</v>
      </c>
      <c r="T1863">
        <v>2.5920305099999998</v>
      </c>
      <c r="U1863">
        <f t="shared" si="58"/>
        <v>0</v>
      </c>
      <c r="V1863">
        <f t="shared" si="59"/>
        <v>0</v>
      </c>
    </row>
    <row r="1864" spans="1:22" x14ac:dyDescent="0.2">
      <c r="A1864" t="s">
        <v>3148</v>
      </c>
      <c r="B1864" t="s">
        <v>42</v>
      </c>
      <c r="C1864" t="s">
        <v>76</v>
      </c>
      <c r="D1864" t="s">
        <v>77</v>
      </c>
      <c r="E1864">
        <v>13</v>
      </c>
      <c r="F1864" t="s">
        <v>91</v>
      </c>
      <c r="G1864">
        <v>70</v>
      </c>
      <c r="H1864">
        <v>178967</v>
      </c>
      <c r="I1864">
        <v>0</v>
      </c>
      <c r="J1864">
        <v>83</v>
      </c>
      <c r="K1864">
        <v>88</v>
      </c>
      <c r="L1864">
        <v>-178967</v>
      </c>
      <c r="M1864">
        <v>1</v>
      </c>
      <c r="N1864">
        <v>0</v>
      </c>
      <c r="O1864" s="1" t="s">
        <v>3167</v>
      </c>
      <c r="P1864">
        <v>0</v>
      </c>
      <c r="Q1864">
        <v>0</v>
      </c>
      <c r="R1864">
        <v>0</v>
      </c>
      <c r="S1864">
        <v>0</v>
      </c>
      <c r="T1864">
        <v>2.5920305099999998</v>
      </c>
      <c r="U1864">
        <f t="shared" si="58"/>
        <v>0</v>
      </c>
      <c r="V1864">
        <f t="shared" si="59"/>
        <v>0</v>
      </c>
    </row>
    <row r="1865" spans="1:22" x14ac:dyDescent="0.2">
      <c r="A1865" t="s">
        <v>3148</v>
      </c>
      <c r="B1865" t="s">
        <v>42</v>
      </c>
      <c r="C1865" t="s">
        <v>76</v>
      </c>
      <c r="D1865" t="s">
        <v>77</v>
      </c>
      <c r="E1865">
        <v>16</v>
      </c>
      <c r="F1865" t="s">
        <v>95</v>
      </c>
      <c r="G1865">
        <v>85</v>
      </c>
      <c r="H1865">
        <v>291276</v>
      </c>
      <c r="I1865">
        <v>0</v>
      </c>
      <c r="J1865">
        <v>114</v>
      </c>
      <c r="K1865">
        <v>117</v>
      </c>
      <c r="L1865">
        <v>-291276</v>
      </c>
      <c r="M1865">
        <v>1</v>
      </c>
      <c r="N1865">
        <v>0</v>
      </c>
      <c r="O1865" s="1" t="s">
        <v>3168</v>
      </c>
      <c r="P1865">
        <v>0</v>
      </c>
      <c r="Q1865">
        <v>0</v>
      </c>
      <c r="R1865">
        <v>0</v>
      </c>
      <c r="S1865">
        <v>0</v>
      </c>
      <c r="T1865">
        <v>2.5920305099999998</v>
      </c>
      <c r="U1865">
        <f t="shared" si="58"/>
        <v>0</v>
      </c>
      <c r="V1865">
        <f t="shared" si="59"/>
        <v>0</v>
      </c>
    </row>
    <row r="1866" spans="1:22" x14ac:dyDescent="0.2">
      <c r="A1866" t="s">
        <v>3148</v>
      </c>
      <c r="B1866" t="s">
        <v>42</v>
      </c>
      <c r="C1866" t="s">
        <v>76</v>
      </c>
      <c r="D1866" t="s">
        <v>77</v>
      </c>
      <c r="E1866" s="1" t="s">
        <v>99</v>
      </c>
      <c r="F1866" t="s">
        <v>100</v>
      </c>
      <c r="G1866">
        <v>39</v>
      </c>
      <c r="H1866">
        <v>535061</v>
      </c>
      <c r="I1866">
        <v>0</v>
      </c>
      <c r="J1866">
        <v>96</v>
      </c>
      <c r="K1866">
        <v>109</v>
      </c>
      <c r="L1866">
        <v>-535061</v>
      </c>
      <c r="M1866">
        <v>1</v>
      </c>
      <c r="N1866">
        <v>0</v>
      </c>
      <c r="O1866" s="1" t="s">
        <v>3169</v>
      </c>
      <c r="P1866">
        <v>0</v>
      </c>
      <c r="Q1866">
        <v>0</v>
      </c>
      <c r="R1866">
        <v>0</v>
      </c>
      <c r="S1866">
        <v>0</v>
      </c>
      <c r="T1866">
        <v>2.5920305099999998</v>
      </c>
      <c r="U1866">
        <f t="shared" si="58"/>
        <v>0</v>
      </c>
      <c r="V1866">
        <f t="shared" si="59"/>
        <v>0</v>
      </c>
    </row>
    <row r="1867" spans="1:22" x14ac:dyDescent="0.2">
      <c r="A1867" t="s">
        <v>3148</v>
      </c>
      <c r="B1867" t="s">
        <v>42</v>
      </c>
      <c r="C1867" t="s">
        <v>76</v>
      </c>
      <c r="D1867" t="s">
        <v>77</v>
      </c>
      <c r="E1867">
        <v>20</v>
      </c>
      <c r="F1867" t="s">
        <v>104</v>
      </c>
      <c r="G1867">
        <v>96</v>
      </c>
      <c r="H1867">
        <v>250</v>
      </c>
      <c r="I1867">
        <v>0</v>
      </c>
      <c r="J1867">
        <v>116</v>
      </c>
      <c r="K1867">
        <v>90</v>
      </c>
      <c r="L1867">
        <v>-250</v>
      </c>
      <c r="M1867">
        <v>1</v>
      </c>
      <c r="N1867">
        <v>0</v>
      </c>
      <c r="O1867" s="1" t="s">
        <v>3170</v>
      </c>
      <c r="P1867">
        <v>0</v>
      </c>
      <c r="Q1867">
        <v>0</v>
      </c>
      <c r="R1867">
        <v>0</v>
      </c>
      <c r="S1867">
        <v>0</v>
      </c>
      <c r="T1867">
        <v>2.5920305099999998</v>
      </c>
      <c r="U1867">
        <f t="shared" si="58"/>
        <v>0</v>
      </c>
      <c r="V1867">
        <f t="shared" si="59"/>
        <v>0</v>
      </c>
    </row>
    <row r="1868" spans="1:22" x14ac:dyDescent="0.2">
      <c r="A1868" t="s">
        <v>3148</v>
      </c>
      <c r="B1868" t="s">
        <v>42</v>
      </c>
      <c r="C1868" t="s">
        <v>76</v>
      </c>
      <c r="D1868" t="s">
        <v>77</v>
      </c>
      <c r="E1868">
        <v>15</v>
      </c>
      <c r="F1868" t="s">
        <v>88</v>
      </c>
      <c r="G1868">
        <v>82</v>
      </c>
      <c r="H1868">
        <v>13516</v>
      </c>
      <c r="I1868">
        <v>0</v>
      </c>
      <c r="J1868">
        <v>118</v>
      </c>
      <c r="K1868">
        <v>96</v>
      </c>
      <c r="L1868">
        <v>-13516</v>
      </c>
      <c r="M1868">
        <v>1</v>
      </c>
      <c r="N1868">
        <v>0</v>
      </c>
      <c r="O1868" s="1" t="s">
        <v>3171</v>
      </c>
      <c r="P1868">
        <v>0</v>
      </c>
      <c r="Q1868">
        <v>0</v>
      </c>
      <c r="R1868">
        <v>0</v>
      </c>
      <c r="S1868">
        <v>0</v>
      </c>
      <c r="T1868">
        <v>2.5920305099999998</v>
      </c>
      <c r="U1868">
        <f t="shared" si="58"/>
        <v>0</v>
      </c>
      <c r="V1868">
        <f t="shared" si="59"/>
        <v>0</v>
      </c>
    </row>
    <row r="1869" spans="1:22" x14ac:dyDescent="0.2">
      <c r="A1869" t="s">
        <v>3148</v>
      </c>
      <c r="B1869" t="s">
        <v>42</v>
      </c>
      <c r="C1869" t="s">
        <v>76</v>
      </c>
      <c r="D1869" t="s">
        <v>77</v>
      </c>
      <c r="E1869">
        <v>20</v>
      </c>
      <c r="F1869" t="s">
        <v>104</v>
      </c>
      <c r="G1869">
        <v>94</v>
      </c>
      <c r="H1869">
        <v>159</v>
      </c>
      <c r="I1869">
        <v>0</v>
      </c>
      <c r="J1869">
        <v>134</v>
      </c>
      <c r="K1869">
        <v>103</v>
      </c>
      <c r="L1869">
        <v>-159</v>
      </c>
      <c r="M1869">
        <v>1</v>
      </c>
      <c r="N1869">
        <v>0</v>
      </c>
      <c r="O1869" s="1" t="s">
        <v>3172</v>
      </c>
      <c r="P1869">
        <v>0</v>
      </c>
      <c r="Q1869">
        <v>0</v>
      </c>
      <c r="R1869">
        <v>0</v>
      </c>
      <c r="S1869">
        <v>0</v>
      </c>
      <c r="T1869">
        <v>2.5920305099999998</v>
      </c>
      <c r="U1869">
        <f t="shared" si="58"/>
        <v>0</v>
      </c>
      <c r="V1869">
        <f t="shared" si="59"/>
        <v>0</v>
      </c>
    </row>
    <row r="1870" spans="1:22" x14ac:dyDescent="0.2">
      <c r="A1870" t="s">
        <v>3148</v>
      </c>
      <c r="B1870" t="s">
        <v>42</v>
      </c>
      <c r="C1870" t="s">
        <v>76</v>
      </c>
      <c r="D1870" t="s">
        <v>77</v>
      </c>
      <c r="E1870" s="1" t="s">
        <v>82</v>
      </c>
      <c r="F1870" t="s">
        <v>83</v>
      </c>
      <c r="G1870">
        <v>12</v>
      </c>
      <c r="H1870">
        <v>116449</v>
      </c>
      <c r="I1870">
        <v>1474377881</v>
      </c>
      <c r="J1870">
        <v>71</v>
      </c>
      <c r="K1870">
        <v>2</v>
      </c>
      <c r="L1870">
        <v>1474261432</v>
      </c>
      <c r="M1870" s="1" t="s">
        <v>3173</v>
      </c>
      <c r="N1870" s="1" t="s">
        <v>3174</v>
      </c>
      <c r="O1870" s="1" t="s">
        <v>3175</v>
      </c>
      <c r="P1870">
        <v>0</v>
      </c>
      <c r="Q1870">
        <v>1</v>
      </c>
      <c r="R1870">
        <v>0</v>
      </c>
      <c r="S1870">
        <v>1</v>
      </c>
      <c r="T1870">
        <v>2.5920305099999998</v>
      </c>
      <c r="U1870">
        <f t="shared" si="58"/>
        <v>1</v>
      </c>
      <c r="V1870">
        <f t="shared" si="59"/>
        <v>1</v>
      </c>
    </row>
    <row r="1871" spans="1:22" x14ac:dyDescent="0.2">
      <c r="A1871" t="s">
        <v>3148</v>
      </c>
      <c r="B1871" t="s">
        <v>42</v>
      </c>
      <c r="C1871" t="s">
        <v>76</v>
      </c>
      <c r="D1871" t="s">
        <v>77</v>
      </c>
      <c r="E1871" s="1" t="s">
        <v>155</v>
      </c>
      <c r="F1871" t="s">
        <v>156</v>
      </c>
      <c r="G1871" s="1" t="s">
        <v>138</v>
      </c>
      <c r="H1871">
        <v>0</v>
      </c>
      <c r="I1871">
        <v>21104152</v>
      </c>
      <c r="J1871">
        <v>75</v>
      </c>
      <c r="K1871">
        <v>26</v>
      </c>
      <c r="L1871">
        <v>21104152</v>
      </c>
      <c r="M1871">
        <v>0</v>
      </c>
      <c r="N1871">
        <v>1</v>
      </c>
      <c r="O1871">
        <v>5.8802840505921498E-3</v>
      </c>
      <c r="P1871">
        <v>0</v>
      </c>
      <c r="Q1871">
        <v>0</v>
      </c>
      <c r="R1871">
        <v>0</v>
      </c>
      <c r="S1871">
        <v>0</v>
      </c>
      <c r="T1871">
        <v>2.5920305099999998</v>
      </c>
      <c r="U1871">
        <f t="shared" si="58"/>
        <v>0</v>
      </c>
      <c r="V1871">
        <f t="shared" si="59"/>
        <v>0</v>
      </c>
    </row>
    <row r="1872" spans="1:22" x14ac:dyDescent="0.2">
      <c r="A1872" t="s">
        <v>3148</v>
      </c>
      <c r="B1872" t="s">
        <v>42</v>
      </c>
      <c r="C1872" t="s">
        <v>76</v>
      </c>
      <c r="D1872" t="s">
        <v>77</v>
      </c>
      <c r="E1872" s="1" t="s">
        <v>155</v>
      </c>
      <c r="F1872" t="s">
        <v>156</v>
      </c>
      <c r="G1872" s="1" t="s">
        <v>82</v>
      </c>
      <c r="H1872">
        <v>701870</v>
      </c>
      <c r="I1872">
        <v>1586988259</v>
      </c>
      <c r="J1872">
        <v>28</v>
      </c>
      <c r="K1872">
        <v>3</v>
      </c>
      <c r="L1872">
        <v>1586286389</v>
      </c>
      <c r="M1872" s="1" t="s">
        <v>3176</v>
      </c>
      <c r="N1872">
        <v>0.99955793011042904</v>
      </c>
      <c r="O1872" s="1" t="s">
        <v>3177</v>
      </c>
      <c r="P1872">
        <v>0</v>
      </c>
      <c r="Q1872">
        <v>1</v>
      </c>
      <c r="R1872">
        <v>0</v>
      </c>
      <c r="S1872">
        <v>1</v>
      </c>
      <c r="T1872">
        <v>2.5920305099999998</v>
      </c>
      <c r="U1872">
        <f t="shared" si="58"/>
        <v>1</v>
      </c>
      <c r="V1872">
        <f t="shared" si="59"/>
        <v>1</v>
      </c>
    </row>
    <row r="1873" spans="1:22" x14ac:dyDescent="0.2">
      <c r="A1873" t="s">
        <v>3148</v>
      </c>
      <c r="B1873" t="s">
        <v>42</v>
      </c>
      <c r="C1873" t="s">
        <v>76</v>
      </c>
      <c r="D1873" t="s">
        <v>77</v>
      </c>
      <c r="E1873" s="1" t="s">
        <v>138</v>
      </c>
      <c r="F1873" t="s">
        <v>139</v>
      </c>
      <c r="G1873">
        <v>20</v>
      </c>
      <c r="H1873">
        <v>0</v>
      </c>
      <c r="I1873">
        <v>64500</v>
      </c>
      <c r="J1873">
        <v>88</v>
      </c>
      <c r="K1873">
        <v>78</v>
      </c>
      <c r="L1873">
        <v>64500</v>
      </c>
      <c r="M1873">
        <v>0</v>
      </c>
      <c r="N1873">
        <v>1</v>
      </c>
      <c r="O1873" s="1" t="s">
        <v>3178</v>
      </c>
      <c r="P1873">
        <v>0</v>
      </c>
      <c r="Q1873">
        <v>0</v>
      </c>
      <c r="R1873">
        <v>0</v>
      </c>
      <c r="S1873">
        <v>0</v>
      </c>
      <c r="T1873">
        <v>2.5920305099999998</v>
      </c>
      <c r="U1873">
        <f t="shared" si="58"/>
        <v>0</v>
      </c>
      <c r="V1873">
        <f t="shared" si="59"/>
        <v>0</v>
      </c>
    </row>
    <row r="1874" spans="1:22" x14ac:dyDescent="0.2">
      <c r="A1874" t="s">
        <v>3148</v>
      </c>
      <c r="B1874" t="s">
        <v>42</v>
      </c>
      <c r="C1874" t="s">
        <v>76</v>
      </c>
      <c r="D1874" t="s">
        <v>77</v>
      </c>
      <c r="E1874" s="1" t="s">
        <v>110</v>
      </c>
      <c r="F1874" t="s">
        <v>111</v>
      </c>
      <c r="G1874">
        <v>15</v>
      </c>
      <c r="H1874">
        <v>16926</v>
      </c>
      <c r="I1874">
        <v>7618367</v>
      </c>
      <c r="J1874">
        <v>95</v>
      </c>
      <c r="K1874">
        <v>26</v>
      </c>
      <c r="L1874">
        <v>7601441</v>
      </c>
      <c r="M1874">
        <v>2.2168108021525801E-3</v>
      </c>
      <c r="N1874" s="1" t="s">
        <v>3179</v>
      </c>
      <c r="O1874">
        <v>2.1274340541850602E-3</v>
      </c>
      <c r="P1874">
        <v>0</v>
      </c>
      <c r="Q1874">
        <v>0</v>
      </c>
      <c r="R1874">
        <v>0</v>
      </c>
      <c r="S1874">
        <v>0</v>
      </c>
      <c r="T1874">
        <v>2.5920305099999998</v>
      </c>
      <c r="U1874">
        <f t="shared" si="58"/>
        <v>0</v>
      </c>
      <c r="V1874">
        <f t="shared" si="59"/>
        <v>0</v>
      </c>
    </row>
    <row r="1875" spans="1:22" x14ac:dyDescent="0.2">
      <c r="A1875" t="s">
        <v>3148</v>
      </c>
      <c r="B1875" t="s">
        <v>42</v>
      </c>
      <c r="C1875" t="s">
        <v>76</v>
      </c>
      <c r="D1875" t="s">
        <v>77</v>
      </c>
      <c r="E1875" s="1" t="s">
        <v>155</v>
      </c>
      <c r="F1875" t="s">
        <v>156</v>
      </c>
      <c r="G1875" s="1" t="s">
        <v>85</v>
      </c>
      <c r="H1875">
        <v>0</v>
      </c>
      <c r="I1875">
        <v>32581574</v>
      </c>
      <c r="J1875">
        <v>74</v>
      </c>
      <c r="K1875">
        <v>4</v>
      </c>
      <c r="L1875">
        <v>32581574</v>
      </c>
      <c r="M1875">
        <v>0</v>
      </c>
      <c r="N1875">
        <v>1</v>
      </c>
      <c r="O1875">
        <v>9.07825673049493E-3</v>
      </c>
      <c r="P1875">
        <v>0</v>
      </c>
      <c r="Q1875">
        <v>1</v>
      </c>
      <c r="R1875">
        <v>0</v>
      </c>
      <c r="S1875">
        <v>1</v>
      </c>
      <c r="T1875">
        <v>2.5920305099999998</v>
      </c>
      <c r="U1875">
        <f t="shared" si="58"/>
        <v>1</v>
      </c>
      <c r="V1875">
        <f t="shared" si="59"/>
        <v>1</v>
      </c>
    </row>
    <row r="1876" spans="1:22" x14ac:dyDescent="0.2">
      <c r="A1876" t="s">
        <v>3180</v>
      </c>
      <c r="B1876" t="s">
        <v>43</v>
      </c>
      <c r="C1876" t="s">
        <v>76</v>
      </c>
      <c r="D1876" t="s">
        <v>77</v>
      </c>
      <c r="E1876" s="1" t="s">
        <v>89</v>
      </c>
      <c r="F1876" t="s">
        <v>90</v>
      </c>
      <c r="G1876">
        <v>31</v>
      </c>
      <c r="H1876">
        <v>1059890104</v>
      </c>
      <c r="I1876">
        <v>0</v>
      </c>
      <c r="J1876">
        <v>9</v>
      </c>
      <c r="K1876">
        <v>51</v>
      </c>
      <c r="L1876">
        <v>-1059890104</v>
      </c>
      <c r="M1876">
        <v>1</v>
      </c>
      <c r="N1876">
        <v>0</v>
      </c>
      <c r="O1876" s="1" t="s">
        <v>3181</v>
      </c>
      <c r="P1876">
        <v>0</v>
      </c>
      <c r="Q1876">
        <v>0</v>
      </c>
      <c r="R1876">
        <v>1</v>
      </c>
      <c r="S1876">
        <v>0</v>
      </c>
      <c r="T1876">
        <v>134.31486390000001</v>
      </c>
      <c r="U1876">
        <f t="shared" si="58"/>
        <v>0</v>
      </c>
      <c r="V1876">
        <f t="shared" si="59"/>
        <v>1</v>
      </c>
    </row>
    <row r="1877" spans="1:22" x14ac:dyDescent="0.2">
      <c r="A1877" t="s">
        <v>3180</v>
      </c>
      <c r="B1877" t="s">
        <v>43</v>
      </c>
      <c r="C1877" t="s">
        <v>76</v>
      </c>
      <c r="D1877" t="s">
        <v>77</v>
      </c>
      <c r="E1877" s="1" t="s">
        <v>82</v>
      </c>
      <c r="F1877" t="s">
        <v>83</v>
      </c>
      <c r="G1877">
        <v>10</v>
      </c>
      <c r="H1877">
        <v>107235763</v>
      </c>
      <c r="I1877">
        <v>9274448</v>
      </c>
      <c r="J1877">
        <v>55</v>
      </c>
      <c r="K1877">
        <v>21</v>
      </c>
      <c r="L1877">
        <v>-97961315</v>
      </c>
      <c r="M1877" s="1" t="s">
        <v>3182</v>
      </c>
      <c r="N1877">
        <v>7.9602018744949293E-2</v>
      </c>
      <c r="O1877">
        <v>4.9659111573404302E-2</v>
      </c>
      <c r="P1877">
        <v>0</v>
      </c>
      <c r="Q1877">
        <v>0</v>
      </c>
      <c r="R1877">
        <v>0</v>
      </c>
      <c r="S1877">
        <v>0</v>
      </c>
      <c r="T1877">
        <v>134.31486390000001</v>
      </c>
      <c r="U1877">
        <f t="shared" si="58"/>
        <v>0</v>
      </c>
      <c r="V1877">
        <f t="shared" si="59"/>
        <v>0</v>
      </c>
    </row>
    <row r="1878" spans="1:22" x14ac:dyDescent="0.2">
      <c r="A1878" t="s">
        <v>3180</v>
      </c>
      <c r="B1878" t="s">
        <v>43</v>
      </c>
      <c r="C1878" t="s">
        <v>76</v>
      </c>
      <c r="D1878" t="s">
        <v>77</v>
      </c>
      <c r="E1878">
        <v>15</v>
      </c>
      <c r="F1878" t="s">
        <v>88</v>
      </c>
      <c r="G1878">
        <v>72</v>
      </c>
      <c r="H1878">
        <v>254155610</v>
      </c>
      <c r="I1878">
        <v>6513</v>
      </c>
      <c r="J1878">
        <v>46</v>
      </c>
      <c r="K1878">
        <v>69</v>
      </c>
      <c r="L1878">
        <v>-254149097</v>
      </c>
      <c r="M1878" s="1" t="s">
        <v>3183</v>
      </c>
      <c r="N1878" s="1" t="s">
        <v>3184</v>
      </c>
      <c r="O1878">
        <v>0.108329262435121</v>
      </c>
      <c r="P1878">
        <v>0</v>
      </c>
      <c r="Q1878">
        <v>0</v>
      </c>
      <c r="R1878">
        <v>0</v>
      </c>
      <c r="S1878">
        <v>0</v>
      </c>
      <c r="T1878">
        <v>134.31486390000001</v>
      </c>
      <c r="U1878">
        <f t="shared" si="58"/>
        <v>0</v>
      </c>
      <c r="V1878">
        <f t="shared" si="59"/>
        <v>0</v>
      </c>
    </row>
    <row r="1879" spans="1:22" x14ac:dyDescent="0.2">
      <c r="A1879" t="s">
        <v>3180</v>
      </c>
      <c r="B1879" t="s">
        <v>43</v>
      </c>
      <c r="C1879" t="s">
        <v>76</v>
      </c>
      <c r="D1879" t="s">
        <v>77</v>
      </c>
      <c r="E1879" s="1" t="s">
        <v>99</v>
      </c>
      <c r="F1879" t="s">
        <v>100</v>
      </c>
      <c r="G1879">
        <v>39</v>
      </c>
      <c r="H1879">
        <v>33516657</v>
      </c>
      <c r="I1879">
        <v>55087</v>
      </c>
      <c r="J1879">
        <v>32</v>
      </c>
      <c r="K1879">
        <v>84</v>
      </c>
      <c r="L1879">
        <v>-33461570</v>
      </c>
      <c r="M1879" s="1" t="s">
        <v>3185</v>
      </c>
      <c r="N1879">
        <v>1.64087394446949E-3</v>
      </c>
      <c r="O1879" s="1" t="s">
        <v>3186</v>
      </c>
      <c r="P1879">
        <v>0</v>
      </c>
      <c r="Q1879">
        <v>0</v>
      </c>
      <c r="R1879">
        <v>0</v>
      </c>
      <c r="S1879">
        <v>0</v>
      </c>
      <c r="T1879">
        <v>134.31486390000001</v>
      </c>
      <c r="U1879">
        <f t="shared" si="58"/>
        <v>0</v>
      </c>
      <c r="V1879">
        <f t="shared" si="59"/>
        <v>0</v>
      </c>
    </row>
    <row r="1880" spans="1:22" x14ac:dyDescent="0.2">
      <c r="A1880" t="s">
        <v>3180</v>
      </c>
      <c r="B1880" t="s">
        <v>43</v>
      </c>
      <c r="C1880" t="s">
        <v>76</v>
      </c>
      <c r="D1880" t="s">
        <v>77</v>
      </c>
      <c r="E1880">
        <v>10</v>
      </c>
      <c r="F1880" t="s">
        <v>119</v>
      </c>
      <c r="G1880">
        <v>48</v>
      </c>
      <c r="H1880">
        <v>48995889</v>
      </c>
      <c r="I1880">
        <v>1770</v>
      </c>
      <c r="J1880">
        <v>45</v>
      </c>
      <c r="K1880">
        <v>81</v>
      </c>
      <c r="L1880">
        <v>-48994119</v>
      </c>
      <c r="M1880" s="1" t="s">
        <v>3187</v>
      </c>
      <c r="N1880" s="1" t="s">
        <v>3188</v>
      </c>
      <c r="O1880">
        <v>2.08838366545969E-2</v>
      </c>
      <c r="P1880">
        <v>0</v>
      </c>
      <c r="Q1880">
        <v>0</v>
      </c>
      <c r="R1880">
        <v>0</v>
      </c>
      <c r="S1880">
        <v>0</v>
      </c>
      <c r="T1880">
        <v>134.31486390000001</v>
      </c>
      <c r="U1880">
        <f t="shared" si="58"/>
        <v>0</v>
      </c>
      <c r="V1880">
        <f t="shared" si="59"/>
        <v>0</v>
      </c>
    </row>
    <row r="1881" spans="1:22" x14ac:dyDescent="0.2">
      <c r="A1881" t="s">
        <v>3180</v>
      </c>
      <c r="B1881" t="s">
        <v>43</v>
      </c>
      <c r="C1881" t="s">
        <v>76</v>
      </c>
      <c r="D1881" t="s">
        <v>77</v>
      </c>
      <c r="E1881" s="1" t="s">
        <v>99</v>
      </c>
      <c r="F1881" t="s">
        <v>100</v>
      </c>
      <c r="G1881">
        <v>40</v>
      </c>
      <c r="H1881">
        <v>31773090</v>
      </c>
      <c r="I1881">
        <v>69699</v>
      </c>
      <c r="J1881">
        <v>52</v>
      </c>
      <c r="K1881">
        <v>70</v>
      </c>
      <c r="L1881">
        <v>-31703391</v>
      </c>
      <c r="M1881" s="1" t="s">
        <v>3189</v>
      </c>
      <c r="N1881">
        <v>2.1888472143567501E-3</v>
      </c>
      <c r="O1881" s="1" t="s">
        <v>3190</v>
      </c>
      <c r="P1881">
        <v>0</v>
      </c>
      <c r="Q1881">
        <v>0</v>
      </c>
      <c r="R1881">
        <v>0</v>
      </c>
      <c r="S1881">
        <v>0</v>
      </c>
      <c r="T1881">
        <v>134.31486390000001</v>
      </c>
      <c r="U1881">
        <f t="shared" si="58"/>
        <v>0</v>
      </c>
      <c r="V1881">
        <f t="shared" si="59"/>
        <v>0</v>
      </c>
    </row>
    <row r="1882" spans="1:22" x14ac:dyDescent="0.2">
      <c r="A1882" t="s">
        <v>3180</v>
      </c>
      <c r="B1882" t="s">
        <v>43</v>
      </c>
      <c r="C1882" t="s">
        <v>76</v>
      </c>
      <c r="D1882" t="s">
        <v>77</v>
      </c>
      <c r="E1882" s="1" t="s">
        <v>85</v>
      </c>
      <c r="F1882" t="s">
        <v>86</v>
      </c>
      <c r="G1882">
        <v>25</v>
      </c>
      <c r="H1882">
        <v>9408917</v>
      </c>
      <c r="I1882">
        <v>2437260</v>
      </c>
      <c r="J1882">
        <v>38</v>
      </c>
      <c r="K1882">
        <v>37</v>
      </c>
      <c r="L1882">
        <v>-6971657</v>
      </c>
      <c r="M1882" s="1" t="s">
        <v>3191</v>
      </c>
      <c r="N1882" s="1" t="s">
        <v>3192</v>
      </c>
      <c r="O1882">
        <v>5.0490907218535197E-3</v>
      </c>
      <c r="P1882">
        <v>0</v>
      </c>
      <c r="Q1882">
        <v>0</v>
      </c>
      <c r="R1882">
        <v>0</v>
      </c>
      <c r="S1882">
        <v>0</v>
      </c>
      <c r="T1882">
        <v>134.31486390000001</v>
      </c>
      <c r="U1882">
        <f t="shared" si="58"/>
        <v>0</v>
      </c>
      <c r="V1882">
        <f t="shared" si="59"/>
        <v>0</v>
      </c>
    </row>
    <row r="1883" spans="1:22" x14ac:dyDescent="0.2">
      <c r="A1883" t="s">
        <v>3180</v>
      </c>
      <c r="B1883" t="s">
        <v>43</v>
      </c>
      <c r="C1883" t="s">
        <v>76</v>
      </c>
      <c r="D1883" t="s">
        <v>77</v>
      </c>
      <c r="E1883">
        <v>11</v>
      </c>
      <c r="F1883" t="s">
        <v>127</v>
      </c>
      <c r="G1883">
        <v>54</v>
      </c>
      <c r="H1883">
        <v>3777845</v>
      </c>
      <c r="I1883">
        <v>0</v>
      </c>
      <c r="J1883">
        <v>11</v>
      </c>
      <c r="K1883">
        <v>68</v>
      </c>
      <c r="L1883">
        <v>-3777845</v>
      </c>
      <c r="M1883">
        <v>1</v>
      </c>
      <c r="N1883">
        <v>0</v>
      </c>
      <c r="O1883">
        <v>1.61019729302548E-3</v>
      </c>
      <c r="P1883">
        <v>0</v>
      </c>
      <c r="Q1883">
        <v>0</v>
      </c>
      <c r="R1883">
        <v>0</v>
      </c>
      <c r="S1883">
        <v>0</v>
      </c>
      <c r="T1883">
        <v>134.31486390000001</v>
      </c>
      <c r="U1883">
        <f t="shared" si="58"/>
        <v>0</v>
      </c>
      <c r="V1883">
        <f t="shared" si="59"/>
        <v>0</v>
      </c>
    </row>
    <row r="1884" spans="1:22" x14ac:dyDescent="0.2">
      <c r="A1884" t="s">
        <v>3180</v>
      </c>
      <c r="B1884" t="s">
        <v>43</v>
      </c>
      <c r="C1884" t="s">
        <v>76</v>
      </c>
      <c r="D1884" t="s">
        <v>77</v>
      </c>
      <c r="E1884">
        <v>15</v>
      </c>
      <c r="F1884" t="s">
        <v>88</v>
      </c>
      <c r="G1884">
        <v>82</v>
      </c>
      <c r="H1884">
        <v>8295350</v>
      </c>
      <c r="I1884">
        <v>41665</v>
      </c>
      <c r="J1884">
        <v>21</v>
      </c>
      <c r="K1884">
        <v>70</v>
      </c>
      <c r="L1884">
        <v>-8253685</v>
      </c>
      <c r="M1884" s="1" t="s">
        <v>3193</v>
      </c>
      <c r="N1884">
        <v>4.9975920638261999E-3</v>
      </c>
      <c r="O1884">
        <v>3.5534117955905598E-3</v>
      </c>
      <c r="P1884">
        <v>0</v>
      </c>
      <c r="Q1884">
        <v>0</v>
      </c>
      <c r="R1884">
        <v>0</v>
      </c>
      <c r="S1884">
        <v>0</v>
      </c>
      <c r="T1884">
        <v>134.31486390000001</v>
      </c>
      <c r="U1884">
        <f t="shared" si="58"/>
        <v>0</v>
      </c>
      <c r="V1884">
        <f t="shared" si="59"/>
        <v>0</v>
      </c>
    </row>
    <row r="1885" spans="1:22" x14ac:dyDescent="0.2">
      <c r="A1885" t="s">
        <v>3180</v>
      </c>
      <c r="B1885" t="s">
        <v>43</v>
      </c>
      <c r="C1885" t="s">
        <v>76</v>
      </c>
      <c r="D1885" t="s">
        <v>77</v>
      </c>
      <c r="E1885">
        <v>16</v>
      </c>
      <c r="F1885" t="s">
        <v>95</v>
      </c>
      <c r="G1885">
        <v>85</v>
      </c>
      <c r="H1885">
        <v>12266361</v>
      </c>
      <c r="I1885">
        <v>147784</v>
      </c>
      <c r="J1885">
        <v>66</v>
      </c>
      <c r="K1885">
        <v>88</v>
      </c>
      <c r="L1885">
        <v>-12118577</v>
      </c>
      <c r="M1885" s="1" t="s">
        <v>3194</v>
      </c>
      <c r="N1885">
        <v>1.19044847631472E-2</v>
      </c>
      <c r="O1885">
        <v>5.2911706738169003E-3</v>
      </c>
      <c r="P1885">
        <v>0</v>
      </c>
      <c r="Q1885">
        <v>0</v>
      </c>
      <c r="R1885">
        <v>0</v>
      </c>
      <c r="S1885">
        <v>0</v>
      </c>
      <c r="T1885">
        <v>134.31486390000001</v>
      </c>
      <c r="U1885">
        <f t="shared" si="58"/>
        <v>0</v>
      </c>
      <c r="V1885">
        <f t="shared" si="59"/>
        <v>0</v>
      </c>
    </row>
    <row r="1886" spans="1:22" x14ac:dyDescent="0.2">
      <c r="A1886" t="s">
        <v>3180</v>
      </c>
      <c r="B1886" t="s">
        <v>43</v>
      </c>
      <c r="C1886" t="s">
        <v>76</v>
      </c>
      <c r="D1886" t="s">
        <v>77</v>
      </c>
      <c r="E1886" s="1" t="s">
        <v>89</v>
      </c>
      <c r="F1886" t="s">
        <v>90</v>
      </c>
      <c r="G1886">
        <v>28</v>
      </c>
      <c r="H1886">
        <v>45048901</v>
      </c>
      <c r="I1886">
        <v>1506130</v>
      </c>
      <c r="J1886">
        <v>43</v>
      </c>
      <c r="K1886">
        <v>55</v>
      </c>
      <c r="L1886">
        <v>-43542771</v>
      </c>
      <c r="M1886" s="1" t="s">
        <v>3195</v>
      </c>
      <c r="N1886">
        <v>3.2351605565465097E-2</v>
      </c>
      <c r="O1886" s="1" t="s">
        <v>3196</v>
      </c>
      <c r="P1886">
        <v>0</v>
      </c>
      <c r="Q1886">
        <v>0</v>
      </c>
      <c r="R1886">
        <v>0</v>
      </c>
      <c r="S1886">
        <v>0</v>
      </c>
      <c r="T1886">
        <v>134.31486390000001</v>
      </c>
      <c r="U1886">
        <f t="shared" si="58"/>
        <v>0</v>
      </c>
      <c r="V1886">
        <f t="shared" si="59"/>
        <v>0</v>
      </c>
    </row>
    <row r="1887" spans="1:22" x14ac:dyDescent="0.2">
      <c r="A1887" t="s">
        <v>3180</v>
      </c>
      <c r="B1887" t="s">
        <v>43</v>
      </c>
      <c r="C1887" t="s">
        <v>76</v>
      </c>
      <c r="D1887" t="s">
        <v>77</v>
      </c>
      <c r="E1887" s="1" t="s">
        <v>89</v>
      </c>
      <c r="F1887" t="s">
        <v>90</v>
      </c>
      <c r="G1887">
        <v>34</v>
      </c>
      <c r="H1887">
        <v>3114094</v>
      </c>
      <c r="I1887">
        <v>55</v>
      </c>
      <c r="J1887">
        <v>34</v>
      </c>
      <c r="K1887">
        <v>84</v>
      </c>
      <c r="L1887">
        <v>-3114039</v>
      </c>
      <c r="M1887" s="1" t="s">
        <v>3197</v>
      </c>
      <c r="N1887" s="1" t="s">
        <v>3198</v>
      </c>
      <c r="O1887">
        <v>1.32731604654982E-3</v>
      </c>
      <c r="P1887">
        <v>0</v>
      </c>
      <c r="Q1887">
        <v>0</v>
      </c>
      <c r="R1887">
        <v>0</v>
      </c>
      <c r="S1887">
        <v>0</v>
      </c>
      <c r="T1887">
        <v>134.31486390000001</v>
      </c>
      <c r="U1887">
        <f t="shared" si="58"/>
        <v>0</v>
      </c>
      <c r="V1887">
        <f t="shared" si="59"/>
        <v>0</v>
      </c>
    </row>
    <row r="1888" spans="1:22" x14ac:dyDescent="0.2">
      <c r="A1888" t="s">
        <v>3180</v>
      </c>
      <c r="B1888" t="s">
        <v>43</v>
      </c>
      <c r="C1888" t="s">
        <v>76</v>
      </c>
      <c r="D1888" t="s">
        <v>77</v>
      </c>
      <c r="E1888">
        <v>16</v>
      </c>
      <c r="F1888" t="s">
        <v>95</v>
      </c>
      <c r="G1888">
        <v>84</v>
      </c>
      <c r="H1888">
        <v>6120411</v>
      </c>
      <c r="I1888">
        <v>4274972</v>
      </c>
      <c r="J1888">
        <v>73</v>
      </c>
      <c r="K1888">
        <v>68</v>
      </c>
      <c r="L1888">
        <v>-1845439</v>
      </c>
      <c r="M1888" s="1" t="s">
        <v>3199</v>
      </c>
      <c r="N1888" s="1" t="s">
        <v>3200</v>
      </c>
      <c r="O1888">
        <v>4.4307316913645501E-3</v>
      </c>
      <c r="P1888">
        <v>0</v>
      </c>
      <c r="Q1888">
        <v>0</v>
      </c>
      <c r="R1888">
        <v>0</v>
      </c>
      <c r="S1888">
        <v>0</v>
      </c>
      <c r="T1888">
        <v>134.31486390000001</v>
      </c>
      <c r="U1888">
        <f t="shared" si="58"/>
        <v>0</v>
      </c>
      <c r="V1888">
        <f t="shared" si="59"/>
        <v>0</v>
      </c>
    </row>
    <row r="1889" spans="1:22" x14ac:dyDescent="0.2">
      <c r="A1889" t="s">
        <v>3180</v>
      </c>
      <c r="B1889" t="s">
        <v>43</v>
      </c>
      <c r="C1889" t="s">
        <v>76</v>
      </c>
      <c r="D1889" t="s">
        <v>77</v>
      </c>
      <c r="E1889">
        <v>17</v>
      </c>
      <c r="F1889" t="s">
        <v>97</v>
      </c>
      <c r="G1889">
        <v>87</v>
      </c>
      <c r="H1889">
        <v>4418700</v>
      </c>
      <c r="I1889">
        <v>224000</v>
      </c>
      <c r="J1889">
        <v>65</v>
      </c>
      <c r="K1889">
        <v>73</v>
      </c>
      <c r="L1889">
        <v>-4194700</v>
      </c>
      <c r="M1889" s="1" t="s">
        <v>3201</v>
      </c>
      <c r="N1889">
        <v>4.8247786848170202E-2</v>
      </c>
      <c r="O1889">
        <v>1.9788167519655801E-3</v>
      </c>
      <c r="P1889">
        <v>0</v>
      </c>
      <c r="Q1889">
        <v>0</v>
      </c>
      <c r="R1889">
        <v>0</v>
      </c>
      <c r="S1889">
        <v>0</v>
      </c>
      <c r="T1889">
        <v>134.31486390000001</v>
      </c>
      <c r="U1889">
        <f t="shared" si="58"/>
        <v>0</v>
      </c>
      <c r="V1889">
        <f t="shared" si="59"/>
        <v>0</v>
      </c>
    </row>
    <row r="1890" spans="1:22" x14ac:dyDescent="0.2">
      <c r="A1890" t="s">
        <v>3180</v>
      </c>
      <c r="B1890" t="s">
        <v>43</v>
      </c>
      <c r="C1890" t="s">
        <v>76</v>
      </c>
      <c r="D1890" t="s">
        <v>77</v>
      </c>
      <c r="E1890">
        <v>15</v>
      </c>
      <c r="F1890" t="s">
        <v>88</v>
      </c>
      <c r="G1890">
        <v>76</v>
      </c>
      <c r="H1890">
        <v>5465586</v>
      </c>
      <c r="I1890">
        <v>101</v>
      </c>
      <c r="J1890">
        <v>72</v>
      </c>
      <c r="K1890">
        <v>88</v>
      </c>
      <c r="L1890">
        <v>-5465485</v>
      </c>
      <c r="M1890">
        <v>0.99998152107868599</v>
      </c>
      <c r="N1890" s="1" t="s">
        <v>3202</v>
      </c>
      <c r="O1890">
        <v>2.3295911854309898E-3</v>
      </c>
      <c r="P1890">
        <v>0</v>
      </c>
      <c r="Q1890">
        <v>0</v>
      </c>
      <c r="R1890">
        <v>0</v>
      </c>
      <c r="S1890">
        <v>0</v>
      </c>
      <c r="T1890">
        <v>134.31486390000001</v>
      </c>
      <c r="U1890">
        <f t="shared" si="58"/>
        <v>0</v>
      </c>
      <c r="V1890">
        <f t="shared" si="59"/>
        <v>0</v>
      </c>
    </row>
    <row r="1891" spans="1:22" x14ac:dyDescent="0.2">
      <c r="A1891" t="s">
        <v>3180</v>
      </c>
      <c r="B1891" t="s">
        <v>43</v>
      </c>
      <c r="C1891" t="s">
        <v>76</v>
      </c>
      <c r="D1891" t="s">
        <v>77</v>
      </c>
      <c r="E1891">
        <v>17</v>
      </c>
      <c r="F1891" t="s">
        <v>97</v>
      </c>
      <c r="G1891">
        <v>88</v>
      </c>
      <c r="H1891">
        <v>10349611</v>
      </c>
      <c r="I1891">
        <v>8900</v>
      </c>
      <c r="J1891">
        <v>39</v>
      </c>
      <c r="K1891">
        <v>76</v>
      </c>
      <c r="L1891">
        <v>-10340711</v>
      </c>
      <c r="M1891" s="1" t="s">
        <v>3203</v>
      </c>
      <c r="N1891" s="1" t="s">
        <v>3204</v>
      </c>
      <c r="O1891">
        <v>4.4150160665603396E-3</v>
      </c>
      <c r="P1891">
        <v>0</v>
      </c>
      <c r="Q1891">
        <v>0</v>
      </c>
      <c r="R1891">
        <v>0</v>
      </c>
      <c r="S1891">
        <v>0</v>
      </c>
      <c r="T1891">
        <v>134.31486390000001</v>
      </c>
      <c r="U1891">
        <f t="shared" si="58"/>
        <v>0</v>
      </c>
      <c r="V1891">
        <f t="shared" si="59"/>
        <v>0</v>
      </c>
    </row>
    <row r="1892" spans="1:22" x14ac:dyDescent="0.2">
      <c r="A1892" t="s">
        <v>3180</v>
      </c>
      <c r="B1892" t="s">
        <v>43</v>
      </c>
      <c r="C1892" t="s">
        <v>76</v>
      </c>
      <c r="D1892" t="s">
        <v>77</v>
      </c>
      <c r="E1892">
        <v>15</v>
      </c>
      <c r="F1892" t="s">
        <v>88</v>
      </c>
      <c r="G1892">
        <v>78</v>
      </c>
      <c r="H1892">
        <v>2716414</v>
      </c>
      <c r="I1892">
        <v>4000</v>
      </c>
      <c r="J1892">
        <v>27</v>
      </c>
      <c r="K1892">
        <v>32</v>
      </c>
      <c r="L1892">
        <v>-2712414</v>
      </c>
      <c r="M1892" s="1" t="s">
        <v>3205</v>
      </c>
      <c r="N1892">
        <v>1.47036443717757E-3</v>
      </c>
      <c r="O1892">
        <v>1.1594978774165201E-3</v>
      </c>
      <c r="P1892">
        <v>0</v>
      </c>
      <c r="Q1892">
        <v>0</v>
      </c>
      <c r="R1892">
        <v>0</v>
      </c>
      <c r="S1892">
        <v>0</v>
      </c>
      <c r="T1892">
        <v>134.31486390000001</v>
      </c>
      <c r="U1892">
        <f t="shared" si="58"/>
        <v>0</v>
      </c>
      <c r="V1892">
        <f t="shared" si="59"/>
        <v>0</v>
      </c>
    </row>
    <row r="1893" spans="1:22" x14ac:dyDescent="0.2">
      <c r="A1893" t="s">
        <v>3180</v>
      </c>
      <c r="B1893" t="s">
        <v>43</v>
      </c>
      <c r="C1893" t="s">
        <v>76</v>
      </c>
      <c r="D1893" t="s">
        <v>77</v>
      </c>
      <c r="E1893" s="1" t="s">
        <v>89</v>
      </c>
      <c r="F1893" t="s">
        <v>90</v>
      </c>
      <c r="G1893">
        <v>29</v>
      </c>
      <c r="H1893">
        <v>15650239</v>
      </c>
      <c r="I1893">
        <v>128</v>
      </c>
      <c r="J1893">
        <v>53</v>
      </c>
      <c r="K1893">
        <v>76</v>
      </c>
      <c r="L1893">
        <v>-15650111</v>
      </c>
      <c r="M1893">
        <v>0.99999182127805697</v>
      </c>
      <c r="N1893" s="1" t="s">
        <v>3206</v>
      </c>
      <c r="O1893">
        <v>6.6705168100478799E-3</v>
      </c>
      <c r="P1893">
        <v>0</v>
      </c>
      <c r="Q1893">
        <v>0</v>
      </c>
      <c r="R1893">
        <v>0</v>
      </c>
      <c r="S1893">
        <v>0</v>
      </c>
      <c r="T1893">
        <v>134.31486390000001</v>
      </c>
      <c r="U1893">
        <f t="shared" si="58"/>
        <v>0</v>
      </c>
      <c r="V1893">
        <f t="shared" si="59"/>
        <v>0</v>
      </c>
    </row>
    <row r="1894" spans="1:22" x14ac:dyDescent="0.2">
      <c r="A1894" t="s">
        <v>3180</v>
      </c>
      <c r="B1894" t="s">
        <v>43</v>
      </c>
      <c r="C1894" t="s">
        <v>76</v>
      </c>
      <c r="D1894" t="s">
        <v>77</v>
      </c>
      <c r="E1894" s="1" t="s">
        <v>89</v>
      </c>
      <c r="F1894" t="s">
        <v>90</v>
      </c>
      <c r="G1894">
        <v>33</v>
      </c>
      <c r="H1894">
        <v>3135349</v>
      </c>
      <c r="I1894">
        <v>220245</v>
      </c>
      <c r="J1894">
        <v>45</v>
      </c>
      <c r="K1894">
        <v>66</v>
      </c>
      <c r="L1894">
        <v>-2915104</v>
      </c>
      <c r="M1894" s="1" t="s">
        <v>3207</v>
      </c>
      <c r="N1894">
        <v>6.5635175173158603E-2</v>
      </c>
      <c r="O1894">
        <v>1.43022500269136E-3</v>
      </c>
      <c r="P1894">
        <v>0</v>
      </c>
      <c r="Q1894">
        <v>0</v>
      </c>
      <c r="R1894">
        <v>0</v>
      </c>
      <c r="S1894">
        <v>0</v>
      </c>
      <c r="T1894">
        <v>134.31486390000001</v>
      </c>
      <c r="U1894">
        <f t="shared" si="58"/>
        <v>0</v>
      </c>
      <c r="V1894">
        <f t="shared" si="59"/>
        <v>0</v>
      </c>
    </row>
    <row r="1895" spans="1:22" x14ac:dyDescent="0.2">
      <c r="A1895" t="s">
        <v>3180</v>
      </c>
      <c r="B1895" t="s">
        <v>43</v>
      </c>
      <c r="C1895" t="s">
        <v>76</v>
      </c>
      <c r="D1895" t="s">
        <v>77</v>
      </c>
      <c r="E1895" s="1" t="s">
        <v>93</v>
      </c>
      <c r="F1895" t="s">
        <v>94</v>
      </c>
      <c r="G1895">
        <v>44</v>
      </c>
      <c r="H1895">
        <v>7811004</v>
      </c>
      <c r="I1895">
        <v>1277647</v>
      </c>
      <c r="J1895">
        <v>75</v>
      </c>
      <c r="K1895">
        <v>43</v>
      </c>
      <c r="L1895">
        <v>-6533357</v>
      </c>
      <c r="M1895" s="1" t="s">
        <v>3208</v>
      </c>
      <c r="N1895" s="1" t="s">
        <v>3209</v>
      </c>
      <c r="O1895">
        <v>3.8737749265661601E-3</v>
      </c>
      <c r="P1895">
        <v>0</v>
      </c>
      <c r="Q1895">
        <v>0</v>
      </c>
      <c r="R1895">
        <v>0</v>
      </c>
      <c r="S1895">
        <v>0</v>
      </c>
      <c r="T1895">
        <v>134.31486390000001</v>
      </c>
      <c r="U1895">
        <f t="shared" si="58"/>
        <v>0</v>
      </c>
      <c r="V1895">
        <f t="shared" si="59"/>
        <v>0</v>
      </c>
    </row>
    <row r="1896" spans="1:22" x14ac:dyDescent="0.2">
      <c r="A1896" t="s">
        <v>3180</v>
      </c>
      <c r="B1896" t="s">
        <v>43</v>
      </c>
      <c r="C1896" t="s">
        <v>76</v>
      </c>
      <c r="D1896" t="s">
        <v>77</v>
      </c>
      <c r="E1896">
        <v>15</v>
      </c>
      <c r="F1896" t="s">
        <v>88</v>
      </c>
      <c r="G1896">
        <v>75</v>
      </c>
      <c r="H1896">
        <v>2107456</v>
      </c>
      <c r="I1896">
        <v>0</v>
      </c>
      <c r="J1896">
        <v>38</v>
      </c>
      <c r="K1896">
        <v>52</v>
      </c>
      <c r="L1896">
        <v>-2107456</v>
      </c>
      <c r="M1896">
        <v>1</v>
      </c>
      <c r="N1896">
        <v>0</v>
      </c>
      <c r="O1896" s="1" t="s">
        <v>3210</v>
      </c>
      <c r="P1896">
        <v>0</v>
      </c>
      <c r="Q1896">
        <v>0</v>
      </c>
      <c r="R1896">
        <v>0</v>
      </c>
      <c r="S1896">
        <v>0</v>
      </c>
      <c r="T1896">
        <v>134.31486390000001</v>
      </c>
      <c r="U1896">
        <f t="shared" si="58"/>
        <v>0</v>
      </c>
      <c r="V1896">
        <f t="shared" si="59"/>
        <v>0</v>
      </c>
    </row>
    <row r="1897" spans="1:22" x14ac:dyDescent="0.2">
      <c r="A1897" t="s">
        <v>3180</v>
      </c>
      <c r="B1897" t="s">
        <v>43</v>
      </c>
      <c r="C1897" t="s">
        <v>76</v>
      </c>
      <c r="D1897" t="s">
        <v>77</v>
      </c>
      <c r="E1897">
        <v>18</v>
      </c>
      <c r="F1897" t="s">
        <v>147</v>
      </c>
      <c r="G1897">
        <v>90</v>
      </c>
      <c r="H1897">
        <v>3158001</v>
      </c>
      <c r="I1897">
        <v>327219</v>
      </c>
      <c r="J1897">
        <v>68</v>
      </c>
      <c r="K1897">
        <v>77</v>
      </c>
      <c r="L1897">
        <v>-2830782</v>
      </c>
      <c r="M1897" s="1" t="s">
        <v>3211</v>
      </c>
      <c r="N1897">
        <v>9.3887616850586095E-2</v>
      </c>
      <c r="O1897">
        <v>1.48547434042377E-3</v>
      </c>
      <c r="P1897">
        <v>0</v>
      </c>
      <c r="Q1897">
        <v>0</v>
      </c>
      <c r="R1897">
        <v>0</v>
      </c>
      <c r="S1897">
        <v>0</v>
      </c>
      <c r="T1897">
        <v>134.31486390000001</v>
      </c>
      <c r="U1897">
        <f t="shared" si="58"/>
        <v>0</v>
      </c>
      <c r="V1897">
        <f t="shared" si="59"/>
        <v>0</v>
      </c>
    </row>
    <row r="1898" spans="1:22" x14ac:dyDescent="0.2">
      <c r="A1898" t="s">
        <v>3180</v>
      </c>
      <c r="B1898" t="s">
        <v>43</v>
      </c>
      <c r="C1898" t="s">
        <v>76</v>
      </c>
      <c r="D1898" t="s">
        <v>77</v>
      </c>
      <c r="E1898">
        <v>13</v>
      </c>
      <c r="F1898" t="s">
        <v>91</v>
      </c>
      <c r="G1898">
        <v>69</v>
      </c>
      <c r="H1898">
        <v>591434</v>
      </c>
      <c r="I1898">
        <v>55307</v>
      </c>
      <c r="J1898">
        <v>43</v>
      </c>
      <c r="K1898">
        <v>64</v>
      </c>
      <c r="L1898">
        <v>-536127</v>
      </c>
      <c r="M1898">
        <v>0.91448354132488896</v>
      </c>
      <c r="N1898">
        <v>8.5516458675110998E-2</v>
      </c>
      <c r="O1898" s="1" t="s">
        <v>3212</v>
      </c>
      <c r="P1898">
        <v>0</v>
      </c>
      <c r="Q1898">
        <v>0</v>
      </c>
      <c r="R1898">
        <v>0</v>
      </c>
      <c r="S1898">
        <v>0</v>
      </c>
      <c r="T1898">
        <v>134.31486390000001</v>
      </c>
      <c r="U1898">
        <f t="shared" si="58"/>
        <v>0</v>
      </c>
      <c r="V1898">
        <f t="shared" si="59"/>
        <v>0</v>
      </c>
    </row>
    <row r="1899" spans="1:22" x14ac:dyDescent="0.2">
      <c r="A1899" t="s">
        <v>3180</v>
      </c>
      <c r="B1899" t="s">
        <v>43</v>
      </c>
      <c r="C1899" t="s">
        <v>76</v>
      </c>
      <c r="D1899" t="s">
        <v>77</v>
      </c>
      <c r="E1899" s="1" t="s">
        <v>85</v>
      </c>
      <c r="F1899" t="s">
        <v>86</v>
      </c>
      <c r="G1899">
        <v>27</v>
      </c>
      <c r="H1899">
        <v>2765705</v>
      </c>
      <c r="I1899">
        <v>604476</v>
      </c>
      <c r="J1899">
        <v>114</v>
      </c>
      <c r="K1899">
        <v>57</v>
      </c>
      <c r="L1899">
        <v>-2161229</v>
      </c>
      <c r="M1899" s="1" t="s">
        <v>3213</v>
      </c>
      <c r="N1899" s="1" t="s">
        <v>3214</v>
      </c>
      <c r="O1899">
        <v>1.43644229003728E-3</v>
      </c>
      <c r="P1899">
        <v>0</v>
      </c>
      <c r="Q1899">
        <v>0</v>
      </c>
      <c r="R1899">
        <v>0</v>
      </c>
      <c r="S1899">
        <v>0</v>
      </c>
      <c r="T1899">
        <v>134.31486390000001</v>
      </c>
      <c r="U1899">
        <f t="shared" si="58"/>
        <v>0</v>
      </c>
      <c r="V1899">
        <f t="shared" si="59"/>
        <v>0</v>
      </c>
    </row>
    <row r="1900" spans="1:22" x14ac:dyDescent="0.2">
      <c r="A1900" t="s">
        <v>3180</v>
      </c>
      <c r="B1900" t="s">
        <v>43</v>
      </c>
      <c r="C1900" t="s">
        <v>76</v>
      </c>
      <c r="D1900" t="s">
        <v>77</v>
      </c>
      <c r="E1900">
        <v>10</v>
      </c>
      <c r="F1900" t="s">
        <v>119</v>
      </c>
      <c r="G1900">
        <v>49</v>
      </c>
      <c r="H1900">
        <v>149093</v>
      </c>
      <c r="I1900">
        <v>766</v>
      </c>
      <c r="J1900">
        <v>64</v>
      </c>
      <c r="K1900">
        <v>84</v>
      </c>
      <c r="L1900">
        <v>-148327</v>
      </c>
      <c r="M1900" s="1" t="s">
        <v>3215</v>
      </c>
      <c r="N1900">
        <v>5.1114714498295003E-3</v>
      </c>
      <c r="O1900" s="1" t="s">
        <v>3216</v>
      </c>
      <c r="P1900">
        <v>0</v>
      </c>
      <c r="Q1900">
        <v>0</v>
      </c>
      <c r="R1900">
        <v>0</v>
      </c>
      <c r="S1900">
        <v>0</v>
      </c>
      <c r="T1900">
        <v>134.31486390000001</v>
      </c>
      <c r="U1900">
        <f t="shared" si="58"/>
        <v>0</v>
      </c>
      <c r="V1900">
        <f t="shared" si="59"/>
        <v>0</v>
      </c>
    </row>
    <row r="1901" spans="1:22" x14ac:dyDescent="0.2">
      <c r="A1901" t="s">
        <v>3180</v>
      </c>
      <c r="B1901" t="s">
        <v>43</v>
      </c>
      <c r="C1901" t="s">
        <v>76</v>
      </c>
      <c r="D1901" t="s">
        <v>77</v>
      </c>
      <c r="E1901" s="1" t="s">
        <v>89</v>
      </c>
      <c r="F1901" t="s">
        <v>90</v>
      </c>
      <c r="G1901">
        <v>38</v>
      </c>
      <c r="H1901">
        <v>926717</v>
      </c>
      <c r="I1901">
        <v>82279</v>
      </c>
      <c r="J1901">
        <v>80</v>
      </c>
      <c r="K1901">
        <v>71</v>
      </c>
      <c r="L1901">
        <v>-844438</v>
      </c>
      <c r="M1901" s="1" t="s">
        <v>3217</v>
      </c>
      <c r="N1901">
        <v>8.1545417424846001E-2</v>
      </c>
      <c r="O1901" s="1" t="s">
        <v>3218</v>
      </c>
      <c r="P1901">
        <v>0</v>
      </c>
      <c r="Q1901">
        <v>0</v>
      </c>
      <c r="R1901">
        <v>0</v>
      </c>
      <c r="S1901">
        <v>0</v>
      </c>
      <c r="T1901">
        <v>134.31486390000001</v>
      </c>
      <c r="U1901">
        <f t="shared" si="58"/>
        <v>0</v>
      </c>
      <c r="V1901">
        <f t="shared" si="59"/>
        <v>0</v>
      </c>
    </row>
    <row r="1902" spans="1:22" x14ac:dyDescent="0.2">
      <c r="A1902" t="s">
        <v>3180</v>
      </c>
      <c r="B1902" t="s">
        <v>43</v>
      </c>
      <c r="C1902" t="s">
        <v>76</v>
      </c>
      <c r="D1902" t="s">
        <v>77</v>
      </c>
      <c r="E1902">
        <v>13</v>
      </c>
      <c r="F1902" t="s">
        <v>91</v>
      </c>
      <c r="G1902">
        <v>70</v>
      </c>
      <c r="H1902">
        <v>1088465</v>
      </c>
      <c r="I1902">
        <v>0</v>
      </c>
      <c r="J1902">
        <v>63</v>
      </c>
      <c r="K1902">
        <v>88</v>
      </c>
      <c r="L1902">
        <v>-1088465</v>
      </c>
      <c r="M1902">
        <v>1</v>
      </c>
      <c r="N1902">
        <v>0</v>
      </c>
      <c r="O1902" s="1" t="s">
        <v>3219</v>
      </c>
      <c r="P1902">
        <v>0</v>
      </c>
      <c r="Q1902">
        <v>0</v>
      </c>
      <c r="R1902">
        <v>0</v>
      </c>
      <c r="S1902">
        <v>0</v>
      </c>
      <c r="T1902">
        <v>134.31486390000001</v>
      </c>
      <c r="U1902">
        <f t="shared" si="58"/>
        <v>0</v>
      </c>
      <c r="V1902">
        <f t="shared" si="59"/>
        <v>0</v>
      </c>
    </row>
    <row r="1903" spans="1:22" x14ac:dyDescent="0.2">
      <c r="A1903" t="s">
        <v>3180</v>
      </c>
      <c r="B1903" t="s">
        <v>43</v>
      </c>
      <c r="C1903" t="s">
        <v>76</v>
      </c>
      <c r="D1903" t="s">
        <v>77</v>
      </c>
      <c r="E1903" s="1" t="s">
        <v>138</v>
      </c>
      <c r="F1903" t="s">
        <v>139</v>
      </c>
      <c r="G1903">
        <v>22</v>
      </c>
      <c r="H1903">
        <v>121565</v>
      </c>
      <c r="I1903">
        <v>1819</v>
      </c>
      <c r="J1903">
        <v>101</v>
      </c>
      <c r="K1903">
        <v>86</v>
      </c>
      <c r="L1903">
        <v>-119746</v>
      </c>
      <c r="M1903" s="1" t="s">
        <v>3220</v>
      </c>
      <c r="N1903" s="1" t="s">
        <v>3221</v>
      </c>
      <c r="O1903" s="1" t="s">
        <v>3222</v>
      </c>
      <c r="P1903">
        <v>0</v>
      </c>
      <c r="Q1903">
        <v>0</v>
      </c>
      <c r="R1903">
        <v>0</v>
      </c>
      <c r="S1903">
        <v>0</v>
      </c>
      <c r="T1903">
        <v>134.31486390000001</v>
      </c>
      <c r="U1903">
        <f t="shared" si="58"/>
        <v>0</v>
      </c>
      <c r="V1903">
        <f t="shared" si="59"/>
        <v>0</v>
      </c>
    </row>
    <row r="1904" spans="1:22" x14ac:dyDescent="0.2">
      <c r="A1904" t="s">
        <v>3180</v>
      </c>
      <c r="B1904" t="s">
        <v>43</v>
      </c>
      <c r="C1904" t="s">
        <v>76</v>
      </c>
      <c r="D1904" t="s">
        <v>77</v>
      </c>
      <c r="E1904" s="1" t="s">
        <v>138</v>
      </c>
      <c r="F1904" t="s">
        <v>139</v>
      </c>
      <c r="G1904">
        <v>18</v>
      </c>
      <c r="H1904">
        <v>90538</v>
      </c>
      <c r="I1904">
        <v>942641</v>
      </c>
      <c r="J1904">
        <v>66</v>
      </c>
      <c r="K1904">
        <v>46</v>
      </c>
      <c r="L1904">
        <v>852103</v>
      </c>
      <c r="M1904">
        <v>8.7630507395136698E-2</v>
      </c>
      <c r="N1904" s="1" t="s">
        <v>3223</v>
      </c>
      <c r="O1904" s="1" t="s">
        <v>3224</v>
      </c>
      <c r="P1904">
        <v>0</v>
      </c>
      <c r="Q1904">
        <v>0</v>
      </c>
      <c r="R1904">
        <v>0</v>
      </c>
      <c r="S1904">
        <v>0</v>
      </c>
      <c r="T1904">
        <v>134.31486390000001</v>
      </c>
      <c r="U1904">
        <f t="shared" si="58"/>
        <v>0</v>
      </c>
      <c r="V1904">
        <f t="shared" si="59"/>
        <v>0</v>
      </c>
    </row>
    <row r="1905" spans="1:22" x14ac:dyDescent="0.2">
      <c r="A1905" t="s">
        <v>3180</v>
      </c>
      <c r="B1905" t="s">
        <v>43</v>
      </c>
      <c r="C1905" t="s">
        <v>76</v>
      </c>
      <c r="D1905" t="s">
        <v>77</v>
      </c>
      <c r="E1905" s="1" t="s">
        <v>89</v>
      </c>
      <c r="F1905" t="s">
        <v>90</v>
      </c>
      <c r="G1905">
        <v>30</v>
      </c>
      <c r="H1905">
        <v>21069</v>
      </c>
      <c r="I1905">
        <v>513635</v>
      </c>
      <c r="J1905">
        <v>118</v>
      </c>
      <c r="K1905">
        <v>66</v>
      </c>
      <c r="L1905">
        <v>492566</v>
      </c>
      <c r="M1905">
        <v>3.94031090098447E-2</v>
      </c>
      <c r="N1905" s="1" t="s">
        <v>3225</v>
      </c>
      <c r="O1905" s="1" t="s">
        <v>3226</v>
      </c>
      <c r="P1905">
        <v>0</v>
      </c>
      <c r="Q1905">
        <v>0</v>
      </c>
      <c r="R1905">
        <v>0</v>
      </c>
      <c r="S1905">
        <v>0</v>
      </c>
      <c r="T1905">
        <v>134.31486390000001</v>
      </c>
      <c r="U1905">
        <f t="shared" si="58"/>
        <v>0</v>
      </c>
      <c r="V1905">
        <f t="shared" si="59"/>
        <v>0</v>
      </c>
    </row>
    <row r="1906" spans="1:22" x14ac:dyDescent="0.2">
      <c r="A1906" t="s">
        <v>3180</v>
      </c>
      <c r="B1906" t="s">
        <v>43</v>
      </c>
      <c r="C1906" t="s">
        <v>76</v>
      </c>
      <c r="D1906" t="s">
        <v>77</v>
      </c>
      <c r="E1906">
        <v>15</v>
      </c>
      <c r="F1906" t="s">
        <v>88</v>
      </c>
      <c r="G1906">
        <v>73</v>
      </c>
      <c r="H1906">
        <v>908360</v>
      </c>
      <c r="I1906">
        <v>865356</v>
      </c>
      <c r="J1906">
        <v>83</v>
      </c>
      <c r="K1906">
        <v>64</v>
      </c>
      <c r="L1906">
        <v>-43004</v>
      </c>
      <c r="M1906" s="1" t="s">
        <v>3227</v>
      </c>
      <c r="N1906" s="1" t="s">
        <v>3228</v>
      </c>
      <c r="O1906" s="1" t="s">
        <v>3229</v>
      </c>
      <c r="P1906">
        <v>0</v>
      </c>
      <c r="Q1906">
        <v>0</v>
      </c>
      <c r="R1906">
        <v>0</v>
      </c>
      <c r="S1906">
        <v>0</v>
      </c>
      <c r="T1906">
        <v>134.31486390000001</v>
      </c>
      <c r="U1906">
        <f t="shared" si="58"/>
        <v>0</v>
      </c>
      <c r="V1906">
        <f t="shared" si="59"/>
        <v>0</v>
      </c>
    </row>
    <row r="1907" spans="1:22" x14ac:dyDescent="0.2">
      <c r="A1907" t="s">
        <v>3180</v>
      </c>
      <c r="B1907" t="s">
        <v>43</v>
      </c>
      <c r="C1907" t="s">
        <v>76</v>
      </c>
      <c r="D1907" t="s">
        <v>77</v>
      </c>
      <c r="E1907">
        <v>11</v>
      </c>
      <c r="F1907" t="s">
        <v>127</v>
      </c>
      <c r="G1907">
        <v>63</v>
      </c>
      <c r="H1907">
        <v>92529</v>
      </c>
      <c r="I1907">
        <v>243914</v>
      </c>
      <c r="J1907">
        <v>66</v>
      </c>
      <c r="K1907">
        <v>60</v>
      </c>
      <c r="L1907">
        <v>151385</v>
      </c>
      <c r="M1907" s="1" t="s">
        <v>3230</v>
      </c>
      <c r="N1907" s="1" t="s">
        <v>3231</v>
      </c>
      <c r="O1907" s="1" t="s">
        <v>3232</v>
      </c>
      <c r="P1907">
        <v>0</v>
      </c>
      <c r="Q1907">
        <v>0</v>
      </c>
      <c r="R1907">
        <v>0</v>
      </c>
      <c r="S1907">
        <v>0</v>
      </c>
      <c r="T1907">
        <v>134.31486390000001</v>
      </c>
      <c r="U1907">
        <f t="shared" si="58"/>
        <v>0</v>
      </c>
      <c r="V1907">
        <f t="shared" si="59"/>
        <v>0</v>
      </c>
    </row>
    <row r="1908" spans="1:22" x14ac:dyDescent="0.2">
      <c r="A1908" t="s">
        <v>3180</v>
      </c>
      <c r="B1908" t="s">
        <v>43</v>
      </c>
      <c r="C1908" t="s">
        <v>76</v>
      </c>
      <c r="D1908" t="s">
        <v>77</v>
      </c>
      <c r="E1908" s="1" t="s">
        <v>89</v>
      </c>
      <c r="F1908" t="s">
        <v>90</v>
      </c>
      <c r="G1908">
        <v>36</v>
      </c>
      <c r="H1908">
        <v>46874</v>
      </c>
      <c r="I1908">
        <v>0</v>
      </c>
      <c r="J1908">
        <v>50</v>
      </c>
      <c r="K1908">
        <v>37</v>
      </c>
      <c r="L1908">
        <v>-46874</v>
      </c>
      <c r="M1908">
        <v>1</v>
      </c>
      <c r="N1908">
        <v>0</v>
      </c>
      <c r="O1908" s="1" t="s">
        <v>3233</v>
      </c>
      <c r="P1908">
        <v>0</v>
      </c>
      <c r="Q1908">
        <v>0</v>
      </c>
      <c r="R1908">
        <v>0</v>
      </c>
      <c r="S1908">
        <v>0</v>
      </c>
      <c r="T1908">
        <v>134.31486390000001</v>
      </c>
      <c r="U1908">
        <f t="shared" si="58"/>
        <v>0</v>
      </c>
      <c r="V1908">
        <f t="shared" si="59"/>
        <v>0</v>
      </c>
    </row>
    <row r="1909" spans="1:22" x14ac:dyDescent="0.2">
      <c r="A1909" t="s">
        <v>3180</v>
      </c>
      <c r="B1909" t="s">
        <v>43</v>
      </c>
      <c r="C1909" t="s">
        <v>76</v>
      </c>
      <c r="D1909" t="s">
        <v>77</v>
      </c>
      <c r="E1909" s="1" t="s">
        <v>89</v>
      </c>
      <c r="F1909" t="s">
        <v>90</v>
      </c>
      <c r="G1909">
        <v>32</v>
      </c>
      <c r="H1909">
        <v>927618</v>
      </c>
      <c r="I1909">
        <v>42744916</v>
      </c>
      <c r="J1909">
        <v>51</v>
      </c>
      <c r="K1909">
        <v>26</v>
      </c>
      <c r="L1909">
        <v>41817298</v>
      </c>
      <c r="M1909">
        <v>2.1240306321588701E-2</v>
      </c>
      <c r="N1909" s="1" t="s">
        <v>3234</v>
      </c>
      <c r="O1909">
        <v>1.8614155960968E-2</v>
      </c>
      <c r="P1909">
        <v>0</v>
      </c>
      <c r="Q1909">
        <v>0</v>
      </c>
      <c r="R1909">
        <v>0</v>
      </c>
      <c r="S1909">
        <v>0</v>
      </c>
      <c r="T1909">
        <v>134.31486390000001</v>
      </c>
      <c r="U1909">
        <f t="shared" si="58"/>
        <v>0</v>
      </c>
      <c r="V1909">
        <f t="shared" si="59"/>
        <v>0</v>
      </c>
    </row>
    <row r="1910" spans="1:22" x14ac:dyDescent="0.2">
      <c r="A1910" t="s">
        <v>3180</v>
      </c>
      <c r="B1910" t="s">
        <v>43</v>
      </c>
      <c r="C1910" t="s">
        <v>76</v>
      </c>
      <c r="D1910" t="s">
        <v>77</v>
      </c>
      <c r="E1910">
        <v>20</v>
      </c>
      <c r="F1910" t="s">
        <v>104</v>
      </c>
      <c r="G1910">
        <v>95</v>
      </c>
      <c r="H1910">
        <v>16630</v>
      </c>
      <c r="I1910">
        <v>27706</v>
      </c>
      <c r="J1910">
        <v>92</v>
      </c>
      <c r="K1910">
        <v>69</v>
      </c>
      <c r="L1910">
        <v>11076</v>
      </c>
      <c r="M1910" s="1" t="s">
        <v>3235</v>
      </c>
      <c r="N1910" s="1" t="s">
        <v>3236</v>
      </c>
      <c r="O1910" s="1" t="s">
        <v>3237</v>
      </c>
      <c r="P1910">
        <v>0</v>
      </c>
      <c r="Q1910">
        <v>0</v>
      </c>
      <c r="R1910">
        <v>0</v>
      </c>
      <c r="S1910">
        <v>0</v>
      </c>
      <c r="T1910">
        <v>134.31486390000001</v>
      </c>
      <c r="U1910">
        <f t="shared" si="58"/>
        <v>0</v>
      </c>
      <c r="V1910">
        <f t="shared" si="59"/>
        <v>0</v>
      </c>
    </row>
    <row r="1911" spans="1:22" x14ac:dyDescent="0.2">
      <c r="A1911" t="s">
        <v>3180</v>
      </c>
      <c r="B1911" t="s">
        <v>43</v>
      </c>
      <c r="C1911" t="s">
        <v>76</v>
      </c>
      <c r="D1911" t="s">
        <v>77</v>
      </c>
      <c r="E1911">
        <v>12</v>
      </c>
      <c r="F1911" t="s">
        <v>194</v>
      </c>
      <c r="G1911">
        <v>64</v>
      </c>
      <c r="H1911">
        <v>7613</v>
      </c>
      <c r="I1911">
        <v>0</v>
      </c>
      <c r="J1911">
        <v>79</v>
      </c>
      <c r="K1911">
        <v>94</v>
      </c>
      <c r="L1911">
        <v>-7613</v>
      </c>
      <c r="M1911">
        <v>1</v>
      </c>
      <c r="N1911">
        <v>0</v>
      </c>
      <c r="O1911" s="1" t="s">
        <v>3238</v>
      </c>
      <c r="P1911">
        <v>0</v>
      </c>
      <c r="Q1911">
        <v>0</v>
      </c>
      <c r="R1911">
        <v>0</v>
      </c>
      <c r="S1911">
        <v>0</v>
      </c>
      <c r="T1911">
        <v>134.31486390000001</v>
      </c>
      <c r="U1911">
        <f t="shared" si="58"/>
        <v>0</v>
      </c>
      <c r="V1911">
        <f t="shared" si="59"/>
        <v>0</v>
      </c>
    </row>
    <row r="1912" spans="1:22" x14ac:dyDescent="0.2">
      <c r="A1912" t="s">
        <v>3180</v>
      </c>
      <c r="B1912" t="s">
        <v>43</v>
      </c>
      <c r="C1912" t="s">
        <v>76</v>
      </c>
      <c r="D1912" t="s">
        <v>77</v>
      </c>
      <c r="E1912">
        <v>11</v>
      </c>
      <c r="F1912" t="s">
        <v>127</v>
      </c>
      <c r="G1912">
        <v>56</v>
      </c>
      <c r="H1912">
        <v>15141</v>
      </c>
      <c r="I1912">
        <v>152</v>
      </c>
      <c r="J1912">
        <v>71</v>
      </c>
      <c r="K1912">
        <v>74</v>
      </c>
      <c r="L1912">
        <v>-14989</v>
      </c>
      <c r="M1912" s="1" t="s">
        <v>3239</v>
      </c>
      <c r="N1912">
        <v>9.9391878637285005E-3</v>
      </c>
      <c r="O1912" s="1" t="s">
        <v>3240</v>
      </c>
      <c r="P1912">
        <v>0</v>
      </c>
      <c r="Q1912">
        <v>0</v>
      </c>
      <c r="R1912">
        <v>0</v>
      </c>
      <c r="S1912">
        <v>0</v>
      </c>
      <c r="T1912">
        <v>134.31486390000001</v>
      </c>
      <c r="U1912">
        <f t="shared" si="58"/>
        <v>0</v>
      </c>
      <c r="V1912">
        <f t="shared" si="59"/>
        <v>0</v>
      </c>
    </row>
    <row r="1913" spans="1:22" x14ac:dyDescent="0.2">
      <c r="A1913" t="s">
        <v>3180</v>
      </c>
      <c r="B1913" t="s">
        <v>43</v>
      </c>
      <c r="C1913" t="s">
        <v>76</v>
      </c>
      <c r="D1913" t="s">
        <v>77</v>
      </c>
      <c r="E1913">
        <v>18</v>
      </c>
      <c r="F1913" t="s">
        <v>147</v>
      </c>
      <c r="G1913">
        <v>91</v>
      </c>
      <c r="H1913">
        <v>34850</v>
      </c>
      <c r="I1913">
        <v>0</v>
      </c>
      <c r="J1913">
        <v>45</v>
      </c>
      <c r="K1913">
        <v>69</v>
      </c>
      <c r="L1913">
        <v>-34850</v>
      </c>
      <c r="M1913">
        <v>1</v>
      </c>
      <c r="N1913">
        <v>0</v>
      </c>
      <c r="O1913" s="1" t="s">
        <v>3241</v>
      </c>
      <c r="P1913">
        <v>0</v>
      </c>
      <c r="Q1913">
        <v>0</v>
      </c>
      <c r="R1913">
        <v>0</v>
      </c>
      <c r="S1913">
        <v>0</v>
      </c>
      <c r="T1913">
        <v>134.31486390000001</v>
      </c>
      <c r="U1913">
        <f t="shared" si="58"/>
        <v>0</v>
      </c>
      <c r="V1913">
        <f t="shared" si="59"/>
        <v>0</v>
      </c>
    </row>
    <row r="1914" spans="1:22" x14ac:dyDescent="0.2">
      <c r="A1914" t="s">
        <v>3180</v>
      </c>
      <c r="B1914" t="s">
        <v>43</v>
      </c>
      <c r="C1914" t="s">
        <v>76</v>
      </c>
      <c r="D1914" t="s">
        <v>77</v>
      </c>
      <c r="E1914" s="1" t="s">
        <v>138</v>
      </c>
      <c r="F1914" t="s">
        <v>139</v>
      </c>
      <c r="G1914">
        <v>19</v>
      </c>
      <c r="H1914">
        <v>3437</v>
      </c>
      <c r="I1914">
        <v>59229</v>
      </c>
      <c r="J1914">
        <v>86</v>
      </c>
      <c r="K1914">
        <v>64</v>
      </c>
      <c r="L1914">
        <v>55792</v>
      </c>
      <c r="M1914" s="1" t="s">
        <v>3242</v>
      </c>
      <c r="N1914" s="1" t="s">
        <v>3243</v>
      </c>
      <c r="O1914" s="1" t="s">
        <v>3244</v>
      </c>
      <c r="P1914">
        <v>0</v>
      </c>
      <c r="Q1914">
        <v>0</v>
      </c>
      <c r="R1914">
        <v>0</v>
      </c>
      <c r="S1914">
        <v>0</v>
      </c>
      <c r="T1914">
        <v>134.31486390000001</v>
      </c>
      <c r="U1914">
        <f t="shared" si="58"/>
        <v>0</v>
      </c>
      <c r="V1914">
        <f t="shared" si="59"/>
        <v>0</v>
      </c>
    </row>
    <row r="1915" spans="1:22" x14ac:dyDescent="0.2">
      <c r="A1915" t="s">
        <v>3180</v>
      </c>
      <c r="B1915" t="s">
        <v>43</v>
      </c>
      <c r="C1915" t="s">
        <v>76</v>
      </c>
      <c r="D1915" t="s">
        <v>77</v>
      </c>
      <c r="E1915">
        <v>15</v>
      </c>
      <c r="F1915" t="s">
        <v>88</v>
      </c>
      <c r="G1915">
        <v>83</v>
      </c>
      <c r="H1915">
        <v>21082</v>
      </c>
      <c r="I1915">
        <v>46267</v>
      </c>
      <c r="J1915">
        <v>85</v>
      </c>
      <c r="K1915">
        <v>65</v>
      </c>
      <c r="L1915">
        <v>25185</v>
      </c>
      <c r="M1915" s="1" t="s">
        <v>3245</v>
      </c>
      <c r="N1915" s="1" t="s">
        <v>3246</v>
      </c>
      <c r="O1915" s="1" t="s">
        <v>3247</v>
      </c>
      <c r="P1915">
        <v>0</v>
      </c>
      <c r="Q1915">
        <v>0</v>
      </c>
      <c r="R1915">
        <v>0</v>
      </c>
      <c r="S1915">
        <v>0</v>
      </c>
      <c r="T1915">
        <v>134.31486390000001</v>
      </c>
      <c r="U1915">
        <f t="shared" si="58"/>
        <v>0</v>
      </c>
      <c r="V1915">
        <f t="shared" si="59"/>
        <v>0</v>
      </c>
    </row>
    <row r="1916" spans="1:22" x14ac:dyDescent="0.2">
      <c r="A1916" t="s">
        <v>3180</v>
      </c>
      <c r="B1916" t="s">
        <v>43</v>
      </c>
      <c r="C1916" t="s">
        <v>76</v>
      </c>
      <c r="D1916" t="s">
        <v>77</v>
      </c>
      <c r="E1916">
        <v>11</v>
      </c>
      <c r="F1916" t="s">
        <v>127</v>
      </c>
      <c r="G1916">
        <v>62</v>
      </c>
      <c r="H1916">
        <v>18194</v>
      </c>
      <c r="I1916">
        <v>41394</v>
      </c>
      <c r="J1916">
        <v>85</v>
      </c>
      <c r="K1916">
        <v>78</v>
      </c>
      <c r="L1916">
        <v>23200</v>
      </c>
      <c r="M1916" s="1" t="s">
        <v>3248</v>
      </c>
      <c r="N1916" s="1" t="s">
        <v>3249</v>
      </c>
      <c r="O1916" s="1" t="s">
        <v>3250</v>
      </c>
      <c r="P1916">
        <v>0</v>
      </c>
      <c r="Q1916">
        <v>0</v>
      </c>
      <c r="R1916">
        <v>0</v>
      </c>
      <c r="S1916">
        <v>0</v>
      </c>
      <c r="T1916">
        <v>134.31486390000001</v>
      </c>
      <c r="U1916">
        <f t="shared" si="58"/>
        <v>0</v>
      </c>
      <c r="V1916">
        <f t="shared" si="59"/>
        <v>0</v>
      </c>
    </row>
    <row r="1917" spans="1:22" x14ac:dyDescent="0.2">
      <c r="A1917" t="s">
        <v>3180</v>
      </c>
      <c r="B1917" t="s">
        <v>43</v>
      </c>
      <c r="C1917" t="s">
        <v>76</v>
      </c>
      <c r="D1917" t="s">
        <v>77</v>
      </c>
      <c r="E1917">
        <v>20</v>
      </c>
      <c r="F1917" t="s">
        <v>104</v>
      </c>
      <c r="G1917">
        <v>94</v>
      </c>
      <c r="H1917">
        <v>19826</v>
      </c>
      <c r="I1917">
        <v>0</v>
      </c>
      <c r="J1917">
        <v>105</v>
      </c>
      <c r="K1917">
        <v>103</v>
      </c>
      <c r="L1917">
        <v>-19826</v>
      </c>
      <c r="M1917">
        <v>1</v>
      </c>
      <c r="N1917">
        <v>0</v>
      </c>
      <c r="O1917" s="1" t="s">
        <v>3251</v>
      </c>
      <c r="P1917">
        <v>0</v>
      </c>
      <c r="Q1917">
        <v>0</v>
      </c>
      <c r="R1917">
        <v>0</v>
      </c>
      <c r="S1917">
        <v>0</v>
      </c>
      <c r="T1917">
        <v>134.31486390000001</v>
      </c>
      <c r="U1917">
        <f t="shared" si="58"/>
        <v>0</v>
      </c>
      <c r="V1917">
        <f t="shared" si="59"/>
        <v>0</v>
      </c>
    </row>
    <row r="1918" spans="1:22" x14ac:dyDescent="0.2">
      <c r="A1918" t="s">
        <v>3180</v>
      </c>
      <c r="B1918" t="s">
        <v>43</v>
      </c>
      <c r="C1918" t="s">
        <v>76</v>
      </c>
      <c r="D1918" t="s">
        <v>77</v>
      </c>
      <c r="E1918">
        <v>11</v>
      </c>
      <c r="F1918" t="s">
        <v>127</v>
      </c>
      <c r="G1918">
        <v>61</v>
      </c>
      <c r="H1918">
        <v>10202</v>
      </c>
      <c r="I1918">
        <v>259281</v>
      </c>
      <c r="J1918">
        <v>82</v>
      </c>
      <c r="K1918">
        <v>64</v>
      </c>
      <c r="L1918">
        <v>249079</v>
      </c>
      <c r="M1918">
        <v>3.7857675623323102E-2</v>
      </c>
      <c r="N1918" s="1" t="s">
        <v>3252</v>
      </c>
      <c r="O1918" s="1" t="s">
        <v>3253</v>
      </c>
      <c r="P1918">
        <v>0</v>
      </c>
      <c r="Q1918">
        <v>0</v>
      </c>
      <c r="R1918">
        <v>0</v>
      </c>
      <c r="S1918">
        <v>0</v>
      </c>
      <c r="T1918">
        <v>134.31486390000001</v>
      </c>
      <c r="U1918">
        <f t="shared" si="58"/>
        <v>0</v>
      </c>
      <c r="V1918">
        <f t="shared" si="59"/>
        <v>0</v>
      </c>
    </row>
    <row r="1919" spans="1:22" x14ac:dyDescent="0.2">
      <c r="A1919" t="s">
        <v>3180</v>
      </c>
      <c r="B1919" t="s">
        <v>43</v>
      </c>
      <c r="C1919" t="s">
        <v>76</v>
      </c>
      <c r="D1919" t="s">
        <v>77</v>
      </c>
      <c r="E1919">
        <v>11</v>
      </c>
      <c r="F1919" t="s">
        <v>127</v>
      </c>
      <c r="G1919">
        <v>58</v>
      </c>
      <c r="H1919">
        <v>718</v>
      </c>
      <c r="I1919">
        <v>0</v>
      </c>
      <c r="J1919">
        <v>63</v>
      </c>
      <c r="K1919">
        <v>65</v>
      </c>
      <c r="L1919">
        <v>-718</v>
      </c>
      <c r="M1919">
        <v>1</v>
      </c>
      <c r="N1919">
        <v>0</v>
      </c>
      <c r="O1919" s="1" t="s">
        <v>3254</v>
      </c>
      <c r="P1919">
        <v>0</v>
      </c>
      <c r="Q1919">
        <v>0</v>
      </c>
      <c r="R1919">
        <v>0</v>
      </c>
      <c r="S1919">
        <v>0</v>
      </c>
      <c r="T1919">
        <v>134.31486390000001</v>
      </c>
      <c r="U1919">
        <f t="shared" si="58"/>
        <v>0</v>
      </c>
      <c r="V1919">
        <f t="shared" si="59"/>
        <v>0</v>
      </c>
    </row>
    <row r="1920" spans="1:22" x14ac:dyDescent="0.2">
      <c r="A1920" t="s">
        <v>3180</v>
      </c>
      <c r="B1920" t="s">
        <v>43</v>
      </c>
      <c r="C1920" t="s">
        <v>76</v>
      </c>
      <c r="D1920" t="s">
        <v>77</v>
      </c>
      <c r="E1920" s="1" t="s">
        <v>163</v>
      </c>
      <c r="F1920" t="s">
        <v>224</v>
      </c>
      <c r="G1920">
        <v>42</v>
      </c>
      <c r="H1920">
        <v>2755</v>
      </c>
      <c r="I1920">
        <v>16078</v>
      </c>
      <c r="J1920">
        <v>86</v>
      </c>
      <c r="K1920">
        <v>63</v>
      </c>
      <c r="L1920">
        <v>13323</v>
      </c>
      <c r="M1920" s="1" t="s">
        <v>3255</v>
      </c>
      <c r="N1920" s="1" t="s">
        <v>3256</v>
      </c>
      <c r="O1920" s="1" t="s">
        <v>3257</v>
      </c>
      <c r="P1920">
        <v>0</v>
      </c>
      <c r="Q1920">
        <v>0</v>
      </c>
      <c r="R1920">
        <v>0</v>
      </c>
      <c r="S1920">
        <v>0</v>
      </c>
      <c r="T1920">
        <v>134.31486390000001</v>
      </c>
      <c r="U1920">
        <f t="shared" si="58"/>
        <v>0</v>
      </c>
      <c r="V1920">
        <f t="shared" si="59"/>
        <v>0</v>
      </c>
    </row>
    <row r="1921" spans="1:22" x14ac:dyDescent="0.2">
      <c r="A1921" t="s">
        <v>3180</v>
      </c>
      <c r="B1921" t="s">
        <v>43</v>
      </c>
      <c r="C1921" t="s">
        <v>76</v>
      </c>
      <c r="D1921" t="s">
        <v>77</v>
      </c>
      <c r="E1921">
        <v>15</v>
      </c>
      <c r="F1921" t="s">
        <v>88</v>
      </c>
      <c r="G1921">
        <v>74</v>
      </c>
      <c r="H1921">
        <v>13963</v>
      </c>
      <c r="I1921">
        <v>2661772</v>
      </c>
      <c r="J1921">
        <v>82</v>
      </c>
      <c r="K1921">
        <v>47</v>
      </c>
      <c r="L1921">
        <v>2647809</v>
      </c>
      <c r="M1921">
        <v>5.2183792490661397E-3</v>
      </c>
      <c r="N1921" s="1" t="s">
        <v>3258</v>
      </c>
      <c r="O1921">
        <v>1.14045474439886E-3</v>
      </c>
      <c r="P1921">
        <v>0</v>
      </c>
      <c r="Q1921">
        <v>0</v>
      </c>
      <c r="R1921">
        <v>0</v>
      </c>
      <c r="S1921">
        <v>0</v>
      </c>
      <c r="T1921">
        <v>134.31486390000001</v>
      </c>
      <c r="U1921">
        <f t="shared" si="58"/>
        <v>0</v>
      </c>
      <c r="V1921">
        <f t="shared" si="59"/>
        <v>0</v>
      </c>
    </row>
    <row r="1922" spans="1:22" x14ac:dyDescent="0.2">
      <c r="A1922" t="s">
        <v>3180</v>
      </c>
      <c r="B1922" t="s">
        <v>43</v>
      </c>
      <c r="C1922" t="s">
        <v>76</v>
      </c>
      <c r="D1922" t="s">
        <v>77</v>
      </c>
      <c r="E1922" s="1" t="s">
        <v>163</v>
      </c>
      <c r="F1922" t="s">
        <v>224</v>
      </c>
      <c r="G1922">
        <v>43</v>
      </c>
      <c r="H1922">
        <v>0</v>
      </c>
      <c r="I1922">
        <v>691</v>
      </c>
      <c r="J1922">
        <v>60</v>
      </c>
      <c r="K1922">
        <v>52</v>
      </c>
      <c r="L1922">
        <v>691</v>
      </c>
      <c r="M1922">
        <v>0</v>
      </c>
      <c r="N1922">
        <v>1</v>
      </c>
      <c r="O1922" s="1" t="s">
        <v>3259</v>
      </c>
      <c r="P1922">
        <v>0</v>
      </c>
      <c r="Q1922">
        <v>0</v>
      </c>
      <c r="R1922">
        <v>0</v>
      </c>
      <c r="S1922">
        <v>0</v>
      </c>
      <c r="T1922">
        <v>134.31486390000001</v>
      </c>
      <c r="U1922">
        <f t="shared" si="58"/>
        <v>0</v>
      </c>
      <c r="V1922">
        <f t="shared" si="59"/>
        <v>0</v>
      </c>
    </row>
    <row r="1923" spans="1:22" x14ac:dyDescent="0.2">
      <c r="A1923" t="s">
        <v>3180</v>
      </c>
      <c r="B1923" t="s">
        <v>43</v>
      </c>
      <c r="C1923" t="s">
        <v>76</v>
      </c>
      <c r="D1923" t="s">
        <v>77</v>
      </c>
      <c r="E1923" s="1" t="s">
        <v>93</v>
      </c>
      <c r="F1923" t="s">
        <v>94</v>
      </c>
      <c r="G1923">
        <v>45</v>
      </c>
      <c r="H1923">
        <v>0</v>
      </c>
      <c r="I1923">
        <v>100</v>
      </c>
      <c r="J1923">
        <v>48</v>
      </c>
      <c r="K1923">
        <v>42</v>
      </c>
      <c r="L1923">
        <v>100</v>
      </c>
      <c r="M1923">
        <v>0</v>
      </c>
      <c r="N1923">
        <v>1</v>
      </c>
      <c r="O1923" s="1" t="s">
        <v>3260</v>
      </c>
      <c r="P1923">
        <v>0</v>
      </c>
      <c r="Q1923">
        <v>0</v>
      </c>
      <c r="R1923">
        <v>0</v>
      </c>
      <c r="S1923">
        <v>0</v>
      </c>
      <c r="T1923">
        <v>134.31486390000001</v>
      </c>
      <c r="U1923">
        <f t="shared" ref="U1923:U1986" si="60">IF(OR(P1923=1,Q1923=1),1,0)</f>
        <v>0</v>
      </c>
      <c r="V1923">
        <f t="shared" ref="V1923:V1986" si="61">IF(OR(R1923=1,S1923=1),1,0)</f>
        <v>0</v>
      </c>
    </row>
    <row r="1924" spans="1:22" x14ac:dyDescent="0.2">
      <c r="A1924" t="s">
        <v>3180</v>
      </c>
      <c r="B1924" t="s">
        <v>43</v>
      </c>
      <c r="C1924" t="s">
        <v>76</v>
      </c>
      <c r="D1924" t="s">
        <v>77</v>
      </c>
      <c r="E1924">
        <v>12</v>
      </c>
      <c r="F1924" t="s">
        <v>194</v>
      </c>
      <c r="G1924">
        <v>65</v>
      </c>
      <c r="H1924">
        <v>166</v>
      </c>
      <c r="I1924">
        <v>16638</v>
      </c>
      <c r="J1924">
        <v>92</v>
      </c>
      <c r="K1924">
        <v>56</v>
      </c>
      <c r="L1924">
        <v>16472</v>
      </c>
      <c r="M1924">
        <v>9.8786003332539795E-3</v>
      </c>
      <c r="N1924" s="1" t="s">
        <v>3261</v>
      </c>
      <c r="O1924" s="1" t="s">
        <v>3262</v>
      </c>
      <c r="P1924">
        <v>0</v>
      </c>
      <c r="Q1924">
        <v>0</v>
      </c>
      <c r="R1924">
        <v>0</v>
      </c>
      <c r="S1924">
        <v>0</v>
      </c>
      <c r="T1924">
        <v>134.31486390000001</v>
      </c>
      <c r="U1924">
        <f t="shared" si="60"/>
        <v>0</v>
      </c>
      <c r="V1924">
        <f t="shared" si="61"/>
        <v>0</v>
      </c>
    </row>
    <row r="1925" spans="1:22" x14ac:dyDescent="0.2">
      <c r="A1925" t="s">
        <v>3180</v>
      </c>
      <c r="B1925" t="s">
        <v>43</v>
      </c>
      <c r="C1925" t="s">
        <v>76</v>
      </c>
      <c r="D1925" t="s">
        <v>77</v>
      </c>
      <c r="E1925" s="1" t="s">
        <v>82</v>
      </c>
      <c r="F1925" t="s">
        <v>83</v>
      </c>
      <c r="G1925" s="1" t="s">
        <v>99</v>
      </c>
      <c r="H1925">
        <v>0</v>
      </c>
      <c r="I1925">
        <v>1644402</v>
      </c>
      <c r="J1925">
        <v>106</v>
      </c>
      <c r="K1925">
        <v>38</v>
      </c>
      <c r="L1925">
        <v>1644402</v>
      </c>
      <c r="M1925">
        <v>0</v>
      </c>
      <c r="N1925">
        <v>1</v>
      </c>
      <c r="O1925" s="1" t="s">
        <v>3263</v>
      </c>
      <c r="P1925">
        <v>0</v>
      </c>
      <c r="Q1925">
        <v>0</v>
      </c>
      <c r="R1925">
        <v>0</v>
      </c>
      <c r="S1925">
        <v>0</v>
      </c>
      <c r="T1925">
        <v>134.31486390000001</v>
      </c>
      <c r="U1925">
        <f t="shared" si="60"/>
        <v>0</v>
      </c>
      <c r="V1925">
        <f t="shared" si="61"/>
        <v>0</v>
      </c>
    </row>
    <row r="1926" spans="1:22" x14ac:dyDescent="0.2">
      <c r="A1926" t="s">
        <v>3180</v>
      </c>
      <c r="B1926" t="s">
        <v>43</v>
      </c>
      <c r="C1926" t="s">
        <v>76</v>
      </c>
      <c r="D1926" t="s">
        <v>77</v>
      </c>
      <c r="E1926" s="1" t="s">
        <v>138</v>
      </c>
      <c r="F1926" t="s">
        <v>139</v>
      </c>
      <c r="G1926">
        <v>21</v>
      </c>
      <c r="H1926">
        <v>70606</v>
      </c>
      <c r="I1926">
        <v>125150</v>
      </c>
      <c r="J1926">
        <v>93</v>
      </c>
      <c r="K1926">
        <v>77</v>
      </c>
      <c r="L1926">
        <v>54544</v>
      </c>
      <c r="M1926" s="1" t="s">
        <v>3264</v>
      </c>
      <c r="N1926" s="1" t="s">
        <v>3265</v>
      </c>
      <c r="O1926" s="1" t="s">
        <v>3266</v>
      </c>
      <c r="P1926">
        <v>0</v>
      </c>
      <c r="Q1926">
        <v>0</v>
      </c>
      <c r="R1926">
        <v>0</v>
      </c>
      <c r="S1926">
        <v>0</v>
      </c>
      <c r="T1926">
        <v>134.31486390000001</v>
      </c>
      <c r="U1926">
        <f t="shared" si="60"/>
        <v>0</v>
      </c>
      <c r="V1926">
        <f t="shared" si="61"/>
        <v>0</v>
      </c>
    </row>
    <row r="1927" spans="1:22" x14ac:dyDescent="0.2">
      <c r="A1927" t="s">
        <v>3180</v>
      </c>
      <c r="B1927" t="s">
        <v>43</v>
      </c>
      <c r="C1927" t="s">
        <v>76</v>
      </c>
      <c r="D1927" t="s">
        <v>77</v>
      </c>
      <c r="E1927" s="1" t="s">
        <v>110</v>
      </c>
      <c r="F1927" t="s">
        <v>111</v>
      </c>
      <c r="G1927">
        <v>15</v>
      </c>
      <c r="H1927">
        <v>0</v>
      </c>
      <c r="I1927">
        <v>5833</v>
      </c>
      <c r="J1927">
        <v>110</v>
      </c>
      <c r="K1927">
        <v>74</v>
      </c>
      <c r="L1927">
        <v>5833</v>
      </c>
      <c r="M1927">
        <v>0</v>
      </c>
      <c r="N1927">
        <v>1</v>
      </c>
      <c r="O1927" s="1" t="s">
        <v>3267</v>
      </c>
      <c r="P1927">
        <v>0</v>
      </c>
      <c r="Q1927">
        <v>0</v>
      </c>
      <c r="R1927">
        <v>0</v>
      </c>
      <c r="S1927">
        <v>0</v>
      </c>
      <c r="T1927">
        <v>134.31486390000001</v>
      </c>
      <c r="U1927">
        <f t="shared" si="60"/>
        <v>0</v>
      </c>
      <c r="V1927">
        <f t="shared" si="61"/>
        <v>0</v>
      </c>
    </row>
    <row r="1928" spans="1:22" x14ac:dyDescent="0.2">
      <c r="A1928" t="s">
        <v>3180</v>
      </c>
      <c r="B1928" t="s">
        <v>43</v>
      </c>
      <c r="C1928" t="s">
        <v>76</v>
      </c>
      <c r="D1928" t="s">
        <v>77</v>
      </c>
      <c r="E1928">
        <v>20</v>
      </c>
      <c r="F1928" t="s">
        <v>104</v>
      </c>
      <c r="G1928">
        <v>96</v>
      </c>
      <c r="H1928">
        <v>2371</v>
      </c>
      <c r="I1928">
        <v>2514</v>
      </c>
      <c r="J1928">
        <v>90</v>
      </c>
      <c r="K1928">
        <v>75</v>
      </c>
      <c r="L1928">
        <v>143</v>
      </c>
      <c r="M1928" s="1" t="s">
        <v>3268</v>
      </c>
      <c r="N1928" s="1" t="s">
        <v>3269</v>
      </c>
      <c r="O1928" s="1" t="s">
        <v>3270</v>
      </c>
      <c r="P1928">
        <v>0</v>
      </c>
      <c r="Q1928">
        <v>0</v>
      </c>
      <c r="R1928">
        <v>0</v>
      </c>
      <c r="S1928">
        <v>0</v>
      </c>
      <c r="T1928">
        <v>134.31486390000001</v>
      </c>
      <c r="U1928">
        <f t="shared" si="60"/>
        <v>0</v>
      </c>
      <c r="V1928">
        <f t="shared" si="61"/>
        <v>0</v>
      </c>
    </row>
    <row r="1929" spans="1:22" x14ac:dyDescent="0.2">
      <c r="A1929" t="s">
        <v>3180</v>
      </c>
      <c r="B1929" t="s">
        <v>43</v>
      </c>
      <c r="C1929" t="s">
        <v>76</v>
      </c>
      <c r="D1929" t="s">
        <v>77</v>
      </c>
      <c r="E1929">
        <v>14</v>
      </c>
      <c r="F1929" t="s">
        <v>261</v>
      </c>
      <c r="G1929">
        <v>71</v>
      </c>
      <c r="H1929">
        <v>10468</v>
      </c>
      <c r="I1929">
        <v>167089</v>
      </c>
      <c r="J1929">
        <v>74</v>
      </c>
      <c r="K1929">
        <v>49</v>
      </c>
      <c r="L1929">
        <v>156621</v>
      </c>
      <c r="M1929">
        <v>5.8955715629347198E-2</v>
      </c>
      <c r="N1929" s="1" t="s">
        <v>3271</v>
      </c>
      <c r="O1929" s="1" t="s">
        <v>3272</v>
      </c>
      <c r="P1929">
        <v>0</v>
      </c>
      <c r="Q1929">
        <v>0</v>
      </c>
      <c r="R1929">
        <v>0</v>
      </c>
      <c r="S1929">
        <v>0</v>
      </c>
      <c r="T1929">
        <v>134.31486390000001</v>
      </c>
      <c r="U1929">
        <f t="shared" si="60"/>
        <v>0</v>
      </c>
      <c r="V1929">
        <f t="shared" si="61"/>
        <v>0</v>
      </c>
    </row>
    <row r="1930" spans="1:22" x14ac:dyDescent="0.2">
      <c r="A1930" t="s">
        <v>3180</v>
      </c>
      <c r="B1930" t="s">
        <v>43</v>
      </c>
      <c r="C1930" t="s">
        <v>76</v>
      </c>
      <c r="D1930" t="s">
        <v>77</v>
      </c>
      <c r="E1930" s="1" t="s">
        <v>82</v>
      </c>
      <c r="F1930" t="s">
        <v>83</v>
      </c>
      <c r="G1930">
        <v>12</v>
      </c>
      <c r="H1930">
        <v>0</v>
      </c>
      <c r="I1930">
        <v>448782</v>
      </c>
      <c r="J1930">
        <v>103</v>
      </c>
      <c r="K1930">
        <v>55</v>
      </c>
      <c r="L1930">
        <v>448782</v>
      </c>
      <c r="M1930">
        <v>0</v>
      </c>
      <c r="N1930">
        <v>1</v>
      </c>
      <c r="O1930" s="1" t="s">
        <v>3273</v>
      </c>
      <c r="P1930">
        <v>0</v>
      </c>
      <c r="Q1930">
        <v>0</v>
      </c>
      <c r="R1930">
        <v>0</v>
      </c>
      <c r="S1930">
        <v>0</v>
      </c>
      <c r="T1930">
        <v>134.31486390000001</v>
      </c>
      <c r="U1930">
        <f t="shared" si="60"/>
        <v>0</v>
      </c>
      <c r="V1930">
        <f t="shared" si="61"/>
        <v>0</v>
      </c>
    </row>
    <row r="1931" spans="1:22" x14ac:dyDescent="0.2">
      <c r="A1931" t="s">
        <v>3180</v>
      </c>
      <c r="B1931" t="s">
        <v>43</v>
      </c>
      <c r="C1931" t="s">
        <v>76</v>
      </c>
      <c r="D1931" t="s">
        <v>77</v>
      </c>
      <c r="E1931">
        <v>18</v>
      </c>
      <c r="F1931" t="s">
        <v>147</v>
      </c>
      <c r="G1931">
        <v>92</v>
      </c>
      <c r="H1931">
        <v>0</v>
      </c>
      <c r="I1931">
        <v>14807</v>
      </c>
      <c r="J1931">
        <v>95</v>
      </c>
      <c r="K1931">
        <v>47</v>
      </c>
      <c r="L1931">
        <v>14807</v>
      </c>
      <c r="M1931">
        <v>0</v>
      </c>
      <c r="N1931">
        <v>1</v>
      </c>
      <c r="O1931" s="1" t="s">
        <v>3274</v>
      </c>
      <c r="P1931">
        <v>0</v>
      </c>
      <c r="Q1931">
        <v>0</v>
      </c>
      <c r="R1931">
        <v>0</v>
      </c>
      <c r="S1931">
        <v>0</v>
      </c>
      <c r="T1931">
        <v>134.31486390000001</v>
      </c>
      <c r="U1931">
        <f t="shared" si="60"/>
        <v>0</v>
      </c>
      <c r="V1931">
        <f t="shared" si="61"/>
        <v>0</v>
      </c>
    </row>
    <row r="1932" spans="1:22" x14ac:dyDescent="0.2">
      <c r="A1932" t="s">
        <v>3180</v>
      </c>
      <c r="B1932" t="s">
        <v>43</v>
      </c>
      <c r="C1932" t="s">
        <v>76</v>
      </c>
      <c r="D1932" t="s">
        <v>77</v>
      </c>
      <c r="E1932" s="1" t="s">
        <v>82</v>
      </c>
      <c r="F1932" t="s">
        <v>83</v>
      </c>
      <c r="G1932">
        <v>11</v>
      </c>
      <c r="H1932">
        <v>0</v>
      </c>
      <c r="I1932">
        <v>149498</v>
      </c>
      <c r="J1932">
        <v>105</v>
      </c>
      <c r="K1932">
        <v>36</v>
      </c>
      <c r="L1932">
        <v>149498</v>
      </c>
      <c r="M1932">
        <v>0</v>
      </c>
      <c r="N1932">
        <v>1</v>
      </c>
      <c r="O1932" s="1" t="s">
        <v>3275</v>
      </c>
      <c r="P1932">
        <v>0</v>
      </c>
      <c r="Q1932">
        <v>0</v>
      </c>
      <c r="R1932">
        <v>0</v>
      </c>
      <c r="S1932">
        <v>0</v>
      </c>
      <c r="T1932">
        <v>134.31486390000001</v>
      </c>
      <c r="U1932">
        <f t="shared" si="60"/>
        <v>0</v>
      </c>
      <c r="V1932">
        <f t="shared" si="61"/>
        <v>0</v>
      </c>
    </row>
    <row r="1933" spans="1:22" x14ac:dyDescent="0.2">
      <c r="A1933" t="s">
        <v>3180</v>
      </c>
      <c r="B1933" t="s">
        <v>43</v>
      </c>
      <c r="C1933" t="s">
        <v>76</v>
      </c>
      <c r="D1933" t="s">
        <v>77</v>
      </c>
      <c r="E1933" s="1" t="s">
        <v>82</v>
      </c>
      <c r="F1933" t="s">
        <v>83</v>
      </c>
      <c r="G1933" s="1" t="s">
        <v>163</v>
      </c>
      <c r="H1933">
        <v>0</v>
      </c>
      <c r="I1933">
        <v>230285672</v>
      </c>
      <c r="J1933">
        <v>74</v>
      </c>
      <c r="K1933">
        <v>18</v>
      </c>
      <c r="L1933">
        <v>230285672</v>
      </c>
      <c r="M1933">
        <v>0</v>
      </c>
      <c r="N1933">
        <v>1</v>
      </c>
      <c r="O1933">
        <v>9.8152614963545104E-2</v>
      </c>
      <c r="P1933">
        <v>0</v>
      </c>
      <c r="Q1933">
        <v>0</v>
      </c>
      <c r="R1933">
        <v>0</v>
      </c>
      <c r="S1933">
        <v>0</v>
      </c>
      <c r="T1933">
        <v>134.31486390000001</v>
      </c>
      <c r="U1933">
        <f t="shared" si="60"/>
        <v>0</v>
      </c>
      <c r="V1933">
        <f t="shared" si="61"/>
        <v>0</v>
      </c>
    </row>
    <row r="1934" spans="1:22" x14ac:dyDescent="0.2">
      <c r="A1934" t="s">
        <v>3180</v>
      </c>
      <c r="B1934" t="s">
        <v>43</v>
      </c>
      <c r="C1934" t="s">
        <v>76</v>
      </c>
      <c r="D1934" t="s">
        <v>77</v>
      </c>
      <c r="E1934" s="1" t="s">
        <v>155</v>
      </c>
      <c r="F1934" t="s">
        <v>156</v>
      </c>
      <c r="G1934" s="1" t="s">
        <v>110</v>
      </c>
      <c r="H1934">
        <v>1079</v>
      </c>
      <c r="I1934">
        <v>123771070</v>
      </c>
      <c r="J1934">
        <v>101</v>
      </c>
      <c r="K1934">
        <v>12</v>
      </c>
      <c r="L1934">
        <v>123769991</v>
      </c>
      <c r="M1934" s="1" t="s">
        <v>3276</v>
      </c>
      <c r="N1934" s="1" t="s">
        <v>3277</v>
      </c>
      <c r="O1934">
        <v>5.2754302855661503E-2</v>
      </c>
      <c r="P1934">
        <v>0</v>
      </c>
      <c r="Q1934">
        <v>0</v>
      </c>
      <c r="R1934">
        <v>0</v>
      </c>
      <c r="S1934">
        <v>0</v>
      </c>
      <c r="T1934">
        <v>134.31486390000001</v>
      </c>
      <c r="U1934">
        <f t="shared" si="60"/>
        <v>0</v>
      </c>
      <c r="V1934">
        <f t="shared" si="61"/>
        <v>0</v>
      </c>
    </row>
    <row r="1935" spans="1:22" x14ac:dyDescent="0.2">
      <c r="A1935" t="s">
        <v>3180</v>
      </c>
      <c r="B1935" t="s">
        <v>43</v>
      </c>
      <c r="C1935" t="s">
        <v>76</v>
      </c>
      <c r="D1935" t="s">
        <v>77</v>
      </c>
      <c r="E1935">
        <v>11</v>
      </c>
      <c r="F1935" t="s">
        <v>127</v>
      </c>
      <c r="G1935">
        <v>51</v>
      </c>
      <c r="H1935">
        <v>0</v>
      </c>
      <c r="I1935">
        <v>1726099</v>
      </c>
      <c r="J1935">
        <v>60</v>
      </c>
      <c r="K1935">
        <v>18</v>
      </c>
      <c r="L1935">
        <v>1726099</v>
      </c>
      <c r="M1935">
        <v>0</v>
      </c>
      <c r="N1935">
        <v>1</v>
      </c>
      <c r="O1935" s="1" t="s">
        <v>3278</v>
      </c>
      <c r="P1935">
        <v>0</v>
      </c>
      <c r="Q1935">
        <v>0</v>
      </c>
      <c r="R1935">
        <v>0</v>
      </c>
      <c r="S1935">
        <v>0</v>
      </c>
      <c r="T1935">
        <v>134.31486390000001</v>
      </c>
      <c r="U1935">
        <f t="shared" si="60"/>
        <v>0</v>
      </c>
      <c r="V1935">
        <f t="shared" si="61"/>
        <v>0</v>
      </c>
    </row>
    <row r="1936" spans="1:22" x14ac:dyDescent="0.2">
      <c r="A1936" t="s">
        <v>3180</v>
      </c>
      <c r="B1936" t="s">
        <v>43</v>
      </c>
      <c r="C1936" t="s">
        <v>76</v>
      </c>
      <c r="D1936" t="s">
        <v>77</v>
      </c>
      <c r="E1936" s="1" t="s">
        <v>138</v>
      </c>
      <c r="F1936" t="s">
        <v>139</v>
      </c>
      <c r="G1936">
        <v>17</v>
      </c>
      <c r="H1936">
        <v>103857</v>
      </c>
      <c r="I1936">
        <v>23748</v>
      </c>
      <c r="J1936">
        <v>77</v>
      </c>
      <c r="K1936">
        <v>73</v>
      </c>
      <c r="L1936">
        <v>-80109</v>
      </c>
      <c r="M1936" s="1" t="s">
        <v>3279</v>
      </c>
      <c r="N1936" s="1" t="s">
        <v>3280</v>
      </c>
      <c r="O1936" s="1" t="s">
        <v>3281</v>
      </c>
      <c r="P1936">
        <v>0</v>
      </c>
      <c r="Q1936">
        <v>0</v>
      </c>
      <c r="R1936">
        <v>0</v>
      </c>
      <c r="S1936">
        <v>0</v>
      </c>
      <c r="T1936">
        <v>134.31486390000001</v>
      </c>
      <c r="U1936">
        <f t="shared" si="60"/>
        <v>0</v>
      </c>
      <c r="V1936">
        <f t="shared" si="61"/>
        <v>0</v>
      </c>
    </row>
    <row r="1937" spans="1:22" x14ac:dyDescent="0.2">
      <c r="A1937" t="s">
        <v>3180</v>
      </c>
      <c r="B1937" t="s">
        <v>43</v>
      </c>
      <c r="C1937" t="s">
        <v>76</v>
      </c>
      <c r="D1937" t="s">
        <v>77</v>
      </c>
      <c r="E1937" s="1" t="s">
        <v>82</v>
      </c>
      <c r="F1937" t="s">
        <v>83</v>
      </c>
      <c r="G1937">
        <v>13</v>
      </c>
      <c r="H1937">
        <v>0</v>
      </c>
      <c r="I1937">
        <v>834466</v>
      </c>
      <c r="J1937">
        <v>59</v>
      </c>
      <c r="K1937">
        <v>31</v>
      </c>
      <c r="L1937">
        <v>834466</v>
      </c>
      <c r="M1937">
        <v>0</v>
      </c>
      <c r="N1937">
        <v>1</v>
      </c>
      <c r="O1937" s="1" t="s">
        <v>3282</v>
      </c>
      <c r="P1937">
        <v>0</v>
      </c>
      <c r="Q1937">
        <v>0</v>
      </c>
      <c r="R1937">
        <v>0</v>
      </c>
      <c r="S1937">
        <v>0</v>
      </c>
      <c r="T1937">
        <v>134.31486390000001</v>
      </c>
      <c r="U1937">
        <f t="shared" si="60"/>
        <v>0</v>
      </c>
      <c r="V1937">
        <f t="shared" si="61"/>
        <v>0</v>
      </c>
    </row>
    <row r="1938" spans="1:22" x14ac:dyDescent="0.2">
      <c r="A1938" t="s">
        <v>3180</v>
      </c>
      <c r="B1938" t="s">
        <v>43</v>
      </c>
      <c r="C1938" t="s">
        <v>76</v>
      </c>
      <c r="D1938" t="s">
        <v>77</v>
      </c>
      <c r="E1938" s="1" t="s">
        <v>82</v>
      </c>
      <c r="F1938" t="s">
        <v>83</v>
      </c>
      <c r="G1938" s="1" t="s">
        <v>93</v>
      </c>
      <c r="H1938">
        <v>965</v>
      </c>
      <c r="I1938">
        <v>32966865</v>
      </c>
      <c r="J1938">
        <v>94</v>
      </c>
      <c r="K1938">
        <v>21</v>
      </c>
      <c r="L1938">
        <v>32965900</v>
      </c>
      <c r="M1938" s="1" t="s">
        <v>3283</v>
      </c>
      <c r="N1938" s="1" t="s">
        <v>3284</v>
      </c>
      <c r="O1938" s="1" t="s">
        <v>3285</v>
      </c>
      <c r="P1938">
        <v>0</v>
      </c>
      <c r="Q1938">
        <v>0</v>
      </c>
      <c r="R1938">
        <v>0</v>
      </c>
      <c r="S1938">
        <v>0</v>
      </c>
      <c r="T1938">
        <v>134.31486390000001</v>
      </c>
      <c r="U1938">
        <f t="shared" si="60"/>
        <v>0</v>
      </c>
      <c r="V1938">
        <f t="shared" si="61"/>
        <v>0</v>
      </c>
    </row>
    <row r="1939" spans="1:22" x14ac:dyDescent="0.2">
      <c r="A1939" t="s">
        <v>3180</v>
      </c>
      <c r="B1939" t="s">
        <v>43</v>
      </c>
      <c r="C1939" t="s">
        <v>76</v>
      </c>
      <c r="D1939" t="s">
        <v>77</v>
      </c>
      <c r="E1939" s="1" t="s">
        <v>138</v>
      </c>
      <c r="F1939" t="s">
        <v>139</v>
      </c>
      <c r="G1939">
        <v>20</v>
      </c>
      <c r="H1939">
        <v>0</v>
      </c>
      <c r="I1939">
        <v>931451</v>
      </c>
      <c r="J1939">
        <v>88</v>
      </c>
      <c r="K1939">
        <v>63</v>
      </c>
      <c r="L1939">
        <v>931451</v>
      </c>
      <c r="M1939">
        <v>0</v>
      </c>
      <c r="N1939">
        <v>1</v>
      </c>
      <c r="O1939" s="1" t="s">
        <v>3286</v>
      </c>
      <c r="P1939">
        <v>0</v>
      </c>
      <c r="Q1939">
        <v>0</v>
      </c>
      <c r="R1939">
        <v>0</v>
      </c>
      <c r="S1939">
        <v>0</v>
      </c>
      <c r="T1939">
        <v>134.31486390000001</v>
      </c>
      <c r="U1939">
        <f t="shared" si="60"/>
        <v>0</v>
      </c>
      <c r="V1939">
        <f t="shared" si="61"/>
        <v>0</v>
      </c>
    </row>
    <row r="1940" spans="1:22" x14ac:dyDescent="0.2">
      <c r="A1940" t="s">
        <v>3180</v>
      </c>
      <c r="B1940" t="s">
        <v>43</v>
      </c>
      <c r="C1940" t="s">
        <v>76</v>
      </c>
      <c r="D1940" t="s">
        <v>77</v>
      </c>
      <c r="E1940" s="1" t="s">
        <v>138</v>
      </c>
      <c r="F1940" t="s">
        <v>139</v>
      </c>
      <c r="G1940">
        <v>16</v>
      </c>
      <c r="H1940">
        <v>0</v>
      </c>
      <c r="I1940">
        <v>37020847</v>
      </c>
      <c r="J1940">
        <v>83</v>
      </c>
      <c r="K1940">
        <v>7</v>
      </c>
      <c r="L1940">
        <v>37020847</v>
      </c>
      <c r="M1940">
        <v>0</v>
      </c>
      <c r="N1940">
        <v>1</v>
      </c>
      <c r="O1940" s="1" t="s">
        <v>3287</v>
      </c>
      <c r="P1940">
        <v>0</v>
      </c>
      <c r="Q1940">
        <v>0</v>
      </c>
      <c r="R1940">
        <v>0</v>
      </c>
      <c r="S1940">
        <v>1</v>
      </c>
      <c r="T1940">
        <v>134.31486390000001</v>
      </c>
      <c r="U1940">
        <f t="shared" si="60"/>
        <v>0</v>
      </c>
      <c r="V1940">
        <f t="shared" si="61"/>
        <v>1</v>
      </c>
    </row>
    <row r="1941" spans="1:22" x14ac:dyDescent="0.2">
      <c r="A1941" t="s">
        <v>3180</v>
      </c>
      <c r="B1941" t="s">
        <v>43</v>
      </c>
      <c r="C1941" t="s">
        <v>76</v>
      </c>
      <c r="D1941" t="s">
        <v>77</v>
      </c>
      <c r="E1941" s="1" t="s">
        <v>85</v>
      </c>
      <c r="F1941" t="s">
        <v>86</v>
      </c>
      <c r="G1941">
        <v>26</v>
      </c>
      <c r="H1941">
        <v>0</v>
      </c>
      <c r="I1941">
        <v>150431731</v>
      </c>
      <c r="J1941">
        <v>65</v>
      </c>
      <c r="K1941">
        <v>6</v>
      </c>
      <c r="L1941">
        <v>150431731</v>
      </c>
      <c r="M1941">
        <v>0</v>
      </c>
      <c r="N1941">
        <v>1</v>
      </c>
      <c r="O1941">
        <v>6.4117179514071504E-2</v>
      </c>
      <c r="P1941">
        <v>0</v>
      </c>
      <c r="Q1941">
        <v>0</v>
      </c>
      <c r="R1941">
        <v>0</v>
      </c>
      <c r="S1941">
        <v>1</v>
      </c>
      <c r="T1941">
        <v>134.31486390000001</v>
      </c>
      <c r="U1941">
        <f t="shared" si="60"/>
        <v>0</v>
      </c>
      <c r="V1941">
        <f t="shared" si="61"/>
        <v>1</v>
      </c>
    </row>
    <row r="1942" spans="1:22" x14ac:dyDescent="0.2">
      <c r="A1942" t="s">
        <v>3288</v>
      </c>
      <c r="B1942" t="s">
        <v>44</v>
      </c>
      <c r="C1942" t="s">
        <v>76</v>
      </c>
      <c r="D1942" t="s">
        <v>77</v>
      </c>
      <c r="E1942" s="1" t="s">
        <v>82</v>
      </c>
      <c r="F1942" t="s">
        <v>83</v>
      </c>
      <c r="G1942">
        <v>10</v>
      </c>
      <c r="H1942">
        <v>130488295</v>
      </c>
      <c r="I1942">
        <v>0</v>
      </c>
      <c r="J1942">
        <v>46</v>
      </c>
      <c r="K1942">
        <v>65</v>
      </c>
      <c r="L1942">
        <v>-130488295</v>
      </c>
      <c r="M1942">
        <v>1</v>
      </c>
      <c r="N1942">
        <v>0</v>
      </c>
      <c r="O1942" s="1" t="s">
        <v>3289</v>
      </c>
      <c r="P1942">
        <v>0</v>
      </c>
      <c r="Q1942">
        <v>0</v>
      </c>
      <c r="R1942">
        <v>0</v>
      </c>
      <c r="S1942">
        <v>0</v>
      </c>
      <c r="T1942">
        <v>45.061213709999997</v>
      </c>
      <c r="U1942">
        <f t="shared" si="60"/>
        <v>0</v>
      </c>
      <c r="V1942">
        <f t="shared" si="61"/>
        <v>0</v>
      </c>
    </row>
    <row r="1943" spans="1:22" x14ac:dyDescent="0.2">
      <c r="A1943" t="s">
        <v>3288</v>
      </c>
      <c r="B1943" t="s">
        <v>44</v>
      </c>
      <c r="C1943" t="s">
        <v>76</v>
      </c>
      <c r="D1943" t="s">
        <v>77</v>
      </c>
      <c r="E1943" s="1" t="s">
        <v>89</v>
      </c>
      <c r="F1943" t="s">
        <v>90</v>
      </c>
      <c r="G1943">
        <v>31</v>
      </c>
      <c r="H1943">
        <v>22613861</v>
      </c>
      <c r="I1943">
        <v>0</v>
      </c>
      <c r="J1943">
        <v>85</v>
      </c>
      <c r="K1943">
        <v>51</v>
      </c>
      <c r="L1943">
        <v>-22613861</v>
      </c>
      <c r="M1943">
        <v>1</v>
      </c>
      <c r="N1943">
        <v>0</v>
      </c>
      <c r="O1943" s="1" t="s">
        <v>3290</v>
      </c>
      <c r="P1943">
        <v>0</v>
      </c>
      <c r="Q1943">
        <v>0</v>
      </c>
      <c r="R1943">
        <v>0</v>
      </c>
      <c r="S1943">
        <v>0</v>
      </c>
      <c r="T1943">
        <v>45.061213709999997</v>
      </c>
      <c r="U1943">
        <f t="shared" si="60"/>
        <v>0</v>
      </c>
      <c r="V1943">
        <f t="shared" si="61"/>
        <v>0</v>
      </c>
    </row>
    <row r="1944" spans="1:22" x14ac:dyDescent="0.2">
      <c r="A1944" t="s">
        <v>3288</v>
      </c>
      <c r="B1944" t="s">
        <v>44</v>
      </c>
      <c r="C1944" t="s">
        <v>76</v>
      </c>
      <c r="D1944" t="s">
        <v>77</v>
      </c>
      <c r="E1944" s="1" t="s">
        <v>82</v>
      </c>
      <c r="F1944" t="s">
        <v>83</v>
      </c>
      <c r="G1944">
        <v>11</v>
      </c>
      <c r="H1944">
        <v>2234741</v>
      </c>
      <c r="I1944">
        <v>0</v>
      </c>
      <c r="J1944">
        <v>34</v>
      </c>
      <c r="K1944">
        <v>71</v>
      </c>
      <c r="L1944">
        <v>-2234741</v>
      </c>
      <c r="M1944">
        <v>1</v>
      </c>
      <c r="N1944">
        <v>0</v>
      </c>
      <c r="O1944" s="1" t="s">
        <v>3291</v>
      </c>
      <c r="P1944">
        <v>0</v>
      </c>
      <c r="Q1944">
        <v>0</v>
      </c>
      <c r="R1944">
        <v>0</v>
      </c>
      <c r="S1944">
        <v>0</v>
      </c>
      <c r="T1944">
        <v>45.061213709999997</v>
      </c>
      <c r="U1944">
        <f t="shared" si="60"/>
        <v>0</v>
      </c>
      <c r="V1944">
        <f t="shared" si="61"/>
        <v>0</v>
      </c>
    </row>
    <row r="1945" spans="1:22" x14ac:dyDescent="0.2">
      <c r="A1945" t="s">
        <v>3288</v>
      </c>
      <c r="B1945" t="s">
        <v>44</v>
      </c>
      <c r="C1945" t="s">
        <v>76</v>
      </c>
      <c r="D1945" t="s">
        <v>77</v>
      </c>
      <c r="E1945">
        <v>15</v>
      </c>
      <c r="F1945" t="s">
        <v>88</v>
      </c>
      <c r="G1945">
        <v>72</v>
      </c>
      <c r="H1945">
        <v>3236927</v>
      </c>
      <c r="I1945">
        <v>0</v>
      </c>
      <c r="J1945">
        <v>101</v>
      </c>
      <c r="K1945">
        <v>74</v>
      </c>
      <c r="L1945">
        <v>-3236927</v>
      </c>
      <c r="M1945">
        <v>1</v>
      </c>
      <c r="N1945">
        <v>0</v>
      </c>
      <c r="O1945">
        <v>1.73703670899624E-2</v>
      </c>
      <c r="P1945">
        <v>0</v>
      </c>
      <c r="Q1945">
        <v>0</v>
      </c>
      <c r="R1945">
        <v>0</v>
      </c>
      <c r="S1945">
        <v>0</v>
      </c>
      <c r="T1945">
        <v>45.061213709999997</v>
      </c>
      <c r="U1945">
        <f t="shared" si="60"/>
        <v>0</v>
      </c>
      <c r="V1945">
        <f t="shared" si="61"/>
        <v>0</v>
      </c>
    </row>
    <row r="1946" spans="1:22" x14ac:dyDescent="0.2">
      <c r="A1946" t="s">
        <v>3288</v>
      </c>
      <c r="B1946" t="s">
        <v>44</v>
      </c>
      <c r="C1946" t="s">
        <v>76</v>
      </c>
      <c r="D1946" t="s">
        <v>77</v>
      </c>
      <c r="E1946">
        <v>17</v>
      </c>
      <c r="F1946" t="s">
        <v>97</v>
      </c>
      <c r="G1946">
        <v>87</v>
      </c>
      <c r="H1946">
        <v>4428731</v>
      </c>
      <c r="I1946">
        <v>0</v>
      </c>
      <c r="J1946">
        <v>64</v>
      </c>
      <c r="K1946">
        <v>96</v>
      </c>
      <c r="L1946">
        <v>-4428731</v>
      </c>
      <c r="M1946">
        <v>1</v>
      </c>
      <c r="N1946">
        <v>0</v>
      </c>
      <c r="O1946" s="1" t="s">
        <v>3292</v>
      </c>
      <c r="P1946">
        <v>0</v>
      </c>
      <c r="Q1946">
        <v>0</v>
      </c>
      <c r="R1946">
        <v>0</v>
      </c>
      <c r="S1946">
        <v>0</v>
      </c>
      <c r="T1946">
        <v>45.061213709999997</v>
      </c>
      <c r="U1946">
        <f t="shared" si="60"/>
        <v>0</v>
      </c>
      <c r="V1946">
        <f t="shared" si="61"/>
        <v>0</v>
      </c>
    </row>
    <row r="1947" spans="1:22" x14ac:dyDescent="0.2">
      <c r="A1947" t="s">
        <v>3288</v>
      </c>
      <c r="B1947" t="s">
        <v>44</v>
      </c>
      <c r="C1947" t="s">
        <v>76</v>
      </c>
      <c r="D1947" t="s">
        <v>77</v>
      </c>
      <c r="E1947">
        <v>10</v>
      </c>
      <c r="F1947" t="s">
        <v>119</v>
      </c>
      <c r="G1947">
        <v>48</v>
      </c>
      <c r="H1947">
        <v>4506157</v>
      </c>
      <c r="I1947">
        <v>0</v>
      </c>
      <c r="J1947">
        <v>87</v>
      </c>
      <c r="K1947">
        <v>97</v>
      </c>
      <c r="L1947">
        <v>-4506157</v>
      </c>
      <c r="M1947">
        <v>1</v>
      </c>
      <c r="N1947">
        <v>0</v>
      </c>
      <c r="O1947" s="1" t="s">
        <v>3293</v>
      </c>
      <c r="P1947">
        <v>0</v>
      </c>
      <c r="Q1947">
        <v>0</v>
      </c>
      <c r="R1947">
        <v>0</v>
      </c>
      <c r="S1947">
        <v>0</v>
      </c>
      <c r="T1947">
        <v>45.061213709999997</v>
      </c>
      <c r="U1947">
        <f t="shared" si="60"/>
        <v>0</v>
      </c>
      <c r="V1947">
        <f t="shared" si="61"/>
        <v>0</v>
      </c>
    </row>
    <row r="1948" spans="1:22" x14ac:dyDescent="0.2">
      <c r="A1948" t="s">
        <v>3288</v>
      </c>
      <c r="B1948" t="s">
        <v>44</v>
      </c>
      <c r="C1948" t="s">
        <v>76</v>
      </c>
      <c r="D1948" t="s">
        <v>77</v>
      </c>
      <c r="E1948" s="1" t="s">
        <v>110</v>
      </c>
      <c r="F1948" t="s">
        <v>111</v>
      </c>
      <c r="G1948">
        <v>15</v>
      </c>
      <c r="H1948">
        <v>6750638</v>
      </c>
      <c r="I1948">
        <v>0</v>
      </c>
      <c r="J1948">
        <v>44</v>
      </c>
      <c r="K1948">
        <v>86</v>
      </c>
      <c r="L1948">
        <v>-6750638</v>
      </c>
      <c r="M1948">
        <v>1</v>
      </c>
      <c r="N1948">
        <v>0</v>
      </c>
      <c r="O1948">
        <v>3.6226044069405799E-2</v>
      </c>
      <c r="P1948">
        <v>0</v>
      </c>
      <c r="Q1948">
        <v>0</v>
      </c>
      <c r="R1948">
        <v>0</v>
      </c>
      <c r="S1948">
        <v>0</v>
      </c>
      <c r="T1948">
        <v>45.061213709999997</v>
      </c>
      <c r="U1948">
        <f t="shared" si="60"/>
        <v>0</v>
      </c>
      <c r="V1948">
        <f t="shared" si="61"/>
        <v>0</v>
      </c>
    </row>
    <row r="1949" spans="1:22" x14ac:dyDescent="0.2">
      <c r="A1949" t="s">
        <v>3288</v>
      </c>
      <c r="B1949" t="s">
        <v>44</v>
      </c>
      <c r="C1949" t="s">
        <v>76</v>
      </c>
      <c r="D1949" t="s">
        <v>77</v>
      </c>
      <c r="E1949">
        <v>18</v>
      </c>
      <c r="F1949" t="s">
        <v>147</v>
      </c>
      <c r="G1949">
        <v>90</v>
      </c>
      <c r="H1949">
        <v>186436</v>
      </c>
      <c r="I1949">
        <v>0</v>
      </c>
      <c r="J1949">
        <v>101</v>
      </c>
      <c r="K1949">
        <v>103</v>
      </c>
      <c r="L1949">
        <v>-186436</v>
      </c>
      <c r="M1949">
        <v>1</v>
      </c>
      <c r="N1949">
        <v>0</v>
      </c>
      <c r="O1949">
        <v>1.00047414068474E-3</v>
      </c>
      <c r="P1949">
        <v>0</v>
      </c>
      <c r="Q1949">
        <v>0</v>
      </c>
      <c r="R1949">
        <v>0</v>
      </c>
      <c r="S1949">
        <v>0</v>
      </c>
      <c r="T1949">
        <v>45.061213709999997</v>
      </c>
      <c r="U1949">
        <f t="shared" si="60"/>
        <v>0</v>
      </c>
      <c r="V1949">
        <f t="shared" si="61"/>
        <v>0</v>
      </c>
    </row>
    <row r="1950" spans="1:22" x14ac:dyDescent="0.2">
      <c r="A1950" t="s">
        <v>3288</v>
      </c>
      <c r="B1950" t="s">
        <v>44</v>
      </c>
      <c r="C1950" t="s">
        <v>76</v>
      </c>
      <c r="D1950" t="s">
        <v>77</v>
      </c>
      <c r="E1950" s="1" t="s">
        <v>99</v>
      </c>
      <c r="F1950" t="s">
        <v>100</v>
      </c>
      <c r="G1950">
        <v>40</v>
      </c>
      <c r="H1950">
        <v>199792</v>
      </c>
      <c r="I1950">
        <v>0</v>
      </c>
      <c r="J1950">
        <v>103</v>
      </c>
      <c r="K1950">
        <v>97</v>
      </c>
      <c r="L1950">
        <v>-199792</v>
      </c>
      <c r="M1950">
        <v>1</v>
      </c>
      <c r="N1950">
        <v>0</v>
      </c>
      <c r="O1950">
        <v>1.07214663217235E-3</v>
      </c>
      <c r="P1950">
        <v>0</v>
      </c>
      <c r="Q1950">
        <v>0</v>
      </c>
      <c r="R1950">
        <v>0</v>
      </c>
      <c r="S1950">
        <v>0</v>
      </c>
      <c r="T1950">
        <v>45.061213709999997</v>
      </c>
      <c r="U1950">
        <f t="shared" si="60"/>
        <v>0</v>
      </c>
      <c r="V1950">
        <f t="shared" si="61"/>
        <v>0</v>
      </c>
    </row>
    <row r="1951" spans="1:22" x14ac:dyDescent="0.2">
      <c r="A1951" t="s">
        <v>3288</v>
      </c>
      <c r="B1951" t="s">
        <v>44</v>
      </c>
      <c r="C1951" t="s">
        <v>76</v>
      </c>
      <c r="D1951" t="s">
        <v>77</v>
      </c>
      <c r="E1951">
        <v>15</v>
      </c>
      <c r="F1951" t="s">
        <v>88</v>
      </c>
      <c r="G1951">
        <v>82</v>
      </c>
      <c r="H1951">
        <v>36335</v>
      </c>
      <c r="I1951">
        <v>0</v>
      </c>
      <c r="J1951">
        <v>103</v>
      </c>
      <c r="K1951">
        <v>96</v>
      </c>
      <c r="L1951">
        <v>-36335</v>
      </c>
      <c r="M1951">
        <v>1</v>
      </c>
      <c r="N1951">
        <v>0</v>
      </c>
      <c r="O1951" s="1" t="s">
        <v>3294</v>
      </c>
      <c r="P1951">
        <v>0</v>
      </c>
      <c r="Q1951">
        <v>0</v>
      </c>
      <c r="R1951">
        <v>0</v>
      </c>
      <c r="S1951">
        <v>0</v>
      </c>
      <c r="T1951">
        <v>45.061213709999997</v>
      </c>
      <c r="U1951">
        <f t="shared" si="60"/>
        <v>0</v>
      </c>
      <c r="V1951">
        <f t="shared" si="61"/>
        <v>0</v>
      </c>
    </row>
    <row r="1952" spans="1:22" x14ac:dyDescent="0.2">
      <c r="A1952" t="s">
        <v>3288</v>
      </c>
      <c r="B1952" t="s">
        <v>44</v>
      </c>
      <c r="C1952" t="s">
        <v>76</v>
      </c>
      <c r="D1952" t="s">
        <v>77</v>
      </c>
      <c r="E1952">
        <v>16</v>
      </c>
      <c r="F1952" t="s">
        <v>95</v>
      </c>
      <c r="G1952">
        <v>84</v>
      </c>
      <c r="H1952">
        <v>420600</v>
      </c>
      <c r="I1952">
        <v>0</v>
      </c>
      <c r="J1952">
        <v>116</v>
      </c>
      <c r="K1952">
        <v>117</v>
      </c>
      <c r="L1952">
        <v>-420600</v>
      </c>
      <c r="M1952">
        <v>1</v>
      </c>
      <c r="N1952">
        <v>0</v>
      </c>
      <c r="O1952">
        <v>2.2570717220493901E-3</v>
      </c>
      <c r="P1952">
        <v>0</v>
      </c>
      <c r="Q1952">
        <v>0</v>
      </c>
      <c r="R1952">
        <v>0</v>
      </c>
      <c r="S1952">
        <v>0</v>
      </c>
      <c r="T1952">
        <v>45.061213709999997</v>
      </c>
      <c r="U1952">
        <f t="shared" si="60"/>
        <v>0</v>
      </c>
      <c r="V1952">
        <f t="shared" si="61"/>
        <v>0</v>
      </c>
    </row>
    <row r="1953" spans="1:22" x14ac:dyDescent="0.2">
      <c r="A1953" t="s">
        <v>3288</v>
      </c>
      <c r="B1953" t="s">
        <v>44</v>
      </c>
      <c r="C1953" t="s">
        <v>76</v>
      </c>
      <c r="D1953" t="s">
        <v>77</v>
      </c>
      <c r="E1953">
        <v>16</v>
      </c>
      <c r="F1953" t="s">
        <v>95</v>
      </c>
      <c r="G1953">
        <v>85</v>
      </c>
      <c r="H1953">
        <v>83995</v>
      </c>
      <c r="I1953">
        <v>16657</v>
      </c>
      <c r="J1953">
        <v>132</v>
      </c>
      <c r="K1953">
        <v>96</v>
      </c>
      <c r="L1953">
        <v>-67338</v>
      </c>
      <c r="M1953" s="1" t="s">
        <v>3295</v>
      </c>
      <c r="N1953" s="1" t="s">
        <v>3296</v>
      </c>
      <c r="O1953" s="1" t="s">
        <v>3297</v>
      </c>
      <c r="P1953">
        <v>0</v>
      </c>
      <c r="Q1953">
        <v>0</v>
      </c>
      <c r="R1953">
        <v>0</v>
      </c>
      <c r="S1953">
        <v>0</v>
      </c>
      <c r="T1953">
        <v>45.061213709999997</v>
      </c>
      <c r="U1953">
        <f t="shared" si="60"/>
        <v>0</v>
      </c>
      <c r="V1953">
        <f t="shared" si="61"/>
        <v>0</v>
      </c>
    </row>
    <row r="1954" spans="1:22" x14ac:dyDescent="0.2">
      <c r="A1954" t="s">
        <v>3288</v>
      </c>
      <c r="B1954" t="s">
        <v>44</v>
      </c>
      <c r="C1954" t="s">
        <v>76</v>
      </c>
      <c r="D1954" t="s">
        <v>77</v>
      </c>
      <c r="E1954">
        <v>11</v>
      </c>
      <c r="F1954" t="s">
        <v>127</v>
      </c>
      <c r="G1954">
        <v>63</v>
      </c>
      <c r="H1954">
        <v>6015</v>
      </c>
      <c r="I1954">
        <v>0</v>
      </c>
      <c r="J1954">
        <v>104</v>
      </c>
      <c r="K1954">
        <v>108</v>
      </c>
      <c r="L1954">
        <v>-6015</v>
      </c>
      <c r="M1954">
        <v>1</v>
      </c>
      <c r="N1954">
        <v>0</v>
      </c>
      <c r="O1954" s="1" t="s">
        <v>3298</v>
      </c>
      <c r="P1954">
        <v>0</v>
      </c>
      <c r="Q1954">
        <v>0</v>
      </c>
      <c r="R1954">
        <v>0</v>
      </c>
      <c r="S1954">
        <v>0</v>
      </c>
      <c r="T1954">
        <v>45.061213709999997</v>
      </c>
      <c r="U1954">
        <f t="shared" si="60"/>
        <v>0</v>
      </c>
      <c r="V1954">
        <f t="shared" si="61"/>
        <v>0</v>
      </c>
    </row>
    <row r="1955" spans="1:22" x14ac:dyDescent="0.2">
      <c r="A1955" t="s">
        <v>3288</v>
      </c>
      <c r="B1955" t="s">
        <v>44</v>
      </c>
      <c r="C1955" t="s">
        <v>76</v>
      </c>
      <c r="D1955" t="s">
        <v>77</v>
      </c>
      <c r="E1955">
        <v>20</v>
      </c>
      <c r="F1955" t="s">
        <v>104</v>
      </c>
      <c r="G1955">
        <v>94</v>
      </c>
      <c r="H1955">
        <v>9853</v>
      </c>
      <c r="I1955">
        <v>0</v>
      </c>
      <c r="J1955">
        <v>111</v>
      </c>
      <c r="K1955">
        <v>103</v>
      </c>
      <c r="L1955">
        <v>-9853</v>
      </c>
      <c r="M1955">
        <v>1</v>
      </c>
      <c r="N1955">
        <v>0</v>
      </c>
      <c r="O1955" s="1" t="s">
        <v>3299</v>
      </c>
      <c r="P1955">
        <v>0</v>
      </c>
      <c r="Q1955">
        <v>0</v>
      </c>
      <c r="R1955">
        <v>0</v>
      </c>
      <c r="S1955">
        <v>0</v>
      </c>
      <c r="T1955">
        <v>45.061213709999997</v>
      </c>
      <c r="U1955">
        <f t="shared" si="60"/>
        <v>0</v>
      </c>
      <c r="V1955">
        <f t="shared" si="61"/>
        <v>0</v>
      </c>
    </row>
    <row r="1956" spans="1:22" x14ac:dyDescent="0.2">
      <c r="A1956" t="s">
        <v>3288</v>
      </c>
      <c r="B1956" t="s">
        <v>44</v>
      </c>
      <c r="C1956" t="s">
        <v>76</v>
      </c>
      <c r="D1956" t="s">
        <v>77</v>
      </c>
      <c r="E1956" s="1" t="s">
        <v>89</v>
      </c>
      <c r="F1956" t="s">
        <v>90</v>
      </c>
      <c r="G1956">
        <v>30</v>
      </c>
      <c r="H1956">
        <v>96775</v>
      </c>
      <c r="I1956">
        <v>0</v>
      </c>
      <c r="J1956">
        <v>100</v>
      </c>
      <c r="K1956">
        <v>91</v>
      </c>
      <c r="L1956">
        <v>-96775</v>
      </c>
      <c r="M1956">
        <v>1</v>
      </c>
      <c r="N1956">
        <v>0</v>
      </c>
      <c r="O1956" s="1" t="s">
        <v>3300</v>
      </c>
      <c r="P1956">
        <v>0</v>
      </c>
      <c r="Q1956">
        <v>0</v>
      </c>
      <c r="R1956">
        <v>0</v>
      </c>
      <c r="S1956">
        <v>0</v>
      </c>
      <c r="T1956">
        <v>45.061213709999997</v>
      </c>
      <c r="U1956">
        <f t="shared" si="60"/>
        <v>0</v>
      </c>
      <c r="V1956">
        <f t="shared" si="61"/>
        <v>0</v>
      </c>
    </row>
    <row r="1957" spans="1:22" x14ac:dyDescent="0.2">
      <c r="A1957" t="s">
        <v>3288</v>
      </c>
      <c r="B1957" t="s">
        <v>44</v>
      </c>
      <c r="C1957" t="s">
        <v>76</v>
      </c>
      <c r="D1957" t="s">
        <v>77</v>
      </c>
      <c r="E1957">
        <v>20</v>
      </c>
      <c r="F1957" t="s">
        <v>104</v>
      </c>
      <c r="G1957">
        <v>96</v>
      </c>
      <c r="H1957">
        <v>3379</v>
      </c>
      <c r="I1957">
        <v>578</v>
      </c>
      <c r="J1957">
        <v>85</v>
      </c>
      <c r="K1957">
        <v>81</v>
      </c>
      <c r="L1957">
        <v>-2801</v>
      </c>
      <c r="M1957" s="1" t="s">
        <v>3301</v>
      </c>
      <c r="N1957" s="1" t="s">
        <v>3302</v>
      </c>
      <c r="O1957" s="1" t="s">
        <v>3303</v>
      </c>
      <c r="P1957">
        <v>0</v>
      </c>
      <c r="Q1957">
        <v>0</v>
      </c>
      <c r="R1957">
        <v>0</v>
      </c>
      <c r="S1957">
        <v>0</v>
      </c>
      <c r="T1957">
        <v>45.061213709999997</v>
      </c>
      <c r="U1957">
        <f t="shared" si="60"/>
        <v>0</v>
      </c>
      <c r="V1957">
        <f t="shared" si="61"/>
        <v>0</v>
      </c>
    </row>
    <row r="1958" spans="1:22" x14ac:dyDescent="0.2">
      <c r="A1958" t="s">
        <v>3288</v>
      </c>
      <c r="B1958" t="s">
        <v>44</v>
      </c>
      <c r="C1958" t="s">
        <v>76</v>
      </c>
      <c r="D1958" t="s">
        <v>77</v>
      </c>
      <c r="E1958" s="1" t="s">
        <v>99</v>
      </c>
      <c r="F1958" t="s">
        <v>100</v>
      </c>
      <c r="G1958">
        <v>39</v>
      </c>
      <c r="H1958">
        <v>9701</v>
      </c>
      <c r="I1958">
        <v>0</v>
      </c>
      <c r="J1958">
        <v>126</v>
      </c>
      <c r="K1958">
        <v>109</v>
      </c>
      <c r="L1958">
        <v>-9701</v>
      </c>
      <c r="M1958">
        <v>1</v>
      </c>
      <c r="N1958">
        <v>0</v>
      </c>
      <c r="O1958" s="1" t="s">
        <v>3304</v>
      </c>
      <c r="P1958">
        <v>0</v>
      </c>
      <c r="Q1958">
        <v>0</v>
      </c>
      <c r="R1958">
        <v>0</v>
      </c>
      <c r="S1958">
        <v>0</v>
      </c>
      <c r="T1958">
        <v>45.061213709999997</v>
      </c>
      <c r="U1958">
        <f t="shared" si="60"/>
        <v>0</v>
      </c>
      <c r="V1958">
        <f t="shared" si="61"/>
        <v>0</v>
      </c>
    </row>
    <row r="1959" spans="1:22" x14ac:dyDescent="0.2">
      <c r="A1959" t="s">
        <v>3288</v>
      </c>
      <c r="B1959" t="s">
        <v>44</v>
      </c>
      <c r="C1959" t="s">
        <v>76</v>
      </c>
      <c r="D1959" t="s">
        <v>77</v>
      </c>
      <c r="E1959">
        <v>20</v>
      </c>
      <c r="F1959" t="s">
        <v>104</v>
      </c>
      <c r="G1959">
        <v>95</v>
      </c>
      <c r="H1959">
        <v>4086</v>
      </c>
      <c r="I1959">
        <v>0</v>
      </c>
      <c r="J1959">
        <v>105</v>
      </c>
      <c r="K1959">
        <v>91</v>
      </c>
      <c r="L1959">
        <v>-4086</v>
      </c>
      <c r="M1959">
        <v>1</v>
      </c>
      <c r="N1959">
        <v>0</v>
      </c>
      <c r="O1959" s="1" t="s">
        <v>3305</v>
      </c>
      <c r="P1959">
        <v>0</v>
      </c>
      <c r="Q1959">
        <v>0</v>
      </c>
      <c r="R1959">
        <v>0</v>
      </c>
      <c r="S1959">
        <v>0</v>
      </c>
      <c r="T1959">
        <v>45.061213709999997</v>
      </c>
      <c r="U1959">
        <f t="shared" si="60"/>
        <v>0</v>
      </c>
      <c r="V1959">
        <f t="shared" si="61"/>
        <v>0</v>
      </c>
    </row>
    <row r="1960" spans="1:22" x14ac:dyDescent="0.2">
      <c r="A1960" t="s">
        <v>3288</v>
      </c>
      <c r="B1960" t="s">
        <v>44</v>
      </c>
      <c r="C1960" t="s">
        <v>76</v>
      </c>
      <c r="D1960" t="s">
        <v>77</v>
      </c>
      <c r="E1960" s="1" t="s">
        <v>138</v>
      </c>
      <c r="F1960" t="s">
        <v>139</v>
      </c>
      <c r="G1960">
        <v>22</v>
      </c>
      <c r="H1960">
        <v>7406</v>
      </c>
      <c r="I1960">
        <v>0</v>
      </c>
      <c r="J1960">
        <v>129</v>
      </c>
      <c r="K1960">
        <v>98</v>
      </c>
      <c r="L1960">
        <v>-7406</v>
      </c>
      <c r="M1960">
        <v>1</v>
      </c>
      <c r="N1960">
        <v>0</v>
      </c>
      <c r="O1960" s="1" t="s">
        <v>3306</v>
      </c>
      <c r="P1960">
        <v>0</v>
      </c>
      <c r="Q1960">
        <v>0</v>
      </c>
      <c r="R1960">
        <v>0</v>
      </c>
      <c r="S1960">
        <v>0</v>
      </c>
      <c r="T1960">
        <v>45.061213709999997</v>
      </c>
      <c r="U1960">
        <f t="shared" si="60"/>
        <v>0</v>
      </c>
      <c r="V1960">
        <f t="shared" si="61"/>
        <v>0</v>
      </c>
    </row>
    <row r="1961" spans="1:22" x14ac:dyDescent="0.2">
      <c r="A1961" t="s">
        <v>3288</v>
      </c>
      <c r="B1961" t="s">
        <v>44</v>
      </c>
      <c r="C1961" t="s">
        <v>76</v>
      </c>
      <c r="D1961" t="s">
        <v>77</v>
      </c>
      <c r="E1961">
        <v>10</v>
      </c>
      <c r="F1961" t="s">
        <v>119</v>
      </c>
      <c r="G1961">
        <v>49</v>
      </c>
      <c r="H1961">
        <v>4019</v>
      </c>
      <c r="I1961">
        <v>106</v>
      </c>
      <c r="J1961">
        <v>102</v>
      </c>
      <c r="K1961">
        <v>101</v>
      </c>
      <c r="L1961">
        <v>-3913</v>
      </c>
      <c r="M1961" s="1" t="s">
        <v>3307</v>
      </c>
      <c r="N1961" s="1" t="s">
        <v>3308</v>
      </c>
      <c r="O1961" s="1" t="s">
        <v>3309</v>
      </c>
      <c r="P1961">
        <v>0</v>
      </c>
      <c r="Q1961">
        <v>0</v>
      </c>
      <c r="R1961">
        <v>0</v>
      </c>
      <c r="S1961">
        <v>0</v>
      </c>
      <c r="T1961">
        <v>45.061213709999997</v>
      </c>
      <c r="U1961">
        <f t="shared" si="60"/>
        <v>0</v>
      </c>
      <c r="V1961">
        <f t="shared" si="61"/>
        <v>0</v>
      </c>
    </row>
    <row r="1962" spans="1:22" x14ac:dyDescent="0.2">
      <c r="A1962" t="s">
        <v>3288</v>
      </c>
      <c r="B1962" t="s">
        <v>44</v>
      </c>
      <c r="C1962" t="s">
        <v>76</v>
      </c>
      <c r="D1962" t="s">
        <v>77</v>
      </c>
      <c r="E1962">
        <v>17</v>
      </c>
      <c r="F1962" t="s">
        <v>97</v>
      </c>
      <c r="G1962">
        <v>88</v>
      </c>
      <c r="H1962">
        <v>1426472</v>
      </c>
      <c r="I1962">
        <v>4001</v>
      </c>
      <c r="J1962">
        <v>62</v>
      </c>
      <c r="K1962">
        <v>80</v>
      </c>
      <c r="L1962">
        <v>-1422471</v>
      </c>
      <c r="M1962" s="1" t="s">
        <v>3310</v>
      </c>
      <c r="N1962">
        <v>2.7969769439898499E-3</v>
      </c>
      <c r="O1962">
        <v>7.6763674689851796E-3</v>
      </c>
      <c r="P1962">
        <v>0</v>
      </c>
      <c r="Q1962">
        <v>0</v>
      </c>
      <c r="R1962">
        <v>0</v>
      </c>
      <c r="S1962">
        <v>0</v>
      </c>
      <c r="T1962">
        <v>45.061213709999997</v>
      </c>
      <c r="U1962">
        <f t="shared" si="60"/>
        <v>0</v>
      </c>
      <c r="V1962">
        <f t="shared" si="61"/>
        <v>0</v>
      </c>
    </row>
    <row r="1963" spans="1:22" x14ac:dyDescent="0.2">
      <c r="A1963" t="s">
        <v>3288</v>
      </c>
      <c r="B1963" t="s">
        <v>44</v>
      </c>
      <c r="C1963" t="s">
        <v>76</v>
      </c>
      <c r="D1963" t="s">
        <v>77</v>
      </c>
      <c r="E1963">
        <v>15</v>
      </c>
      <c r="F1963" t="s">
        <v>88</v>
      </c>
      <c r="G1963">
        <v>76</v>
      </c>
      <c r="H1963">
        <v>2307</v>
      </c>
      <c r="I1963">
        <v>0</v>
      </c>
      <c r="J1963">
        <v>116</v>
      </c>
      <c r="K1963">
        <v>92</v>
      </c>
      <c r="L1963">
        <v>-2307</v>
      </c>
      <c r="M1963">
        <v>1</v>
      </c>
      <c r="N1963">
        <v>0</v>
      </c>
      <c r="O1963" s="1" t="s">
        <v>3311</v>
      </c>
      <c r="P1963">
        <v>0</v>
      </c>
      <c r="Q1963">
        <v>0</v>
      </c>
      <c r="R1963">
        <v>0</v>
      </c>
      <c r="S1963">
        <v>0</v>
      </c>
      <c r="T1963">
        <v>45.061213709999997</v>
      </c>
      <c r="U1963">
        <f t="shared" si="60"/>
        <v>0</v>
      </c>
      <c r="V1963">
        <f t="shared" si="61"/>
        <v>0</v>
      </c>
    </row>
    <row r="1964" spans="1:22" x14ac:dyDescent="0.2">
      <c r="A1964" t="s">
        <v>3288</v>
      </c>
      <c r="B1964" t="s">
        <v>44</v>
      </c>
      <c r="C1964" t="s">
        <v>76</v>
      </c>
      <c r="D1964" t="s">
        <v>77</v>
      </c>
      <c r="E1964">
        <v>21</v>
      </c>
      <c r="F1964" t="s">
        <v>212</v>
      </c>
      <c r="G1964">
        <v>97</v>
      </c>
      <c r="H1964">
        <v>1538</v>
      </c>
      <c r="I1964">
        <v>0</v>
      </c>
      <c r="J1964">
        <v>80</v>
      </c>
      <c r="K1964">
        <v>90</v>
      </c>
      <c r="L1964">
        <v>-1538</v>
      </c>
      <c r="M1964">
        <v>1</v>
      </c>
      <c r="N1964">
        <v>0</v>
      </c>
      <c r="O1964" s="1" t="s">
        <v>3312</v>
      </c>
      <c r="P1964">
        <v>0</v>
      </c>
      <c r="Q1964">
        <v>0</v>
      </c>
      <c r="R1964">
        <v>0</v>
      </c>
      <c r="S1964">
        <v>0</v>
      </c>
      <c r="T1964">
        <v>45.061213709999997</v>
      </c>
      <c r="U1964">
        <f t="shared" si="60"/>
        <v>0</v>
      </c>
      <c r="V1964">
        <f t="shared" si="61"/>
        <v>0</v>
      </c>
    </row>
    <row r="1965" spans="1:22" x14ac:dyDescent="0.2">
      <c r="A1965" t="s">
        <v>3288</v>
      </c>
      <c r="B1965" t="s">
        <v>44</v>
      </c>
      <c r="C1965" t="s">
        <v>76</v>
      </c>
      <c r="D1965" t="s">
        <v>77</v>
      </c>
      <c r="E1965">
        <v>13</v>
      </c>
      <c r="F1965" t="s">
        <v>91</v>
      </c>
      <c r="G1965">
        <v>70</v>
      </c>
      <c r="H1965">
        <v>299684</v>
      </c>
      <c r="I1965">
        <v>0</v>
      </c>
      <c r="J1965">
        <v>76</v>
      </c>
      <c r="K1965">
        <v>88</v>
      </c>
      <c r="L1965">
        <v>-299684</v>
      </c>
      <c r="M1965">
        <v>1</v>
      </c>
      <c r="N1965">
        <v>0</v>
      </c>
      <c r="O1965">
        <v>1.60819848300202E-3</v>
      </c>
      <c r="P1965">
        <v>0</v>
      </c>
      <c r="Q1965">
        <v>0</v>
      </c>
      <c r="R1965">
        <v>0</v>
      </c>
      <c r="S1965">
        <v>0</v>
      </c>
      <c r="T1965">
        <v>45.061213709999997</v>
      </c>
      <c r="U1965">
        <f t="shared" si="60"/>
        <v>0</v>
      </c>
      <c r="V1965">
        <f t="shared" si="61"/>
        <v>0</v>
      </c>
    </row>
    <row r="1966" spans="1:22" x14ac:dyDescent="0.2">
      <c r="A1966" t="s">
        <v>3288</v>
      </c>
      <c r="B1966" t="s">
        <v>44</v>
      </c>
      <c r="C1966" t="s">
        <v>76</v>
      </c>
      <c r="D1966" t="s">
        <v>77</v>
      </c>
      <c r="E1966">
        <v>15</v>
      </c>
      <c r="F1966" t="s">
        <v>88</v>
      </c>
      <c r="G1966">
        <v>81</v>
      </c>
      <c r="H1966">
        <v>977</v>
      </c>
      <c r="I1966">
        <v>0</v>
      </c>
      <c r="J1966">
        <v>77</v>
      </c>
      <c r="K1966">
        <v>59</v>
      </c>
      <c r="L1966">
        <v>-977</v>
      </c>
      <c r="M1966">
        <v>1</v>
      </c>
      <c r="N1966">
        <v>0</v>
      </c>
      <c r="O1966" s="1" t="s">
        <v>3313</v>
      </c>
      <c r="P1966">
        <v>0</v>
      </c>
      <c r="Q1966">
        <v>0</v>
      </c>
      <c r="R1966">
        <v>0</v>
      </c>
      <c r="S1966">
        <v>0</v>
      </c>
      <c r="T1966">
        <v>45.061213709999997</v>
      </c>
      <c r="U1966">
        <f t="shared" si="60"/>
        <v>0</v>
      </c>
      <c r="V1966">
        <f t="shared" si="61"/>
        <v>0</v>
      </c>
    </row>
    <row r="1967" spans="1:22" x14ac:dyDescent="0.2">
      <c r="A1967" t="s">
        <v>3288</v>
      </c>
      <c r="B1967" t="s">
        <v>44</v>
      </c>
      <c r="C1967" t="s">
        <v>76</v>
      </c>
      <c r="D1967" t="s">
        <v>77</v>
      </c>
      <c r="E1967">
        <v>12</v>
      </c>
      <c r="F1967" t="s">
        <v>194</v>
      </c>
      <c r="G1967">
        <v>64</v>
      </c>
      <c r="H1967">
        <v>1056</v>
      </c>
      <c r="I1967">
        <v>0</v>
      </c>
      <c r="J1967">
        <v>100</v>
      </c>
      <c r="K1967">
        <v>94</v>
      </c>
      <c r="L1967">
        <v>-1056</v>
      </c>
      <c r="M1967">
        <v>1</v>
      </c>
      <c r="N1967">
        <v>0</v>
      </c>
      <c r="O1967" s="1" t="s">
        <v>3314</v>
      </c>
      <c r="P1967">
        <v>0</v>
      </c>
      <c r="Q1967">
        <v>0</v>
      </c>
      <c r="R1967">
        <v>0</v>
      </c>
      <c r="S1967">
        <v>0</v>
      </c>
      <c r="T1967">
        <v>45.061213709999997</v>
      </c>
      <c r="U1967">
        <f t="shared" si="60"/>
        <v>0</v>
      </c>
      <c r="V1967">
        <f t="shared" si="61"/>
        <v>0</v>
      </c>
    </row>
    <row r="1968" spans="1:22" x14ac:dyDescent="0.2">
      <c r="A1968" t="s">
        <v>3288</v>
      </c>
      <c r="B1968" t="s">
        <v>44</v>
      </c>
      <c r="C1968" t="s">
        <v>76</v>
      </c>
      <c r="D1968" t="s">
        <v>77</v>
      </c>
      <c r="E1968" s="1" t="s">
        <v>163</v>
      </c>
      <c r="F1968" t="s">
        <v>224</v>
      </c>
      <c r="G1968">
        <v>42</v>
      </c>
      <c r="H1968">
        <v>428</v>
      </c>
      <c r="I1968">
        <v>0</v>
      </c>
      <c r="J1968">
        <v>112</v>
      </c>
      <c r="K1968">
        <v>99</v>
      </c>
      <c r="L1968">
        <v>-428</v>
      </c>
      <c r="M1968">
        <v>1</v>
      </c>
      <c r="N1968">
        <v>0</v>
      </c>
      <c r="O1968" s="1" t="s">
        <v>3315</v>
      </c>
      <c r="P1968">
        <v>0</v>
      </c>
      <c r="Q1968">
        <v>0</v>
      </c>
      <c r="R1968">
        <v>0</v>
      </c>
      <c r="S1968">
        <v>0</v>
      </c>
      <c r="T1968">
        <v>45.061213709999997</v>
      </c>
      <c r="U1968">
        <f t="shared" si="60"/>
        <v>0</v>
      </c>
      <c r="V1968">
        <f t="shared" si="61"/>
        <v>0</v>
      </c>
    </row>
    <row r="1969" spans="1:22" x14ac:dyDescent="0.2">
      <c r="A1969" t="s">
        <v>3288</v>
      </c>
      <c r="B1969" t="s">
        <v>44</v>
      </c>
      <c r="C1969" t="s">
        <v>76</v>
      </c>
      <c r="D1969" t="s">
        <v>77</v>
      </c>
      <c r="E1969">
        <v>15</v>
      </c>
      <c r="F1969" t="s">
        <v>88</v>
      </c>
      <c r="G1969">
        <v>78</v>
      </c>
      <c r="H1969">
        <v>297</v>
      </c>
      <c r="I1969">
        <v>0</v>
      </c>
      <c r="J1969">
        <v>70</v>
      </c>
      <c r="K1969">
        <v>44</v>
      </c>
      <c r="L1969">
        <v>-297</v>
      </c>
      <c r="M1969">
        <v>1</v>
      </c>
      <c r="N1969">
        <v>0</v>
      </c>
      <c r="O1969" s="1" t="s">
        <v>3316</v>
      </c>
      <c r="P1969">
        <v>0</v>
      </c>
      <c r="Q1969">
        <v>0</v>
      </c>
      <c r="R1969">
        <v>0</v>
      </c>
      <c r="S1969">
        <v>0</v>
      </c>
      <c r="T1969">
        <v>45.061213709999997</v>
      </c>
      <c r="U1969">
        <f t="shared" si="60"/>
        <v>0</v>
      </c>
      <c r="V1969">
        <f t="shared" si="61"/>
        <v>0</v>
      </c>
    </row>
    <row r="1970" spans="1:22" x14ac:dyDescent="0.2">
      <c r="A1970" t="s">
        <v>3288</v>
      </c>
      <c r="B1970" t="s">
        <v>44</v>
      </c>
      <c r="C1970" t="s">
        <v>76</v>
      </c>
      <c r="D1970" t="s">
        <v>77</v>
      </c>
      <c r="E1970">
        <v>15</v>
      </c>
      <c r="F1970" t="s">
        <v>88</v>
      </c>
      <c r="G1970">
        <v>73</v>
      </c>
      <c r="H1970">
        <v>5521</v>
      </c>
      <c r="I1970">
        <v>0</v>
      </c>
      <c r="J1970">
        <v>132</v>
      </c>
      <c r="K1970">
        <v>103</v>
      </c>
      <c r="L1970">
        <v>-5521</v>
      </c>
      <c r="M1970">
        <v>1</v>
      </c>
      <c r="N1970">
        <v>0</v>
      </c>
      <c r="O1970" s="1" t="s">
        <v>3317</v>
      </c>
      <c r="P1970">
        <v>0</v>
      </c>
      <c r="Q1970">
        <v>0</v>
      </c>
      <c r="R1970">
        <v>0</v>
      </c>
      <c r="S1970">
        <v>0</v>
      </c>
      <c r="T1970">
        <v>45.061213709999997</v>
      </c>
      <c r="U1970">
        <f t="shared" si="60"/>
        <v>0</v>
      </c>
      <c r="V1970">
        <f t="shared" si="61"/>
        <v>0</v>
      </c>
    </row>
    <row r="1971" spans="1:22" x14ac:dyDescent="0.2">
      <c r="A1971" t="s">
        <v>3288</v>
      </c>
      <c r="B1971" t="s">
        <v>44</v>
      </c>
      <c r="C1971" t="s">
        <v>76</v>
      </c>
      <c r="D1971" t="s">
        <v>77</v>
      </c>
      <c r="E1971" s="1" t="s">
        <v>93</v>
      </c>
      <c r="F1971" t="s">
        <v>94</v>
      </c>
      <c r="G1971">
        <v>44</v>
      </c>
      <c r="H1971">
        <v>16</v>
      </c>
      <c r="I1971">
        <v>0</v>
      </c>
      <c r="J1971">
        <v>141</v>
      </c>
      <c r="K1971">
        <v>103</v>
      </c>
      <c r="L1971">
        <v>-16</v>
      </c>
      <c r="M1971">
        <v>1</v>
      </c>
      <c r="N1971">
        <v>0</v>
      </c>
      <c r="O1971" s="1" t="s">
        <v>3318</v>
      </c>
      <c r="P1971">
        <v>0</v>
      </c>
      <c r="Q1971">
        <v>0</v>
      </c>
      <c r="R1971">
        <v>0</v>
      </c>
      <c r="S1971">
        <v>0</v>
      </c>
      <c r="T1971">
        <v>45.061213709999997</v>
      </c>
      <c r="U1971">
        <f t="shared" si="60"/>
        <v>0</v>
      </c>
      <c r="V1971">
        <f t="shared" si="61"/>
        <v>0</v>
      </c>
    </row>
    <row r="1972" spans="1:22" x14ac:dyDescent="0.2">
      <c r="A1972" t="s">
        <v>3288</v>
      </c>
      <c r="B1972" t="s">
        <v>44</v>
      </c>
      <c r="C1972" t="s">
        <v>76</v>
      </c>
      <c r="D1972" t="s">
        <v>77</v>
      </c>
      <c r="E1972">
        <v>15</v>
      </c>
      <c r="F1972" t="s">
        <v>88</v>
      </c>
      <c r="G1972">
        <v>83</v>
      </c>
      <c r="H1972">
        <v>233</v>
      </c>
      <c r="I1972">
        <v>0</v>
      </c>
      <c r="J1972">
        <v>121</v>
      </c>
      <c r="K1972">
        <v>85</v>
      </c>
      <c r="L1972">
        <v>-233</v>
      </c>
      <c r="M1972">
        <v>1</v>
      </c>
      <c r="N1972">
        <v>0</v>
      </c>
      <c r="O1972" s="1" t="s">
        <v>3319</v>
      </c>
      <c r="P1972">
        <v>0</v>
      </c>
      <c r="Q1972">
        <v>0</v>
      </c>
      <c r="R1972">
        <v>0</v>
      </c>
      <c r="S1972">
        <v>0</v>
      </c>
      <c r="T1972">
        <v>45.061213709999997</v>
      </c>
      <c r="U1972">
        <f t="shared" si="60"/>
        <v>0</v>
      </c>
      <c r="V1972">
        <f t="shared" si="61"/>
        <v>0</v>
      </c>
    </row>
    <row r="1973" spans="1:22" x14ac:dyDescent="0.2">
      <c r="A1973" t="s">
        <v>3288</v>
      </c>
      <c r="B1973" t="s">
        <v>44</v>
      </c>
      <c r="C1973" t="s">
        <v>76</v>
      </c>
      <c r="D1973" t="s">
        <v>77</v>
      </c>
      <c r="E1973">
        <v>11</v>
      </c>
      <c r="F1973" t="s">
        <v>127</v>
      </c>
      <c r="G1973">
        <v>61</v>
      </c>
      <c r="H1973">
        <v>136</v>
      </c>
      <c r="I1973">
        <v>0</v>
      </c>
      <c r="J1973">
        <v>123</v>
      </c>
      <c r="K1973">
        <v>104</v>
      </c>
      <c r="L1973">
        <v>-136</v>
      </c>
      <c r="M1973">
        <v>1</v>
      </c>
      <c r="N1973">
        <v>0</v>
      </c>
      <c r="O1973" s="1" t="s">
        <v>3320</v>
      </c>
      <c r="P1973">
        <v>0</v>
      </c>
      <c r="Q1973">
        <v>0</v>
      </c>
      <c r="R1973">
        <v>0</v>
      </c>
      <c r="S1973">
        <v>0</v>
      </c>
      <c r="T1973">
        <v>45.061213709999997</v>
      </c>
      <c r="U1973">
        <f t="shared" si="60"/>
        <v>0</v>
      </c>
      <c r="V1973">
        <f t="shared" si="61"/>
        <v>0</v>
      </c>
    </row>
    <row r="1974" spans="1:22" x14ac:dyDescent="0.2">
      <c r="A1974" t="s">
        <v>3288</v>
      </c>
      <c r="B1974" t="s">
        <v>44</v>
      </c>
      <c r="C1974" t="s">
        <v>76</v>
      </c>
      <c r="D1974" t="s">
        <v>77</v>
      </c>
      <c r="E1974" s="1" t="s">
        <v>85</v>
      </c>
      <c r="F1974" t="s">
        <v>86</v>
      </c>
      <c r="G1974">
        <v>25</v>
      </c>
      <c r="H1974">
        <v>0</v>
      </c>
      <c r="I1974">
        <v>5</v>
      </c>
      <c r="J1974">
        <v>118</v>
      </c>
      <c r="K1974">
        <v>92</v>
      </c>
      <c r="L1974">
        <v>5</v>
      </c>
      <c r="M1974">
        <v>0</v>
      </c>
      <c r="N1974">
        <v>1</v>
      </c>
      <c r="O1974" s="1" t="s">
        <v>3321</v>
      </c>
      <c r="P1974">
        <v>0</v>
      </c>
      <c r="Q1974">
        <v>0</v>
      </c>
      <c r="R1974">
        <v>0</v>
      </c>
      <c r="S1974">
        <v>0</v>
      </c>
      <c r="T1974">
        <v>45.061213709999997</v>
      </c>
      <c r="U1974">
        <f t="shared" si="60"/>
        <v>0</v>
      </c>
      <c r="V1974">
        <f t="shared" si="61"/>
        <v>0</v>
      </c>
    </row>
    <row r="1975" spans="1:22" x14ac:dyDescent="0.2">
      <c r="A1975" t="s">
        <v>3288</v>
      </c>
      <c r="B1975" t="s">
        <v>44</v>
      </c>
      <c r="C1975" t="s">
        <v>76</v>
      </c>
      <c r="D1975" t="s">
        <v>77</v>
      </c>
      <c r="E1975" s="1" t="s">
        <v>85</v>
      </c>
      <c r="F1975" t="s">
        <v>86</v>
      </c>
      <c r="G1975">
        <v>26</v>
      </c>
      <c r="H1975">
        <v>0</v>
      </c>
      <c r="I1975">
        <v>10</v>
      </c>
      <c r="J1975">
        <v>65</v>
      </c>
      <c r="K1975">
        <v>63</v>
      </c>
      <c r="L1975">
        <v>10</v>
      </c>
      <c r="M1975">
        <v>0</v>
      </c>
      <c r="N1975">
        <v>1</v>
      </c>
      <c r="O1975" s="1" t="s">
        <v>3322</v>
      </c>
      <c r="P1975">
        <v>0</v>
      </c>
      <c r="Q1975">
        <v>0</v>
      </c>
      <c r="R1975">
        <v>0</v>
      </c>
      <c r="S1975">
        <v>0</v>
      </c>
      <c r="T1975">
        <v>45.061213709999997</v>
      </c>
      <c r="U1975">
        <f t="shared" si="60"/>
        <v>0</v>
      </c>
      <c r="V1975">
        <f t="shared" si="61"/>
        <v>0</v>
      </c>
    </row>
    <row r="1976" spans="1:22" x14ac:dyDescent="0.2">
      <c r="A1976" t="s">
        <v>3288</v>
      </c>
      <c r="B1976" t="s">
        <v>44</v>
      </c>
      <c r="C1976" t="s">
        <v>76</v>
      </c>
      <c r="D1976" t="s">
        <v>77</v>
      </c>
      <c r="E1976" s="1" t="s">
        <v>82</v>
      </c>
      <c r="F1976" t="s">
        <v>83</v>
      </c>
      <c r="G1976">
        <v>12</v>
      </c>
      <c r="H1976">
        <v>0</v>
      </c>
      <c r="I1976">
        <v>34070</v>
      </c>
      <c r="J1976">
        <v>103</v>
      </c>
      <c r="K1976">
        <v>78</v>
      </c>
      <c r="L1976">
        <v>34070</v>
      </c>
      <c r="M1976">
        <v>0</v>
      </c>
      <c r="N1976">
        <v>1</v>
      </c>
      <c r="O1976" s="1" t="s">
        <v>3323</v>
      </c>
      <c r="P1976">
        <v>0</v>
      </c>
      <c r="Q1976">
        <v>0</v>
      </c>
      <c r="R1976">
        <v>0</v>
      </c>
      <c r="S1976">
        <v>0</v>
      </c>
      <c r="T1976">
        <v>45.061213709999997</v>
      </c>
      <c r="U1976">
        <f t="shared" si="60"/>
        <v>0</v>
      </c>
      <c r="V1976">
        <f t="shared" si="61"/>
        <v>0</v>
      </c>
    </row>
    <row r="1977" spans="1:22" x14ac:dyDescent="0.2">
      <c r="A1977" t="s">
        <v>3324</v>
      </c>
      <c r="B1977" t="s">
        <v>45</v>
      </c>
      <c r="C1977" t="s">
        <v>76</v>
      </c>
      <c r="D1977" t="s">
        <v>77</v>
      </c>
      <c r="E1977" s="1" t="s">
        <v>85</v>
      </c>
      <c r="F1977" t="s">
        <v>86</v>
      </c>
      <c r="G1977">
        <v>27</v>
      </c>
      <c r="H1977">
        <v>568866217</v>
      </c>
      <c r="I1977">
        <v>12636785</v>
      </c>
      <c r="J1977">
        <v>65</v>
      </c>
      <c r="K1977">
        <v>40</v>
      </c>
      <c r="L1977">
        <v>-556229432</v>
      </c>
      <c r="M1977" s="1" t="s">
        <v>3325</v>
      </c>
      <c r="N1977" s="1" t="s">
        <v>3326</v>
      </c>
      <c r="O1977" s="1" t="s">
        <v>3327</v>
      </c>
      <c r="P1977">
        <v>0</v>
      </c>
      <c r="Q1977">
        <v>0</v>
      </c>
      <c r="R1977">
        <v>0</v>
      </c>
      <c r="S1977">
        <v>0</v>
      </c>
      <c r="T1977">
        <v>50.032637979999997</v>
      </c>
      <c r="U1977">
        <f t="shared" si="60"/>
        <v>0</v>
      </c>
      <c r="V1977">
        <f t="shared" si="61"/>
        <v>0</v>
      </c>
    </row>
    <row r="1978" spans="1:22" x14ac:dyDescent="0.2">
      <c r="A1978" t="s">
        <v>3324</v>
      </c>
      <c r="B1978" t="s">
        <v>45</v>
      </c>
      <c r="C1978" t="s">
        <v>76</v>
      </c>
      <c r="D1978" t="s">
        <v>77</v>
      </c>
      <c r="E1978" s="1" t="s">
        <v>82</v>
      </c>
      <c r="F1978" t="s">
        <v>83</v>
      </c>
      <c r="G1978">
        <v>10</v>
      </c>
      <c r="H1978">
        <v>367350445</v>
      </c>
      <c r="I1978">
        <v>0</v>
      </c>
      <c r="J1978">
        <v>18</v>
      </c>
      <c r="K1978">
        <v>65</v>
      </c>
      <c r="L1978">
        <v>-367350445</v>
      </c>
      <c r="M1978">
        <v>1</v>
      </c>
      <c r="N1978">
        <v>0</v>
      </c>
      <c r="O1978" s="1" t="s">
        <v>3328</v>
      </c>
      <c r="P1978">
        <v>0</v>
      </c>
      <c r="Q1978">
        <v>0</v>
      </c>
      <c r="R1978">
        <v>0</v>
      </c>
      <c r="S1978">
        <v>0</v>
      </c>
      <c r="T1978">
        <v>50.032637979999997</v>
      </c>
      <c r="U1978">
        <f t="shared" si="60"/>
        <v>0</v>
      </c>
      <c r="V1978">
        <f t="shared" si="61"/>
        <v>0</v>
      </c>
    </row>
    <row r="1979" spans="1:22" x14ac:dyDescent="0.2">
      <c r="A1979" t="s">
        <v>3324</v>
      </c>
      <c r="B1979" t="s">
        <v>45</v>
      </c>
      <c r="C1979" t="s">
        <v>76</v>
      </c>
      <c r="D1979" t="s">
        <v>77</v>
      </c>
      <c r="E1979" s="1" t="s">
        <v>89</v>
      </c>
      <c r="F1979" t="s">
        <v>90</v>
      </c>
      <c r="G1979">
        <v>31</v>
      </c>
      <c r="H1979">
        <v>75418976</v>
      </c>
      <c r="I1979">
        <v>0</v>
      </c>
      <c r="J1979">
        <v>65</v>
      </c>
      <c r="K1979">
        <v>51</v>
      </c>
      <c r="L1979">
        <v>-75418976</v>
      </c>
      <c r="M1979">
        <v>1</v>
      </c>
      <c r="N1979">
        <v>0</v>
      </c>
      <c r="O1979">
        <v>6.27758210027521E-2</v>
      </c>
      <c r="P1979">
        <v>0</v>
      </c>
      <c r="Q1979">
        <v>0</v>
      </c>
      <c r="R1979">
        <v>0</v>
      </c>
      <c r="S1979">
        <v>0</v>
      </c>
      <c r="T1979">
        <v>50.032637979999997</v>
      </c>
      <c r="U1979">
        <f t="shared" si="60"/>
        <v>0</v>
      </c>
      <c r="V1979">
        <f t="shared" si="61"/>
        <v>0</v>
      </c>
    </row>
    <row r="1980" spans="1:22" x14ac:dyDescent="0.2">
      <c r="A1980" t="s">
        <v>3324</v>
      </c>
      <c r="B1980" t="s">
        <v>45</v>
      </c>
      <c r="C1980" t="s">
        <v>76</v>
      </c>
      <c r="D1980" t="s">
        <v>77</v>
      </c>
      <c r="E1980">
        <v>15</v>
      </c>
      <c r="F1980" t="s">
        <v>88</v>
      </c>
      <c r="G1980">
        <v>72</v>
      </c>
      <c r="H1980">
        <v>24773064</v>
      </c>
      <c r="I1980">
        <v>0</v>
      </c>
      <c r="J1980">
        <v>85</v>
      </c>
      <c r="K1980">
        <v>74</v>
      </c>
      <c r="L1980">
        <v>-24773064</v>
      </c>
      <c r="M1980">
        <v>1</v>
      </c>
      <c r="N1980">
        <v>0</v>
      </c>
      <c r="O1980" s="1" t="s">
        <v>3329</v>
      </c>
      <c r="P1980">
        <v>0</v>
      </c>
      <c r="Q1980">
        <v>0</v>
      </c>
      <c r="R1980">
        <v>0</v>
      </c>
      <c r="S1980">
        <v>0</v>
      </c>
      <c r="T1980">
        <v>50.032637979999997</v>
      </c>
      <c r="U1980">
        <f t="shared" si="60"/>
        <v>0</v>
      </c>
      <c r="V1980">
        <f t="shared" si="61"/>
        <v>0</v>
      </c>
    </row>
    <row r="1981" spans="1:22" x14ac:dyDescent="0.2">
      <c r="A1981" t="s">
        <v>3324</v>
      </c>
      <c r="B1981" t="s">
        <v>45</v>
      </c>
      <c r="C1981" t="s">
        <v>76</v>
      </c>
      <c r="D1981" t="s">
        <v>77</v>
      </c>
      <c r="E1981" s="1" t="s">
        <v>85</v>
      </c>
      <c r="F1981" t="s">
        <v>86</v>
      </c>
      <c r="G1981">
        <v>25</v>
      </c>
      <c r="H1981">
        <v>98863737</v>
      </c>
      <c r="I1981">
        <v>7015</v>
      </c>
      <c r="J1981">
        <v>14</v>
      </c>
      <c r="K1981">
        <v>78</v>
      </c>
      <c r="L1981">
        <v>-98856722</v>
      </c>
      <c r="M1981" s="1" t="s">
        <v>3330</v>
      </c>
      <c r="N1981" s="1" t="s">
        <v>3331</v>
      </c>
      <c r="O1981">
        <v>8.2296166815623295E-2</v>
      </c>
      <c r="P1981">
        <v>0</v>
      </c>
      <c r="Q1981">
        <v>0</v>
      </c>
      <c r="R1981">
        <v>0</v>
      </c>
      <c r="S1981">
        <v>0</v>
      </c>
      <c r="T1981">
        <v>50.032637979999997</v>
      </c>
      <c r="U1981">
        <f t="shared" si="60"/>
        <v>0</v>
      </c>
      <c r="V1981">
        <f t="shared" si="61"/>
        <v>0</v>
      </c>
    </row>
    <row r="1982" spans="1:22" x14ac:dyDescent="0.2">
      <c r="A1982" t="s">
        <v>3324</v>
      </c>
      <c r="B1982" t="s">
        <v>45</v>
      </c>
      <c r="C1982" t="s">
        <v>76</v>
      </c>
      <c r="D1982" t="s">
        <v>77</v>
      </c>
      <c r="E1982">
        <v>10</v>
      </c>
      <c r="F1982" t="s">
        <v>119</v>
      </c>
      <c r="G1982">
        <v>48</v>
      </c>
      <c r="H1982">
        <v>31537479</v>
      </c>
      <c r="I1982">
        <v>4941</v>
      </c>
      <c r="J1982">
        <v>56</v>
      </c>
      <c r="K1982">
        <v>79</v>
      </c>
      <c r="L1982">
        <v>-31532538</v>
      </c>
      <c r="M1982">
        <v>0.99984335380734901</v>
      </c>
      <c r="N1982" s="1" t="s">
        <v>3332</v>
      </c>
      <c r="O1982" s="1" t="s">
        <v>3333</v>
      </c>
      <c r="P1982">
        <v>0</v>
      </c>
      <c r="Q1982">
        <v>0</v>
      </c>
      <c r="R1982">
        <v>0</v>
      </c>
      <c r="S1982">
        <v>0</v>
      </c>
      <c r="T1982">
        <v>50.032637979999997</v>
      </c>
      <c r="U1982">
        <f t="shared" si="60"/>
        <v>0</v>
      </c>
      <c r="V1982">
        <f t="shared" si="61"/>
        <v>0</v>
      </c>
    </row>
    <row r="1983" spans="1:22" x14ac:dyDescent="0.2">
      <c r="A1983" t="s">
        <v>3324</v>
      </c>
      <c r="B1983" t="s">
        <v>45</v>
      </c>
      <c r="C1983" t="s">
        <v>76</v>
      </c>
      <c r="D1983" t="s">
        <v>77</v>
      </c>
      <c r="E1983">
        <v>15</v>
      </c>
      <c r="F1983" t="s">
        <v>88</v>
      </c>
      <c r="G1983">
        <v>73</v>
      </c>
      <c r="H1983">
        <v>1207756</v>
      </c>
      <c r="I1983">
        <v>0</v>
      </c>
      <c r="J1983">
        <v>80</v>
      </c>
      <c r="K1983">
        <v>103</v>
      </c>
      <c r="L1983">
        <v>-1207756</v>
      </c>
      <c r="M1983">
        <v>1</v>
      </c>
      <c r="N1983">
        <v>0</v>
      </c>
      <c r="O1983">
        <v>1.00528909953643E-3</v>
      </c>
      <c r="P1983">
        <v>0</v>
      </c>
      <c r="Q1983">
        <v>0</v>
      </c>
      <c r="R1983">
        <v>0</v>
      </c>
      <c r="S1983">
        <v>0</v>
      </c>
      <c r="T1983">
        <v>50.032637979999997</v>
      </c>
      <c r="U1983">
        <f t="shared" si="60"/>
        <v>0</v>
      </c>
      <c r="V1983">
        <f t="shared" si="61"/>
        <v>0</v>
      </c>
    </row>
    <row r="1984" spans="1:22" x14ac:dyDescent="0.2">
      <c r="A1984" t="s">
        <v>3324</v>
      </c>
      <c r="B1984" t="s">
        <v>45</v>
      </c>
      <c r="C1984" t="s">
        <v>76</v>
      </c>
      <c r="D1984" t="s">
        <v>77</v>
      </c>
      <c r="E1984" s="1" t="s">
        <v>99</v>
      </c>
      <c r="F1984" t="s">
        <v>100</v>
      </c>
      <c r="G1984">
        <v>39</v>
      </c>
      <c r="H1984">
        <v>3301838</v>
      </c>
      <c r="I1984">
        <v>16499</v>
      </c>
      <c r="J1984">
        <v>68</v>
      </c>
      <c r="K1984">
        <v>88</v>
      </c>
      <c r="L1984">
        <v>-3285339</v>
      </c>
      <c r="M1984" s="1" t="s">
        <v>3334</v>
      </c>
      <c r="N1984">
        <v>4.9720688405065503E-3</v>
      </c>
      <c r="O1984">
        <v>2.7620545993465801E-3</v>
      </c>
      <c r="P1984">
        <v>0</v>
      </c>
      <c r="Q1984">
        <v>0</v>
      </c>
      <c r="R1984">
        <v>0</v>
      </c>
      <c r="S1984">
        <v>0</v>
      </c>
      <c r="T1984">
        <v>50.032637979999997</v>
      </c>
      <c r="U1984">
        <f t="shared" si="60"/>
        <v>0</v>
      </c>
      <c r="V1984">
        <f t="shared" si="61"/>
        <v>0</v>
      </c>
    </row>
    <row r="1985" spans="1:22" x14ac:dyDescent="0.2">
      <c r="A1985" t="s">
        <v>3324</v>
      </c>
      <c r="B1985" t="s">
        <v>45</v>
      </c>
      <c r="C1985" t="s">
        <v>76</v>
      </c>
      <c r="D1985" t="s">
        <v>77</v>
      </c>
      <c r="E1985">
        <v>18</v>
      </c>
      <c r="F1985" t="s">
        <v>147</v>
      </c>
      <c r="G1985">
        <v>90</v>
      </c>
      <c r="H1985">
        <v>259478</v>
      </c>
      <c r="I1985">
        <v>0</v>
      </c>
      <c r="J1985">
        <v>100</v>
      </c>
      <c r="K1985">
        <v>103</v>
      </c>
      <c r="L1985">
        <v>-259478</v>
      </c>
      <c r="M1985">
        <v>1</v>
      </c>
      <c r="N1985">
        <v>0</v>
      </c>
      <c r="O1985" s="1" t="s">
        <v>3335</v>
      </c>
      <c r="P1985">
        <v>0</v>
      </c>
      <c r="Q1985">
        <v>0</v>
      </c>
      <c r="R1985">
        <v>0</v>
      </c>
      <c r="S1985">
        <v>0</v>
      </c>
      <c r="T1985">
        <v>50.032637979999997</v>
      </c>
      <c r="U1985">
        <f t="shared" si="60"/>
        <v>0</v>
      </c>
      <c r="V1985">
        <f t="shared" si="61"/>
        <v>0</v>
      </c>
    </row>
    <row r="1986" spans="1:22" x14ac:dyDescent="0.2">
      <c r="A1986" t="s">
        <v>3324</v>
      </c>
      <c r="B1986" t="s">
        <v>45</v>
      </c>
      <c r="C1986" t="s">
        <v>76</v>
      </c>
      <c r="D1986" t="s">
        <v>77</v>
      </c>
      <c r="E1986" s="1" t="s">
        <v>89</v>
      </c>
      <c r="F1986" t="s">
        <v>90</v>
      </c>
      <c r="G1986">
        <v>34</v>
      </c>
      <c r="H1986">
        <v>222325</v>
      </c>
      <c r="I1986">
        <v>0</v>
      </c>
      <c r="J1986">
        <v>72</v>
      </c>
      <c r="K1986">
        <v>87</v>
      </c>
      <c r="L1986">
        <v>-222325</v>
      </c>
      <c r="M1986">
        <v>1</v>
      </c>
      <c r="N1986">
        <v>0</v>
      </c>
      <c r="O1986" s="1" t="s">
        <v>3336</v>
      </c>
      <c r="P1986">
        <v>0</v>
      </c>
      <c r="Q1986">
        <v>0</v>
      </c>
      <c r="R1986">
        <v>0</v>
      </c>
      <c r="S1986">
        <v>0</v>
      </c>
      <c r="T1986">
        <v>50.032637979999997</v>
      </c>
      <c r="U1986">
        <f t="shared" si="60"/>
        <v>0</v>
      </c>
      <c r="V1986">
        <f t="shared" si="61"/>
        <v>0</v>
      </c>
    </row>
    <row r="1987" spans="1:22" x14ac:dyDescent="0.2">
      <c r="A1987" t="s">
        <v>3324</v>
      </c>
      <c r="B1987" t="s">
        <v>45</v>
      </c>
      <c r="C1987" t="s">
        <v>76</v>
      </c>
      <c r="D1987" t="s">
        <v>77</v>
      </c>
      <c r="E1987" s="1" t="s">
        <v>138</v>
      </c>
      <c r="F1987" t="s">
        <v>139</v>
      </c>
      <c r="G1987">
        <v>22</v>
      </c>
      <c r="H1987">
        <v>491350</v>
      </c>
      <c r="I1987">
        <v>0</v>
      </c>
      <c r="J1987">
        <v>81</v>
      </c>
      <c r="K1987">
        <v>98</v>
      </c>
      <c r="L1987">
        <v>-491350</v>
      </c>
      <c r="M1987">
        <v>1</v>
      </c>
      <c r="N1987">
        <v>0</v>
      </c>
      <c r="O1987" s="1" t="s">
        <v>3337</v>
      </c>
      <c r="P1987">
        <v>0</v>
      </c>
      <c r="Q1987">
        <v>0</v>
      </c>
      <c r="R1987">
        <v>0</v>
      </c>
      <c r="S1987">
        <v>0</v>
      </c>
      <c r="T1987">
        <v>50.032637979999997</v>
      </c>
      <c r="U1987">
        <f t="shared" ref="U1987:U2050" si="62">IF(OR(P1987=1,Q1987=1),1,0)</f>
        <v>0</v>
      </c>
      <c r="V1987">
        <f t="shared" ref="V1987:V2050" si="63">IF(OR(R1987=1,S1987=1),1,0)</f>
        <v>0</v>
      </c>
    </row>
    <row r="1988" spans="1:22" x14ac:dyDescent="0.2">
      <c r="A1988" t="s">
        <v>3324</v>
      </c>
      <c r="B1988" t="s">
        <v>45</v>
      </c>
      <c r="C1988" t="s">
        <v>76</v>
      </c>
      <c r="D1988" t="s">
        <v>77</v>
      </c>
      <c r="E1988">
        <v>16</v>
      </c>
      <c r="F1988" t="s">
        <v>95</v>
      </c>
      <c r="G1988">
        <v>84</v>
      </c>
      <c r="H1988">
        <v>2090977</v>
      </c>
      <c r="I1988">
        <v>0</v>
      </c>
      <c r="J1988">
        <v>91</v>
      </c>
      <c r="K1988">
        <v>117</v>
      </c>
      <c r="L1988">
        <v>-2090977</v>
      </c>
      <c r="M1988">
        <v>1</v>
      </c>
      <c r="N1988">
        <v>0</v>
      </c>
      <c r="O1988">
        <v>1.7404478930192701E-3</v>
      </c>
      <c r="P1988">
        <v>0</v>
      </c>
      <c r="Q1988">
        <v>0</v>
      </c>
      <c r="R1988">
        <v>0</v>
      </c>
      <c r="S1988">
        <v>0</v>
      </c>
      <c r="T1988">
        <v>50.032637979999997</v>
      </c>
      <c r="U1988">
        <f t="shared" si="62"/>
        <v>0</v>
      </c>
      <c r="V1988">
        <f t="shared" si="63"/>
        <v>0</v>
      </c>
    </row>
    <row r="1989" spans="1:22" x14ac:dyDescent="0.2">
      <c r="A1989" t="s">
        <v>3324</v>
      </c>
      <c r="B1989" t="s">
        <v>45</v>
      </c>
      <c r="C1989" t="s">
        <v>76</v>
      </c>
      <c r="D1989" t="s">
        <v>77</v>
      </c>
      <c r="E1989">
        <v>11</v>
      </c>
      <c r="F1989" t="s">
        <v>127</v>
      </c>
      <c r="G1989">
        <v>63</v>
      </c>
      <c r="H1989">
        <v>75933</v>
      </c>
      <c r="I1989">
        <v>0</v>
      </c>
      <c r="J1989">
        <v>72</v>
      </c>
      <c r="K1989">
        <v>108</v>
      </c>
      <c r="L1989">
        <v>-75933</v>
      </c>
      <c r="M1989">
        <v>1</v>
      </c>
      <c r="N1989">
        <v>0</v>
      </c>
      <c r="O1989" s="1" t="s">
        <v>3338</v>
      </c>
      <c r="P1989">
        <v>0</v>
      </c>
      <c r="Q1989">
        <v>0</v>
      </c>
      <c r="R1989">
        <v>0</v>
      </c>
      <c r="S1989">
        <v>0</v>
      </c>
      <c r="T1989">
        <v>50.032637979999997</v>
      </c>
      <c r="U1989">
        <f t="shared" si="62"/>
        <v>0</v>
      </c>
      <c r="V1989">
        <f t="shared" si="63"/>
        <v>0</v>
      </c>
    </row>
    <row r="1990" spans="1:22" x14ac:dyDescent="0.2">
      <c r="A1990" t="s">
        <v>3324</v>
      </c>
      <c r="B1990" t="s">
        <v>45</v>
      </c>
      <c r="C1990" t="s">
        <v>76</v>
      </c>
      <c r="D1990" t="s">
        <v>77</v>
      </c>
      <c r="E1990">
        <v>17</v>
      </c>
      <c r="F1990" t="s">
        <v>97</v>
      </c>
      <c r="G1990">
        <v>87</v>
      </c>
      <c r="H1990">
        <v>660250</v>
      </c>
      <c r="I1990">
        <v>0</v>
      </c>
      <c r="J1990">
        <v>98</v>
      </c>
      <c r="K1990">
        <v>96</v>
      </c>
      <c r="L1990">
        <v>-660250</v>
      </c>
      <c r="M1990">
        <v>1</v>
      </c>
      <c r="N1990">
        <v>0</v>
      </c>
      <c r="O1990" s="1" t="s">
        <v>3339</v>
      </c>
      <c r="P1990">
        <v>0</v>
      </c>
      <c r="Q1990">
        <v>0</v>
      </c>
      <c r="R1990">
        <v>0</v>
      </c>
      <c r="S1990">
        <v>0</v>
      </c>
      <c r="T1990">
        <v>50.032637979999997</v>
      </c>
      <c r="U1990">
        <f t="shared" si="62"/>
        <v>0</v>
      </c>
      <c r="V1990">
        <f t="shared" si="63"/>
        <v>0</v>
      </c>
    </row>
    <row r="1991" spans="1:22" x14ac:dyDescent="0.2">
      <c r="A1991" t="s">
        <v>3324</v>
      </c>
      <c r="B1991" t="s">
        <v>45</v>
      </c>
      <c r="C1991" t="s">
        <v>76</v>
      </c>
      <c r="D1991" t="s">
        <v>77</v>
      </c>
      <c r="E1991" s="1" t="s">
        <v>89</v>
      </c>
      <c r="F1991" t="s">
        <v>90</v>
      </c>
      <c r="G1991">
        <v>28</v>
      </c>
      <c r="H1991">
        <v>8901144</v>
      </c>
      <c r="I1991">
        <v>0</v>
      </c>
      <c r="J1991">
        <v>83</v>
      </c>
      <c r="K1991">
        <v>85</v>
      </c>
      <c r="L1991">
        <v>-8901144</v>
      </c>
      <c r="M1991">
        <v>1</v>
      </c>
      <c r="N1991">
        <v>0</v>
      </c>
      <c r="O1991">
        <v>7.4089659141450097E-3</v>
      </c>
      <c r="P1991">
        <v>0</v>
      </c>
      <c r="Q1991">
        <v>0</v>
      </c>
      <c r="R1991">
        <v>0</v>
      </c>
      <c r="S1991">
        <v>0</v>
      </c>
      <c r="T1991">
        <v>50.032637979999997</v>
      </c>
      <c r="U1991">
        <f t="shared" si="62"/>
        <v>0</v>
      </c>
      <c r="V1991">
        <f t="shared" si="63"/>
        <v>0</v>
      </c>
    </row>
    <row r="1992" spans="1:22" x14ac:dyDescent="0.2">
      <c r="A1992" t="s">
        <v>3324</v>
      </c>
      <c r="B1992" t="s">
        <v>45</v>
      </c>
      <c r="C1992" t="s">
        <v>76</v>
      </c>
      <c r="D1992" t="s">
        <v>77</v>
      </c>
      <c r="E1992">
        <v>20</v>
      </c>
      <c r="F1992" t="s">
        <v>104</v>
      </c>
      <c r="G1992">
        <v>94</v>
      </c>
      <c r="H1992">
        <v>43560</v>
      </c>
      <c r="I1992">
        <v>640</v>
      </c>
      <c r="J1992">
        <v>95</v>
      </c>
      <c r="K1992">
        <v>96</v>
      </c>
      <c r="L1992">
        <v>-42920</v>
      </c>
      <c r="M1992" s="1" t="s">
        <v>3340</v>
      </c>
      <c r="N1992" s="1" t="s">
        <v>3341</v>
      </c>
      <c r="O1992" s="1" t="s">
        <v>3342</v>
      </c>
      <c r="P1992">
        <v>0</v>
      </c>
      <c r="Q1992">
        <v>0</v>
      </c>
      <c r="R1992">
        <v>0</v>
      </c>
      <c r="S1992">
        <v>0</v>
      </c>
      <c r="T1992">
        <v>50.032637979999997</v>
      </c>
      <c r="U1992">
        <f t="shared" si="62"/>
        <v>0</v>
      </c>
      <c r="V1992">
        <f t="shared" si="63"/>
        <v>0</v>
      </c>
    </row>
    <row r="1993" spans="1:22" x14ac:dyDescent="0.2">
      <c r="A1993" t="s">
        <v>3324</v>
      </c>
      <c r="B1993" t="s">
        <v>45</v>
      </c>
      <c r="C1993" t="s">
        <v>76</v>
      </c>
      <c r="D1993" t="s">
        <v>77</v>
      </c>
      <c r="E1993">
        <v>16</v>
      </c>
      <c r="F1993" t="s">
        <v>95</v>
      </c>
      <c r="G1993">
        <v>85</v>
      </c>
      <c r="H1993">
        <v>337495</v>
      </c>
      <c r="I1993">
        <v>0</v>
      </c>
      <c r="J1993">
        <v>111</v>
      </c>
      <c r="K1993">
        <v>117</v>
      </c>
      <c r="L1993">
        <v>-337495</v>
      </c>
      <c r="M1993">
        <v>1</v>
      </c>
      <c r="N1993">
        <v>0</v>
      </c>
      <c r="O1993" s="1" t="s">
        <v>3343</v>
      </c>
      <c r="P1993">
        <v>0</v>
      </c>
      <c r="Q1993">
        <v>0</v>
      </c>
      <c r="R1993">
        <v>0</v>
      </c>
      <c r="S1993">
        <v>0</v>
      </c>
      <c r="T1993">
        <v>50.032637979999997</v>
      </c>
      <c r="U1993">
        <f t="shared" si="62"/>
        <v>0</v>
      </c>
      <c r="V1993">
        <f t="shared" si="63"/>
        <v>0</v>
      </c>
    </row>
    <row r="1994" spans="1:22" x14ac:dyDescent="0.2">
      <c r="A1994" t="s">
        <v>3324</v>
      </c>
      <c r="B1994" t="s">
        <v>45</v>
      </c>
      <c r="C1994" t="s">
        <v>76</v>
      </c>
      <c r="D1994" t="s">
        <v>77</v>
      </c>
      <c r="E1994" s="1" t="s">
        <v>99</v>
      </c>
      <c r="F1994" t="s">
        <v>100</v>
      </c>
      <c r="G1994">
        <v>40</v>
      </c>
      <c r="H1994">
        <v>99821</v>
      </c>
      <c r="I1994">
        <v>0</v>
      </c>
      <c r="J1994">
        <v>110</v>
      </c>
      <c r="K1994">
        <v>97</v>
      </c>
      <c r="L1994">
        <v>-99821</v>
      </c>
      <c r="M1994">
        <v>1</v>
      </c>
      <c r="N1994">
        <v>0</v>
      </c>
      <c r="O1994" s="1" t="s">
        <v>3344</v>
      </c>
      <c r="P1994">
        <v>0</v>
      </c>
      <c r="Q1994">
        <v>0</v>
      </c>
      <c r="R1994">
        <v>0</v>
      </c>
      <c r="S1994">
        <v>0</v>
      </c>
      <c r="T1994">
        <v>50.032637979999997</v>
      </c>
      <c r="U1994">
        <f t="shared" si="62"/>
        <v>0</v>
      </c>
      <c r="V1994">
        <f t="shared" si="63"/>
        <v>0</v>
      </c>
    </row>
    <row r="1995" spans="1:22" x14ac:dyDescent="0.2">
      <c r="A1995" t="s">
        <v>3324</v>
      </c>
      <c r="B1995" t="s">
        <v>45</v>
      </c>
      <c r="C1995" t="s">
        <v>76</v>
      </c>
      <c r="D1995" t="s">
        <v>77</v>
      </c>
      <c r="E1995" s="1" t="s">
        <v>89</v>
      </c>
      <c r="F1995" t="s">
        <v>90</v>
      </c>
      <c r="G1995">
        <v>38</v>
      </c>
      <c r="H1995">
        <v>144948</v>
      </c>
      <c r="I1995">
        <v>0</v>
      </c>
      <c r="J1995">
        <v>95</v>
      </c>
      <c r="K1995">
        <v>87</v>
      </c>
      <c r="L1995">
        <v>-144948</v>
      </c>
      <c r="M1995">
        <v>1</v>
      </c>
      <c r="N1995">
        <v>0</v>
      </c>
      <c r="O1995" s="1" t="s">
        <v>3345</v>
      </c>
      <c r="P1995">
        <v>0</v>
      </c>
      <c r="Q1995">
        <v>0</v>
      </c>
      <c r="R1995">
        <v>0</v>
      </c>
      <c r="S1995">
        <v>0</v>
      </c>
      <c r="T1995">
        <v>50.032637979999997</v>
      </c>
      <c r="U1995">
        <f t="shared" si="62"/>
        <v>0</v>
      </c>
      <c r="V1995">
        <f t="shared" si="63"/>
        <v>0</v>
      </c>
    </row>
    <row r="1996" spans="1:22" x14ac:dyDescent="0.2">
      <c r="A1996" t="s">
        <v>3324</v>
      </c>
      <c r="B1996" t="s">
        <v>45</v>
      </c>
      <c r="C1996" t="s">
        <v>76</v>
      </c>
      <c r="D1996" t="s">
        <v>77</v>
      </c>
      <c r="E1996">
        <v>17</v>
      </c>
      <c r="F1996" t="s">
        <v>97</v>
      </c>
      <c r="G1996">
        <v>89</v>
      </c>
      <c r="H1996">
        <v>8214</v>
      </c>
      <c r="I1996">
        <v>0</v>
      </c>
      <c r="J1996">
        <v>74</v>
      </c>
      <c r="K1996">
        <v>68</v>
      </c>
      <c r="L1996">
        <v>-8214</v>
      </c>
      <c r="M1996">
        <v>1</v>
      </c>
      <c r="N1996">
        <v>0</v>
      </c>
      <c r="O1996" s="1" t="s">
        <v>3346</v>
      </c>
      <c r="P1996">
        <v>0</v>
      </c>
      <c r="Q1996">
        <v>0</v>
      </c>
      <c r="R1996">
        <v>0</v>
      </c>
      <c r="S1996">
        <v>0</v>
      </c>
      <c r="T1996">
        <v>50.032637979999997</v>
      </c>
      <c r="U1996">
        <f t="shared" si="62"/>
        <v>0</v>
      </c>
      <c r="V1996">
        <f t="shared" si="63"/>
        <v>0</v>
      </c>
    </row>
    <row r="1997" spans="1:22" x14ac:dyDescent="0.2">
      <c r="A1997" t="s">
        <v>3324</v>
      </c>
      <c r="B1997" t="s">
        <v>45</v>
      </c>
      <c r="C1997" t="s">
        <v>76</v>
      </c>
      <c r="D1997" t="s">
        <v>77</v>
      </c>
      <c r="E1997">
        <v>15</v>
      </c>
      <c r="F1997" t="s">
        <v>88</v>
      </c>
      <c r="G1997">
        <v>82</v>
      </c>
      <c r="H1997">
        <v>225263</v>
      </c>
      <c r="I1997">
        <v>0</v>
      </c>
      <c r="J1997">
        <v>82</v>
      </c>
      <c r="K1997">
        <v>96</v>
      </c>
      <c r="L1997">
        <v>-225263</v>
      </c>
      <c r="M1997">
        <v>1</v>
      </c>
      <c r="N1997">
        <v>0</v>
      </c>
      <c r="O1997" s="1" t="s">
        <v>3347</v>
      </c>
      <c r="P1997">
        <v>0</v>
      </c>
      <c r="Q1997">
        <v>0</v>
      </c>
      <c r="R1997">
        <v>0</v>
      </c>
      <c r="S1997">
        <v>0</v>
      </c>
      <c r="T1997">
        <v>50.032637979999997</v>
      </c>
      <c r="U1997">
        <f t="shared" si="62"/>
        <v>0</v>
      </c>
      <c r="V1997">
        <f t="shared" si="63"/>
        <v>0</v>
      </c>
    </row>
    <row r="1998" spans="1:22" x14ac:dyDescent="0.2">
      <c r="A1998" t="s">
        <v>3324</v>
      </c>
      <c r="B1998" t="s">
        <v>45</v>
      </c>
      <c r="C1998" t="s">
        <v>76</v>
      </c>
      <c r="D1998" t="s">
        <v>77</v>
      </c>
      <c r="E1998">
        <v>13</v>
      </c>
      <c r="F1998" t="s">
        <v>91</v>
      </c>
      <c r="G1998">
        <v>68</v>
      </c>
      <c r="H1998">
        <v>5926</v>
      </c>
      <c r="I1998">
        <v>0</v>
      </c>
      <c r="J1998">
        <v>105</v>
      </c>
      <c r="K1998">
        <v>85</v>
      </c>
      <c r="L1998">
        <v>-5926</v>
      </c>
      <c r="M1998">
        <v>1</v>
      </c>
      <c r="N1998">
        <v>0</v>
      </c>
      <c r="O1998" s="1" t="s">
        <v>3348</v>
      </c>
      <c r="P1998">
        <v>0</v>
      </c>
      <c r="Q1998">
        <v>0</v>
      </c>
      <c r="R1998">
        <v>0</v>
      </c>
      <c r="S1998">
        <v>0</v>
      </c>
      <c r="T1998">
        <v>50.032637979999997</v>
      </c>
      <c r="U1998">
        <f t="shared" si="62"/>
        <v>0</v>
      </c>
      <c r="V1998">
        <f t="shared" si="63"/>
        <v>0</v>
      </c>
    </row>
    <row r="1999" spans="1:22" x14ac:dyDescent="0.2">
      <c r="A1999" t="s">
        <v>3324</v>
      </c>
      <c r="B1999" t="s">
        <v>45</v>
      </c>
      <c r="C1999" t="s">
        <v>76</v>
      </c>
      <c r="D1999" t="s">
        <v>77</v>
      </c>
      <c r="E1999">
        <v>15</v>
      </c>
      <c r="F1999" t="s">
        <v>88</v>
      </c>
      <c r="G1999">
        <v>74</v>
      </c>
      <c r="H1999">
        <v>5973</v>
      </c>
      <c r="I1999">
        <v>0</v>
      </c>
      <c r="J1999">
        <v>88</v>
      </c>
      <c r="K1999">
        <v>84</v>
      </c>
      <c r="L1999">
        <v>-5973</v>
      </c>
      <c r="M1999">
        <v>1</v>
      </c>
      <c r="N1999">
        <v>0</v>
      </c>
      <c r="O1999" s="1" t="s">
        <v>3349</v>
      </c>
      <c r="P1999">
        <v>0</v>
      </c>
      <c r="Q1999">
        <v>0</v>
      </c>
      <c r="R1999">
        <v>0</v>
      </c>
      <c r="S1999">
        <v>0</v>
      </c>
      <c r="T1999">
        <v>50.032637979999997</v>
      </c>
      <c r="U1999">
        <f t="shared" si="62"/>
        <v>0</v>
      </c>
      <c r="V1999">
        <f t="shared" si="63"/>
        <v>0</v>
      </c>
    </row>
    <row r="2000" spans="1:22" x14ac:dyDescent="0.2">
      <c r="A2000" t="s">
        <v>3324</v>
      </c>
      <c r="B2000" t="s">
        <v>45</v>
      </c>
      <c r="C2000" t="s">
        <v>76</v>
      </c>
      <c r="D2000" t="s">
        <v>77</v>
      </c>
      <c r="E2000">
        <v>15</v>
      </c>
      <c r="F2000" t="s">
        <v>88</v>
      </c>
      <c r="G2000">
        <v>76</v>
      </c>
      <c r="H2000">
        <v>4978</v>
      </c>
      <c r="I2000">
        <v>0</v>
      </c>
      <c r="J2000">
        <v>112</v>
      </c>
      <c r="K2000">
        <v>92</v>
      </c>
      <c r="L2000">
        <v>-4978</v>
      </c>
      <c r="M2000">
        <v>1</v>
      </c>
      <c r="N2000">
        <v>0</v>
      </c>
      <c r="O2000" s="1" t="s">
        <v>3350</v>
      </c>
      <c r="P2000">
        <v>0</v>
      </c>
      <c r="Q2000">
        <v>0</v>
      </c>
      <c r="R2000">
        <v>0</v>
      </c>
      <c r="S2000">
        <v>0</v>
      </c>
      <c r="T2000">
        <v>50.032637979999997</v>
      </c>
      <c r="U2000">
        <f t="shared" si="62"/>
        <v>0</v>
      </c>
      <c r="V2000">
        <f t="shared" si="63"/>
        <v>0</v>
      </c>
    </row>
    <row r="2001" spans="1:22" x14ac:dyDescent="0.2">
      <c r="A2001" t="s">
        <v>3324</v>
      </c>
      <c r="B2001" t="s">
        <v>45</v>
      </c>
      <c r="C2001" t="s">
        <v>76</v>
      </c>
      <c r="D2001" t="s">
        <v>77</v>
      </c>
      <c r="E2001">
        <v>19</v>
      </c>
      <c r="F2001" t="s">
        <v>838</v>
      </c>
      <c r="G2001">
        <v>93</v>
      </c>
      <c r="H2001">
        <v>19089</v>
      </c>
      <c r="I2001">
        <v>0</v>
      </c>
      <c r="J2001">
        <v>64</v>
      </c>
      <c r="K2001">
        <v>36</v>
      </c>
      <c r="L2001">
        <v>-19089</v>
      </c>
      <c r="M2001">
        <v>1</v>
      </c>
      <c r="N2001">
        <v>0</v>
      </c>
      <c r="O2001" s="1" t="s">
        <v>3351</v>
      </c>
      <c r="P2001">
        <v>0</v>
      </c>
      <c r="Q2001">
        <v>0</v>
      </c>
      <c r="R2001">
        <v>0</v>
      </c>
      <c r="S2001">
        <v>0</v>
      </c>
      <c r="T2001">
        <v>50.032637979999997</v>
      </c>
      <c r="U2001">
        <f t="shared" si="62"/>
        <v>0</v>
      </c>
      <c r="V2001">
        <f t="shared" si="63"/>
        <v>0</v>
      </c>
    </row>
    <row r="2002" spans="1:22" x14ac:dyDescent="0.2">
      <c r="A2002" t="s">
        <v>3324</v>
      </c>
      <c r="B2002" t="s">
        <v>45</v>
      </c>
      <c r="C2002" t="s">
        <v>76</v>
      </c>
      <c r="D2002" t="s">
        <v>77</v>
      </c>
      <c r="E2002" s="1" t="s">
        <v>163</v>
      </c>
      <c r="F2002" t="s">
        <v>224</v>
      </c>
      <c r="G2002">
        <v>42</v>
      </c>
      <c r="H2002">
        <v>4313</v>
      </c>
      <c r="I2002">
        <v>2471</v>
      </c>
      <c r="J2002">
        <v>81</v>
      </c>
      <c r="K2002">
        <v>76</v>
      </c>
      <c r="L2002">
        <v>-1842</v>
      </c>
      <c r="M2002" s="1" t="s">
        <v>3352</v>
      </c>
      <c r="N2002" s="1" t="s">
        <v>3353</v>
      </c>
      <c r="O2002" s="1" t="s">
        <v>3354</v>
      </c>
      <c r="P2002">
        <v>0</v>
      </c>
      <c r="Q2002">
        <v>0</v>
      </c>
      <c r="R2002">
        <v>0</v>
      </c>
      <c r="S2002">
        <v>0</v>
      </c>
      <c r="T2002">
        <v>50.032637979999997</v>
      </c>
      <c r="U2002">
        <f t="shared" si="62"/>
        <v>0</v>
      </c>
      <c r="V2002">
        <f t="shared" si="63"/>
        <v>0</v>
      </c>
    </row>
    <row r="2003" spans="1:22" x14ac:dyDescent="0.2">
      <c r="A2003" t="s">
        <v>3324</v>
      </c>
      <c r="B2003" t="s">
        <v>45</v>
      </c>
      <c r="C2003" t="s">
        <v>76</v>
      </c>
      <c r="D2003" t="s">
        <v>77</v>
      </c>
      <c r="E2003">
        <v>18</v>
      </c>
      <c r="F2003" t="s">
        <v>147</v>
      </c>
      <c r="G2003">
        <v>91</v>
      </c>
      <c r="H2003">
        <v>2402</v>
      </c>
      <c r="I2003">
        <v>0</v>
      </c>
      <c r="J2003">
        <v>72</v>
      </c>
      <c r="K2003">
        <v>69</v>
      </c>
      <c r="L2003">
        <v>-2402</v>
      </c>
      <c r="M2003">
        <v>1</v>
      </c>
      <c r="N2003">
        <v>0</v>
      </c>
      <c r="O2003" s="1" t="s">
        <v>3355</v>
      </c>
      <c r="P2003">
        <v>0</v>
      </c>
      <c r="Q2003">
        <v>0</v>
      </c>
      <c r="R2003">
        <v>0</v>
      </c>
      <c r="S2003">
        <v>0</v>
      </c>
      <c r="T2003">
        <v>50.032637979999997</v>
      </c>
      <c r="U2003">
        <f t="shared" si="62"/>
        <v>0</v>
      </c>
      <c r="V2003">
        <f t="shared" si="63"/>
        <v>0</v>
      </c>
    </row>
    <row r="2004" spans="1:22" x14ac:dyDescent="0.2">
      <c r="A2004" t="s">
        <v>3324</v>
      </c>
      <c r="B2004" t="s">
        <v>45</v>
      </c>
      <c r="C2004" t="s">
        <v>76</v>
      </c>
      <c r="D2004" t="s">
        <v>77</v>
      </c>
      <c r="E2004">
        <v>11</v>
      </c>
      <c r="F2004" t="s">
        <v>127</v>
      </c>
      <c r="G2004">
        <v>62</v>
      </c>
      <c r="H2004">
        <v>19049</v>
      </c>
      <c r="I2004">
        <v>0</v>
      </c>
      <c r="J2004">
        <v>83</v>
      </c>
      <c r="K2004">
        <v>105</v>
      </c>
      <c r="L2004">
        <v>-19049</v>
      </c>
      <c r="M2004">
        <v>1</v>
      </c>
      <c r="N2004">
        <v>0</v>
      </c>
      <c r="O2004" s="1" t="s">
        <v>3356</v>
      </c>
      <c r="P2004">
        <v>0</v>
      </c>
      <c r="Q2004">
        <v>0</v>
      </c>
      <c r="R2004">
        <v>0</v>
      </c>
      <c r="S2004">
        <v>0</v>
      </c>
      <c r="T2004">
        <v>50.032637979999997</v>
      </c>
      <c r="U2004">
        <f t="shared" si="62"/>
        <v>0</v>
      </c>
      <c r="V2004">
        <f t="shared" si="63"/>
        <v>0</v>
      </c>
    </row>
    <row r="2005" spans="1:22" x14ac:dyDescent="0.2">
      <c r="A2005" t="s">
        <v>3324</v>
      </c>
      <c r="B2005" t="s">
        <v>45</v>
      </c>
      <c r="C2005" t="s">
        <v>76</v>
      </c>
      <c r="D2005" t="s">
        <v>77</v>
      </c>
      <c r="E2005">
        <v>12</v>
      </c>
      <c r="F2005" t="s">
        <v>194</v>
      </c>
      <c r="G2005">
        <v>64</v>
      </c>
      <c r="H2005">
        <v>4964</v>
      </c>
      <c r="I2005">
        <v>449</v>
      </c>
      <c r="J2005">
        <v>83</v>
      </c>
      <c r="K2005">
        <v>85</v>
      </c>
      <c r="L2005">
        <v>-4515</v>
      </c>
      <c r="M2005" s="1" t="s">
        <v>3357</v>
      </c>
      <c r="N2005">
        <v>8.2948457417328605E-2</v>
      </c>
      <c r="O2005" s="1" t="s">
        <v>3358</v>
      </c>
      <c r="P2005">
        <v>0</v>
      </c>
      <c r="Q2005">
        <v>0</v>
      </c>
      <c r="R2005">
        <v>0</v>
      </c>
      <c r="S2005">
        <v>0</v>
      </c>
      <c r="T2005">
        <v>50.032637979999997</v>
      </c>
      <c r="U2005">
        <f t="shared" si="62"/>
        <v>0</v>
      </c>
      <c r="V2005">
        <f t="shared" si="63"/>
        <v>0</v>
      </c>
    </row>
    <row r="2006" spans="1:22" x14ac:dyDescent="0.2">
      <c r="A2006" t="s">
        <v>3324</v>
      </c>
      <c r="B2006" t="s">
        <v>45</v>
      </c>
      <c r="C2006" t="s">
        <v>76</v>
      </c>
      <c r="D2006" t="s">
        <v>77</v>
      </c>
      <c r="E2006">
        <v>15</v>
      </c>
      <c r="F2006" t="s">
        <v>88</v>
      </c>
      <c r="G2006">
        <v>83</v>
      </c>
      <c r="H2006">
        <v>2700</v>
      </c>
      <c r="I2006">
        <v>0</v>
      </c>
      <c r="J2006">
        <v>102</v>
      </c>
      <c r="K2006">
        <v>85</v>
      </c>
      <c r="L2006">
        <v>-2700</v>
      </c>
      <c r="M2006">
        <v>1</v>
      </c>
      <c r="N2006">
        <v>0</v>
      </c>
      <c r="O2006" s="1" t="s">
        <v>3359</v>
      </c>
      <c r="P2006">
        <v>0</v>
      </c>
      <c r="Q2006">
        <v>0</v>
      </c>
      <c r="R2006">
        <v>0</v>
      </c>
      <c r="S2006">
        <v>0</v>
      </c>
      <c r="T2006">
        <v>50.032637979999997</v>
      </c>
      <c r="U2006">
        <f t="shared" si="62"/>
        <v>0</v>
      </c>
      <c r="V2006">
        <f t="shared" si="63"/>
        <v>0</v>
      </c>
    </row>
    <row r="2007" spans="1:22" x14ac:dyDescent="0.2">
      <c r="A2007" t="s">
        <v>3324</v>
      </c>
      <c r="B2007" t="s">
        <v>45</v>
      </c>
      <c r="C2007" t="s">
        <v>76</v>
      </c>
      <c r="D2007" t="s">
        <v>77</v>
      </c>
      <c r="E2007">
        <v>21</v>
      </c>
      <c r="F2007" t="s">
        <v>212</v>
      </c>
      <c r="G2007">
        <v>97</v>
      </c>
      <c r="H2007">
        <v>0</v>
      </c>
      <c r="I2007">
        <v>15504</v>
      </c>
      <c r="J2007">
        <v>97</v>
      </c>
      <c r="K2007">
        <v>53</v>
      </c>
      <c r="L2007">
        <v>15504</v>
      </c>
      <c r="M2007">
        <v>0</v>
      </c>
      <c r="N2007">
        <v>1</v>
      </c>
      <c r="O2007" s="1" t="s">
        <v>3360</v>
      </c>
      <c r="P2007">
        <v>0</v>
      </c>
      <c r="Q2007">
        <v>0</v>
      </c>
      <c r="R2007">
        <v>0</v>
      </c>
      <c r="S2007">
        <v>0</v>
      </c>
      <c r="T2007">
        <v>50.032637979999997</v>
      </c>
      <c r="U2007">
        <f t="shared" si="62"/>
        <v>0</v>
      </c>
      <c r="V2007">
        <f t="shared" si="63"/>
        <v>0</v>
      </c>
    </row>
    <row r="2008" spans="1:22" x14ac:dyDescent="0.2">
      <c r="A2008" t="s">
        <v>3324</v>
      </c>
      <c r="B2008" t="s">
        <v>45</v>
      </c>
      <c r="C2008" t="s">
        <v>76</v>
      </c>
      <c r="D2008" t="s">
        <v>77</v>
      </c>
      <c r="E2008" s="1" t="s">
        <v>110</v>
      </c>
      <c r="F2008" t="s">
        <v>111</v>
      </c>
      <c r="G2008">
        <v>15</v>
      </c>
      <c r="H2008">
        <v>1099063</v>
      </c>
      <c r="I2008">
        <v>20330</v>
      </c>
      <c r="J2008">
        <v>65</v>
      </c>
      <c r="K2008">
        <v>67</v>
      </c>
      <c r="L2008">
        <v>-1078733</v>
      </c>
      <c r="M2008" s="1" t="s">
        <v>3361</v>
      </c>
      <c r="N2008" s="1" t="s">
        <v>3362</v>
      </c>
      <c r="O2008" s="1" t="s">
        <v>3363</v>
      </c>
      <c r="P2008">
        <v>0</v>
      </c>
      <c r="Q2008">
        <v>0</v>
      </c>
      <c r="R2008">
        <v>0</v>
      </c>
      <c r="S2008">
        <v>0</v>
      </c>
      <c r="T2008">
        <v>50.032637979999997</v>
      </c>
      <c r="U2008">
        <f t="shared" si="62"/>
        <v>0</v>
      </c>
      <c r="V2008">
        <f t="shared" si="63"/>
        <v>0</v>
      </c>
    </row>
    <row r="2009" spans="1:22" x14ac:dyDescent="0.2">
      <c r="A2009" t="s">
        <v>3324</v>
      </c>
      <c r="B2009" t="s">
        <v>45</v>
      </c>
      <c r="C2009" t="s">
        <v>76</v>
      </c>
      <c r="D2009" t="s">
        <v>77</v>
      </c>
      <c r="E2009" s="1" t="s">
        <v>155</v>
      </c>
      <c r="F2009" t="s">
        <v>156</v>
      </c>
      <c r="G2009" s="1" t="s">
        <v>110</v>
      </c>
      <c r="H2009">
        <v>25055</v>
      </c>
      <c r="I2009">
        <v>147574</v>
      </c>
      <c r="J2009">
        <v>90</v>
      </c>
      <c r="K2009">
        <v>50</v>
      </c>
      <c r="L2009">
        <v>122519</v>
      </c>
      <c r="M2009" s="1" t="s">
        <v>3364</v>
      </c>
      <c r="N2009" s="1" t="s">
        <v>3365</v>
      </c>
      <c r="O2009" s="1" t="s">
        <v>3366</v>
      </c>
      <c r="P2009">
        <v>0</v>
      </c>
      <c r="Q2009">
        <v>0</v>
      </c>
      <c r="R2009">
        <v>0</v>
      </c>
      <c r="S2009">
        <v>0</v>
      </c>
      <c r="T2009">
        <v>50.032637979999997</v>
      </c>
      <c r="U2009">
        <f t="shared" si="62"/>
        <v>0</v>
      </c>
      <c r="V2009">
        <f t="shared" si="63"/>
        <v>0</v>
      </c>
    </row>
    <row r="2010" spans="1:22" x14ac:dyDescent="0.2">
      <c r="A2010" t="s">
        <v>3367</v>
      </c>
      <c r="B2010" t="s">
        <v>46</v>
      </c>
      <c r="C2010" t="s">
        <v>76</v>
      </c>
      <c r="D2010" t="s">
        <v>77</v>
      </c>
      <c r="E2010" s="1" t="s">
        <v>85</v>
      </c>
      <c r="F2010" t="s">
        <v>86</v>
      </c>
      <c r="G2010">
        <v>27</v>
      </c>
      <c r="H2010">
        <v>5222181989</v>
      </c>
      <c r="I2010">
        <v>12793626</v>
      </c>
      <c r="J2010">
        <v>31</v>
      </c>
      <c r="K2010">
        <v>39</v>
      </c>
      <c r="L2010">
        <v>-5209388363</v>
      </c>
      <c r="M2010" s="1" t="s">
        <v>3368</v>
      </c>
      <c r="N2010">
        <v>2.44387499405763E-3</v>
      </c>
      <c r="O2010" s="1" t="s">
        <v>3369</v>
      </c>
      <c r="P2010">
        <v>0</v>
      </c>
      <c r="Q2010">
        <v>0</v>
      </c>
      <c r="R2010">
        <v>0</v>
      </c>
      <c r="S2010">
        <v>0</v>
      </c>
      <c r="T2010">
        <v>100.43846910000001</v>
      </c>
      <c r="U2010">
        <f t="shared" si="62"/>
        <v>0</v>
      </c>
      <c r="V2010">
        <f t="shared" si="63"/>
        <v>0</v>
      </c>
    </row>
    <row r="2011" spans="1:22" x14ac:dyDescent="0.2">
      <c r="A2011" t="s">
        <v>3367</v>
      </c>
      <c r="B2011" t="s">
        <v>46</v>
      </c>
      <c r="C2011" t="s">
        <v>76</v>
      </c>
      <c r="D2011" t="s">
        <v>77</v>
      </c>
      <c r="E2011">
        <v>17</v>
      </c>
      <c r="F2011" t="s">
        <v>97</v>
      </c>
      <c r="G2011">
        <v>86</v>
      </c>
      <c r="H2011">
        <v>104138616</v>
      </c>
      <c r="I2011">
        <v>1774142</v>
      </c>
      <c r="J2011">
        <v>8</v>
      </c>
      <c r="K2011">
        <v>31</v>
      </c>
      <c r="L2011">
        <v>-102364474</v>
      </c>
      <c r="M2011" s="1" t="s">
        <v>3370</v>
      </c>
      <c r="N2011">
        <v>1.67509753640822E-2</v>
      </c>
      <c r="O2011">
        <v>7.5717044586709496E-3</v>
      </c>
      <c r="P2011">
        <v>0</v>
      </c>
      <c r="Q2011">
        <v>0</v>
      </c>
      <c r="R2011">
        <v>1</v>
      </c>
      <c r="S2011">
        <v>0</v>
      </c>
      <c r="T2011">
        <v>100.43846910000001</v>
      </c>
      <c r="U2011">
        <f t="shared" si="62"/>
        <v>0</v>
      </c>
      <c r="V2011">
        <f t="shared" si="63"/>
        <v>1</v>
      </c>
    </row>
    <row r="2012" spans="1:22" x14ac:dyDescent="0.2">
      <c r="A2012" t="s">
        <v>3367</v>
      </c>
      <c r="B2012" t="s">
        <v>46</v>
      </c>
      <c r="C2012" t="s">
        <v>76</v>
      </c>
      <c r="D2012" t="s">
        <v>77</v>
      </c>
      <c r="E2012">
        <v>15</v>
      </c>
      <c r="F2012" t="s">
        <v>88</v>
      </c>
      <c r="G2012">
        <v>76</v>
      </c>
      <c r="H2012">
        <v>285581260</v>
      </c>
      <c r="I2012">
        <v>106227323</v>
      </c>
      <c r="J2012">
        <v>29</v>
      </c>
      <c r="K2012">
        <v>11</v>
      </c>
      <c r="L2012">
        <v>-179353937</v>
      </c>
      <c r="M2012" s="1" t="s">
        <v>3371</v>
      </c>
      <c r="N2012" s="1" t="s">
        <v>3372</v>
      </c>
      <c r="O2012">
        <v>2.80104007379984E-2</v>
      </c>
      <c r="P2012">
        <v>0</v>
      </c>
      <c r="Q2012">
        <v>0</v>
      </c>
      <c r="R2012">
        <v>0</v>
      </c>
      <c r="S2012">
        <v>0</v>
      </c>
      <c r="T2012">
        <v>100.43846910000001</v>
      </c>
      <c r="U2012">
        <f t="shared" si="62"/>
        <v>0</v>
      </c>
      <c r="V2012">
        <f t="shared" si="63"/>
        <v>0</v>
      </c>
    </row>
    <row r="2013" spans="1:22" x14ac:dyDescent="0.2">
      <c r="A2013" t="s">
        <v>3367</v>
      </c>
      <c r="B2013" t="s">
        <v>46</v>
      </c>
      <c r="C2013" t="s">
        <v>76</v>
      </c>
      <c r="D2013" t="s">
        <v>77</v>
      </c>
      <c r="E2013" s="1" t="s">
        <v>89</v>
      </c>
      <c r="F2013" t="s">
        <v>90</v>
      </c>
      <c r="G2013">
        <v>31</v>
      </c>
      <c r="H2013">
        <v>594480935</v>
      </c>
      <c r="I2013">
        <v>1670941</v>
      </c>
      <c r="J2013">
        <v>17</v>
      </c>
      <c r="K2013">
        <v>22</v>
      </c>
      <c r="L2013">
        <v>-592809994</v>
      </c>
      <c r="M2013" s="1" t="s">
        <v>3373</v>
      </c>
      <c r="N2013">
        <v>2.8028780370725499E-3</v>
      </c>
      <c r="O2013">
        <v>4.2618905434926503E-2</v>
      </c>
      <c r="P2013">
        <v>0</v>
      </c>
      <c r="Q2013">
        <v>0</v>
      </c>
      <c r="R2013">
        <v>0</v>
      </c>
      <c r="S2013">
        <v>0</v>
      </c>
      <c r="T2013">
        <v>100.43846910000001</v>
      </c>
      <c r="U2013">
        <f t="shared" si="62"/>
        <v>0</v>
      </c>
      <c r="V2013">
        <f t="shared" si="63"/>
        <v>0</v>
      </c>
    </row>
    <row r="2014" spans="1:22" x14ac:dyDescent="0.2">
      <c r="A2014" t="s">
        <v>3367</v>
      </c>
      <c r="B2014" t="s">
        <v>46</v>
      </c>
      <c r="C2014" t="s">
        <v>76</v>
      </c>
      <c r="D2014" t="s">
        <v>77</v>
      </c>
      <c r="E2014">
        <v>15</v>
      </c>
      <c r="F2014" t="s">
        <v>88</v>
      </c>
      <c r="G2014">
        <v>74</v>
      </c>
      <c r="H2014">
        <v>247286946</v>
      </c>
      <c r="I2014">
        <v>116133738</v>
      </c>
      <c r="J2014">
        <v>16</v>
      </c>
      <c r="K2014">
        <v>10</v>
      </c>
      <c r="L2014">
        <v>-131153208</v>
      </c>
      <c r="M2014" s="1" t="s">
        <v>3374</v>
      </c>
      <c r="N2014" s="1" t="s">
        <v>3375</v>
      </c>
      <c r="O2014">
        <v>2.5980949466126099E-2</v>
      </c>
      <c r="P2014">
        <v>0</v>
      </c>
      <c r="Q2014">
        <v>0</v>
      </c>
      <c r="R2014">
        <v>0</v>
      </c>
      <c r="S2014">
        <v>1</v>
      </c>
      <c r="T2014">
        <v>100.43846910000001</v>
      </c>
      <c r="U2014">
        <f t="shared" si="62"/>
        <v>0</v>
      </c>
      <c r="V2014">
        <f t="shared" si="63"/>
        <v>1</v>
      </c>
    </row>
    <row r="2015" spans="1:22" x14ac:dyDescent="0.2">
      <c r="A2015" t="s">
        <v>3367</v>
      </c>
      <c r="B2015" t="s">
        <v>46</v>
      </c>
      <c r="C2015" t="s">
        <v>76</v>
      </c>
      <c r="D2015" t="s">
        <v>77</v>
      </c>
      <c r="E2015">
        <v>99</v>
      </c>
      <c r="F2015" t="s">
        <v>78</v>
      </c>
      <c r="G2015">
        <v>99</v>
      </c>
      <c r="H2015">
        <v>358902063</v>
      </c>
      <c r="I2015">
        <v>57938</v>
      </c>
      <c r="J2015">
        <v>16</v>
      </c>
      <c r="K2015">
        <v>71</v>
      </c>
      <c r="L2015">
        <v>-358844125</v>
      </c>
      <c r="M2015" s="1" t="s">
        <v>3376</v>
      </c>
      <c r="N2015" s="1" t="s">
        <v>3377</v>
      </c>
      <c r="O2015" s="1" t="s">
        <v>3378</v>
      </c>
      <c r="P2015">
        <v>0</v>
      </c>
      <c r="Q2015">
        <v>0</v>
      </c>
      <c r="R2015">
        <v>0</v>
      </c>
      <c r="S2015">
        <v>0</v>
      </c>
      <c r="T2015">
        <v>100.43846910000001</v>
      </c>
      <c r="U2015">
        <f t="shared" si="62"/>
        <v>0</v>
      </c>
      <c r="V2015">
        <f t="shared" si="63"/>
        <v>0</v>
      </c>
    </row>
    <row r="2016" spans="1:22" x14ac:dyDescent="0.2">
      <c r="A2016" t="s">
        <v>3367</v>
      </c>
      <c r="B2016" t="s">
        <v>46</v>
      </c>
      <c r="C2016" t="s">
        <v>76</v>
      </c>
      <c r="D2016" t="s">
        <v>77</v>
      </c>
      <c r="E2016" s="1" t="s">
        <v>89</v>
      </c>
      <c r="F2016" t="s">
        <v>90</v>
      </c>
      <c r="G2016">
        <v>28</v>
      </c>
      <c r="H2016">
        <v>205692384</v>
      </c>
      <c r="I2016">
        <v>143753</v>
      </c>
      <c r="J2016">
        <v>24</v>
      </c>
      <c r="K2016">
        <v>67</v>
      </c>
      <c r="L2016">
        <v>-205548631</v>
      </c>
      <c r="M2016">
        <v>0.99930161437104703</v>
      </c>
      <c r="N2016" s="1" t="s">
        <v>3379</v>
      </c>
      <c r="O2016">
        <v>1.47152281340696E-2</v>
      </c>
      <c r="P2016">
        <v>0</v>
      </c>
      <c r="Q2016">
        <v>0</v>
      </c>
      <c r="R2016">
        <v>0</v>
      </c>
      <c r="S2016">
        <v>0</v>
      </c>
      <c r="T2016">
        <v>100.43846910000001</v>
      </c>
      <c r="U2016">
        <f t="shared" si="62"/>
        <v>0</v>
      </c>
      <c r="V2016">
        <f t="shared" si="63"/>
        <v>0</v>
      </c>
    </row>
    <row r="2017" spans="1:22" x14ac:dyDescent="0.2">
      <c r="A2017" t="s">
        <v>3367</v>
      </c>
      <c r="B2017" t="s">
        <v>46</v>
      </c>
      <c r="C2017" t="s">
        <v>76</v>
      </c>
      <c r="D2017" t="s">
        <v>77</v>
      </c>
      <c r="E2017">
        <v>17</v>
      </c>
      <c r="F2017" t="s">
        <v>97</v>
      </c>
      <c r="G2017">
        <v>88</v>
      </c>
      <c r="H2017">
        <v>343959085</v>
      </c>
      <c r="I2017">
        <v>350354</v>
      </c>
      <c r="J2017">
        <v>5</v>
      </c>
      <c r="K2017">
        <v>53</v>
      </c>
      <c r="L2017">
        <v>-343608731</v>
      </c>
      <c r="M2017" s="1" t="s">
        <v>3380</v>
      </c>
      <c r="N2017">
        <v>1.0175556064264599E-3</v>
      </c>
      <c r="O2017" s="1" t="s">
        <v>3381</v>
      </c>
      <c r="P2017">
        <v>1</v>
      </c>
      <c r="Q2017">
        <v>0</v>
      </c>
      <c r="R2017">
        <v>1</v>
      </c>
      <c r="S2017">
        <v>0</v>
      </c>
      <c r="T2017">
        <v>100.43846910000001</v>
      </c>
      <c r="U2017">
        <f t="shared" si="62"/>
        <v>1</v>
      </c>
      <c r="V2017">
        <f t="shared" si="63"/>
        <v>1</v>
      </c>
    </row>
    <row r="2018" spans="1:22" x14ac:dyDescent="0.2">
      <c r="A2018" t="s">
        <v>3367</v>
      </c>
      <c r="B2018" t="s">
        <v>46</v>
      </c>
      <c r="C2018" t="s">
        <v>76</v>
      </c>
      <c r="D2018" t="s">
        <v>77</v>
      </c>
      <c r="E2018" s="1" t="s">
        <v>138</v>
      </c>
      <c r="F2018" t="s">
        <v>139</v>
      </c>
      <c r="G2018">
        <v>24</v>
      </c>
      <c r="H2018">
        <v>291645589</v>
      </c>
      <c r="I2018">
        <v>6471691</v>
      </c>
      <c r="J2018">
        <v>2</v>
      </c>
      <c r="K2018">
        <v>34</v>
      </c>
      <c r="L2018">
        <v>-285173898</v>
      </c>
      <c r="M2018" s="1" t="s">
        <v>3382</v>
      </c>
      <c r="N2018" s="1" t="s">
        <v>3383</v>
      </c>
      <c r="O2018" s="1" t="s">
        <v>3384</v>
      </c>
      <c r="P2018">
        <v>1</v>
      </c>
      <c r="Q2018">
        <v>0</v>
      </c>
      <c r="R2018">
        <v>1</v>
      </c>
      <c r="S2018">
        <v>0</v>
      </c>
      <c r="T2018">
        <v>100.43846910000001</v>
      </c>
      <c r="U2018">
        <f t="shared" si="62"/>
        <v>1</v>
      </c>
      <c r="V2018">
        <f t="shared" si="63"/>
        <v>1</v>
      </c>
    </row>
    <row r="2019" spans="1:22" x14ac:dyDescent="0.2">
      <c r="A2019" t="s">
        <v>3367</v>
      </c>
      <c r="B2019" t="s">
        <v>46</v>
      </c>
      <c r="C2019" t="s">
        <v>76</v>
      </c>
      <c r="D2019" t="s">
        <v>77</v>
      </c>
      <c r="E2019" s="1" t="s">
        <v>99</v>
      </c>
      <c r="F2019" t="s">
        <v>100</v>
      </c>
      <c r="G2019">
        <v>39</v>
      </c>
      <c r="H2019">
        <v>246215991</v>
      </c>
      <c r="I2019">
        <v>192039584</v>
      </c>
      <c r="J2019">
        <v>12</v>
      </c>
      <c r="K2019">
        <v>29</v>
      </c>
      <c r="L2019">
        <v>-54176407</v>
      </c>
      <c r="M2019" s="1" t="s">
        <v>3385</v>
      </c>
      <c r="N2019" s="1" t="s">
        <v>3386</v>
      </c>
      <c r="O2019">
        <v>3.1330896805320703E-2</v>
      </c>
      <c r="P2019">
        <v>0</v>
      </c>
      <c r="Q2019">
        <v>0</v>
      </c>
      <c r="R2019">
        <v>0</v>
      </c>
      <c r="S2019">
        <v>0</v>
      </c>
      <c r="T2019">
        <v>100.43846910000001</v>
      </c>
      <c r="U2019">
        <f t="shared" si="62"/>
        <v>0</v>
      </c>
      <c r="V2019">
        <f t="shared" si="63"/>
        <v>0</v>
      </c>
    </row>
    <row r="2020" spans="1:22" x14ac:dyDescent="0.2">
      <c r="A2020" t="s">
        <v>3367</v>
      </c>
      <c r="B2020" t="s">
        <v>46</v>
      </c>
      <c r="C2020" t="s">
        <v>76</v>
      </c>
      <c r="D2020" t="s">
        <v>77</v>
      </c>
      <c r="E2020" s="1" t="s">
        <v>99</v>
      </c>
      <c r="F2020" t="s">
        <v>100</v>
      </c>
      <c r="G2020">
        <v>40</v>
      </c>
      <c r="H2020">
        <v>179824831</v>
      </c>
      <c r="I2020">
        <v>347775799</v>
      </c>
      <c r="J2020">
        <v>24</v>
      </c>
      <c r="K2020">
        <v>12</v>
      </c>
      <c r="L2020">
        <v>167950968</v>
      </c>
      <c r="M2020" s="1" t="s">
        <v>3387</v>
      </c>
      <c r="N2020" s="1" t="s">
        <v>3388</v>
      </c>
      <c r="O2020" s="1" t="s">
        <v>3389</v>
      </c>
      <c r="P2020">
        <v>0</v>
      </c>
      <c r="Q2020">
        <v>0</v>
      </c>
      <c r="R2020">
        <v>0</v>
      </c>
      <c r="S2020">
        <v>0</v>
      </c>
      <c r="T2020">
        <v>100.43846910000001</v>
      </c>
      <c r="U2020">
        <f t="shared" si="62"/>
        <v>0</v>
      </c>
      <c r="V2020">
        <f t="shared" si="63"/>
        <v>0</v>
      </c>
    </row>
    <row r="2021" spans="1:22" x14ac:dyDescent="0.2">
      <c r="A2021" t="s">
        <v>3367</v>
      </c>
      <c r="B2021" t="s">
        <v>46</v>
      </c>
      <c r="C2021" t="s">
        <v>76</v>
      </c>
      <c r="D2021" t="s">
        <v>77</v>
      </c>
      <c r="E2021" s="1" t="s">
        <v>85</v>
      </c>
      <c r="F2021" t="s">
        <v>86</v>
      </c>
      <c r="G2021">
        <v>26</v>
      </c>
      <c r="H2021">
        <v>176431998</v>
      </c>
      <c r="I2021">
        <v>411</v>
      </c>
      <c r="J2021">
        <v>18</v>
      </c>
      <c r="K2021">
        <v>57</v>
      </c>
      <c r="L2021">
        <v>-176431587</v>
      </c>
      <c r="M2021" s="1" t="s">
        <v>3390</v>
      </c>
      <c r="N2021" s="1" t="s">
        <v>3391</v>
      </c>
      <c r="O2021" s="1" t="s">
        <v>3392</v>
      </c>
      <c r="P2021">
        <v>0</v>
      </c>
      <c r="Q2021">
        <v>0</v>
      </c>
      <c r="R2021">
        <v>0</v>
      </c>
      <c r="S2021">
        <v>0</v>
      </c>
      <c r="T2021">
        <v>100.43846910000001</v>
      </c>
      <c r="U2021">
        <f t="shared" si="62"/>
        <v>0</v>
      </c>
      <c r="V2021">
        <f t="shared" si="63"/>
        <v>0</v>
      </c>
    </row>
    <row r="2022" spans="1:22" x14ac:dyDescent="0.2">
      <c r="A2022" t="s">
        <v>3367</v>
      </c>
      <c r="B2022" t="s">
        <v>46</v>
      </c>
      <c r="C2022" t="s">
        <v>76</v>
      </c>
      <c r="D2022" t="s">
        <v>77</v>
      </c>
      <c r="E2022">
        <v>16</v>
      </c>
      <c r="F2022" t="s">
        <v>95</v>
      </c>
      <c r="G2022">
        <v>84</v>
      </c>
      <c r="H2022">
        <v>104025621</v>
      </c>
      <c r="I2022">
        <v>491761595</v>
      </c>
      <c r="J2022">
        <v>33</v>
      </c>
      <c r="K2022">
        <v>39</v>
      </c>
      <c r="L2022">
        <v>387735974</v>
      </c>
      <c r="M2022" s="1" t="s">
        <v>3393</v>
      </c>
      <c r="N2022" s="1" t="s">
        <v>3394</v>
      </c>
      <c r="O2022" s="1" t="s">
        <v>3395</v>
      </c>
      <c r="P2022">
        <v>0</v>
      </c>
      <c r="Q2022">
        <v>0</v>
      </c>
      <c r="R2022">
        <v>0</v>
      </c>
      <c r="S2022">
        <v>0</v>
      </c>
      <c r="T2022">
        <v>100.43846910000001</v>
      </c>
      <c r="U2022">
        <f t="shared" si="62"/>
        <v>0</v>
      </c>
      <c r="V2022">
        <f t="shared" si="63"/>
        <v>0</v>
      </c>
    </row>
    <row r="2023" spans="1:22" x14ac:dyDescent="0.2">
      <c r="A2023" t="s">
        <v>3367</v>
      </c>
      <c r="B2023" t="s">
        <v>46</v>
      </c>
      <c r="C2023" t="s">
        <v>76</v>
      </c>
      <c r="D2023" t="s">
        <v>77</v>
      </c>
      <c r="E2023">
        <v>10</v>
      </c>
      <c r="F2023" t="s">
        <v>119</v>
      </c>
      <c r="G2023">
        <v>48</v>
      </c>
      <c r="H2023">
        <v>91192773</v>
      </c>
      <c r="I2023">
        <v>217868221</v>
      </c>
      <c r="J2023">
        <v>25</v>
      </c>
      <c r="K2023">
        <v>12</v>
      </c>
      <c r="L2023">
        <v>126675448</v>
      </c>
      <c r="M2023" s="1" t="s">
        <v>3396</v>
      </c>
      <c r="N2023" s="1" t="s">
        <v>3397</v>
      </c>
      <c r="O2023" s="1" t="s">
        <v>3398</v>
      </c>
      <c r="P2023">
        <v>0</v>
      </c>
      <c r="Q2023">
        <v>0</v>
      </c>
      <c r="R2023">
        <v>0</v>
      </c>
      <c r="S2023">
        <v>0</v>
      </c>
      <c r="T2023">
        <v>100.43846910000001</v>
      </c>
      <c r="U2023">
        <f t="shared" si="62"/>
        <v>0</v>
      </c>
      <c r="V2023">
        <f t="shared" si="63"/>
        <v>0</v>
      </c>
    </row>
    <row r="2024" spans="1:22" x14ac:dyDescent="0.2">
      <c r="A2024" t="s">
        <v>3367</v>
      </c>
      <c r="B2024" t="s">
        <v>46</v>
      </c>
      <c r="C2024" t="s">
        <v>76</v>
      </c>
      <c r="D2024" t="s">
        <v>77</v>
      </c>
      <c r="E2024" s="1" t="s">
        <v>85</v>
      </c>
      <c r="F2024" t="s">
        <v>86</v>
      </c>
      <c r="G2024">
        <v>25</v>
      </c>
      <c r="H2024">
        <v>17701040</v>
      </c>
      <c r="I2024">
        <v>436359</v>
      </c>
      <c r="J2024">
        <v>29</v>
      </c>
      <c r="K2024">
        <v>51</v>
      </c>
      <c r="L2024">
        <v>-17264681</v>
      </c>
      <c r="M2024" s="1" t="s">
        <v>3399</v>
      </c>
      <c r="N2024" s="1" t="s">
        <v>3400</v>
      </c>
      <c r="O2024">
        <v>1.29664289241711E-3</v>
      </c>
      <c r="P2024">
        <v>0</v>
      </c>
      <c r="Q2024">
        <v>0</v>
      </c>
      <c r="R2024">
        <v>0</v>
      </c>
      <c r="S2024">
        <v>0</v>
      </c>
      <c r="T2024">
        <v>100.43846910000001</v>
      </c>
      <c r="U2024">
        <f t="shared" si="62"/>
        <v>0</v>
      </c>
      <c r="V2024">
        <f t="shared" si="63"/>
        <v>0</v>
      </c>
    </row>
    <row r="2025" spans="1:22" x14ac:dyDescent="0.2">
      <c r="A2025" t="s">
        <v>3367</v>
      </c>
      <c r="B2025" t="s">
        <v>46</v>
      </c>
      <c r="C2025" t="s">
        <v>76</v>
      </c>
      <c r="D2025" t="s">
        <v>77</v>
      </c>
      <c r="E2025" s="1" t="s">
        <v>110</v>
      </c>
      <c r="F2025" t="s">
        <v>111</v>
      </c>
      <c r="G2025">
        <v>15</v>
      </c>
      <c r="H2025">
        <v>44077667</v>
      </c>
      <c r="I2025">
        <v>604632</v>
      </c>
      <c r="J2025">
        <v>27</v>
      </c>
      <c r="K2025">
        <v>47</v>
      </c>
      <c r="L2025">
        <v>-43473035</v>
      </c>
      <c r="M2025" s="1" t="s">
        <v>3401</v>
      </c>
      <c r="N2025" s="1" t="s">
        <v>3402</v>
      </c>
      <c r="O2025">
        <v>3.1943381416048898E-3</v>
      </c>
      <c r="P2025">
        <v>0</v>
      </c>
      <c r="Q2025">
        <v>0</v>
      </c>
      <c r="R2025">
        <v>0</v>
      </c>
      <c r="S2025">
        <v>0</v>
      </c>
      <c r="T2025">
        <v>100.43846910000001</v>
      </c>
      <c r="U2025">
        <f t="shared" si="62"/>
        <v>0</v>
      </c>
      <c r="V2025">
        <f t="shared" si="63"/>
        <v>0</v>
      </c>
    </row>
    <row r="2026" spans="1:22" x14ac:dyDescent="0.2">
      <c r="A2026" t="s">
        <v>3367</v>
      </c>
      <c r="B2026" t="s">
        <v>46</v>
      </c>
      <c r="C2026" t="s">
        <v>76</v>
      </c>
      <c r="D2026" t="s">
        <v>77</v>
      </c>
      <c r="E2026">
        <v>13</v>
      </c>
      <c r="F2026" t="s">
        <v>91</v>
      </c>
      <c r="G2026">
        <v>70</v>
      </c>
      <c r="H2026">
        <v>36615744</v>
      </c>
      <c r="I2026">
        <v>1288823</v>
      </c>
      <c r="J2026">
        <v>24</v>
      </c>
      <c r="K2026">
        <v>43</v>
      </c>
      <c r="L2026">
        <v>-35326921</v>
      </c>
      <c r="M2026" s="1" t="s">
        <v>3403</v>
      </c>
      <c r="N2026">
        <v>3.4001786644865202E-2</v>
      </c>
      <c r="O2026">
        <v>2.7097979920218101E-3</v>
      </c>
      <c r="P2026">
        <v>0</v>
      </c>
      <c r="Q2026">
        <v>0</v>
      </c>
      <c r="R2026">
        <v>0</v>
      </c>
      <c r="S2026">
        <v>0</v>
      </c>
      <c r="T2026">
        <v>100.43846910000001</v>
      </c>
      <c r="U2026">
        <f t="shared" si="62"/>
        <v>0</v>
      </c>
      <c r="V2026">
        <f t="shared" si="63"/>
        <v>0</v>
      </c>
    </row>
    <row r="2027" spans="1:22" x14ac:dyDescent="0.2">
      <c r="A2027" t="s">
        <v>3367</v>
      </c>
      <c r="B2027" t="s">
        <v>46</v>
      </c>
      <c r="C2027" t="s">
        <v>76</v>
      </c>
      <c r="D2027" t="s">
        <v>77</v>
      </c>
      <c r="E2027" s="1" t="s">
        <v>93</v>
      </c>
      <c r="F2027" t="s">
        <v>94</v>
      </c>
      <c r="G2027">
        <v>44</v>
      </c>
      <c r="H2027">
        <v>76816065</v>
      </c>
      <c r="I2027">
        <v>79240612</v>
      </c>
      <c r="J2027">
        <v>43</v>
      </c>
      <c r="K2027">
        <v>8</v>
      </c>
      <c r="L2027">
        <v>2424547</v>
      </c>
      <c r="M2027" s="1" t="s">
        <v>3404</v>
      </c>
      <c r="N2027" s="1" t="s">
        <v>3405</v>
      </c>
      <c r="O2027" s="1" t="s">
        <v>3406</v>
      </c>
      <c r="P2027">
        <v>0</v>
      </c>
      <c r="Q2027">
        <v>0</v>
      </c>
      <c r="R2027">
        <v>0</v>
      </c>
      <c r="S2027">
        <v>1</v>
      </c>
      <c r="T2027">
        <v>100.43846910000001</v>
      </c>
      <c r="U2027">
        <f t="shared" si="62"/>
        <v>0</v>
      </c>
      <c r="V2027">
        <f t="shared" si="63"/>
        <v>1</v>
      </c>
    </row>
    <row r="2028" spans="1:22" x14ac:dyDescent="0.2">
      <c r="A2028" t="s">
        <v>3367</v>
      </c>
      <c r="B2028" t="s">
        <v>46</v>
      </c>
      <c r="C2028" t="s">
        <v>76</v>
      </c>
      <c r="D2028" t="s">
        <v>77</v>
      </c>
      <c r="E2028">
        <v>17</v>
      </c>
      <c r="F2028" t="s">
        <v>97</v>
      </c>
      <c r="G2028">
        <v>87</v>
      </c>
      <c r="H2028">
        <v>34868498</v>
      </c>
      <c r="I2028">
        <v>15194012</v>
      </c>
      <c r="J2028">
        <v>27</v>
      </c>
      <c r="K2028">
        <v>48</v>
      </c>
      <c r="L2028">
        <v>-19674486</v>
      </c>
      <c r="M2028" s="1" t="s">
        <v>3407</v>
      </c>
      <c r="N2028" s="1" t="s">
        <v>3408</v>
      </c>
      <c r="O2028">
        <v>3.5789694965667799E-3</v>
      </c>
      <c r="P2028">
        <v>0</v>
      </c>
      <c r="Q2028">
        <v>0</v>
      </c>
      <c r="R2028">
        <v>0</v>
      </c>
      <c r="S2028">
        <v>0</v>
      </c>
      <c r="T2028">
        <v>100.43846910000001</v>
      </c>
      <c r="U2028">
        <f t="shared" si="62"/>
        <v>0</v>
      </c>
      <c r="V2028">
        <f t="shared" si="63"/>
        <v>0</v>
      </c>
    </row>
    <row r="2029" spans="1:22" x14ac:dyDescent="0.2">
      <c r="A2029" t="s">
        <v>3367</v>
      </c>
      <c r="B2029" t="s">
        <v>46</v>
      </c>
      <c r="C2029" t="s">
        <v>76</v>
      </c>
      <c r="D2029" t="s">
        <v>77</v>
      </c>
      <c r="E2029" s="1" t="s">
        <v>89</v>
      </c>
      <c r="F2029" t="s">
        <v>90</v>
      </c>
      <c r="G2029">
        <v>29</v>
      </c>
      <c r="H2029">
        <v>18923084</v>
      </c>
      <c r="I2029">
        <v>5695901</v>
      </c>
      <c r="J2029">
        <v>48</v>
      </c>
      <c r="K2029">
        <v>44</v>
      </c>
      <c r="L2029">
        <v>-13227183</v>
      </c>
      <c r="M2029" s="1" t="s">
        <v>3409</v>
      </c>
      <c r="N2029" s="1" t="s">
        <v>3410</v>
      </c>
      <c r="O2029">
        <v>1.76001156057567E-3</v>
      </c>
      <c r="P2029">
        <v>0</v>
      </c>
      <c r="Q2029">
        <v>0</v>
      </c>
      <c r="R2029">
        <v>0</v>
      </c>
      <c r="S2029">
        <v>0</v>
      </c>
      <c r="T2029">
        <v>100.43846910000001</v>
      </c>
      <c r="U2029">
        <f t="shared" si="62"/>
        <v>0</v>
      </c>
      <c r="V2029">
        <f t="shared" si="63"/>
        <v>0</v>
      </c>
    </row>
    <row r="2030" spans="1:22" x14ac:dyDescent="0.2">
      <c r="A2030" t="s">
        <v>3367</v>
      </c>
      <c r="B2030" t="s">
        <v>46</v>
      </c>
      <c r="C2030" t="s">
        <v>76</v>
      </c>
      <c r="D2030" t="s">
        <v>77</v>
      </c>
      <c r="E2030">
        <v>16</v>
      </c>
      <c r="F2030" t="s">
        <v>95</v>
      </c>
      <c r="G2030">
        <v>85</v>
      </c>
      <c r="H2030">
        <v>56658748</v>
      </c>
      <c r="I2030">
        <v>107088495</v>
      </c>
      <c r="J2030">
        <v>36</v>
      </c>
      <c r="K2030">
        <v>43</v>
      </c>
      <c r="L2030">
        <v>50429747</v>
      </c>
      <c r="M2030" s="1" t="s">
        <v>3411</v>
      </c>
      <c r="N2030">
        <v>0.65398655292168795</v>
      </c>
      <c r="O2030" s="1" t="s">
        <v>3412</v>
      </c>
      <c r="P2030">
        <v>0</v>
      </c>
      <c r="Q2030">
        <v>0</v>
      </c>
      <c r="R2030">
        <v>0</v>
      </c>
      <c r="S2030">
        <v>0</v>
      </c>
      <c r="T2030">
        <v>100.43846910000001</v>
      </c>
      <c r="U2030">
        <f t="shared" si="62"/>
        <v>0</v>
      </c>
      <c r="V2030">
        <f t="shared" si="63"/>
        <v>0</v>
      </c>
    </row>
    <row r="2031" spans="1:22" x14ac:dyDescent="0.2">
      <c r="A2031" t="s">
        <v>3367</v>
      </c>
      <c r="B2031" t="s">
        <v>46</v>
      </c>
      <c r="C2031" t="s">
        <v>76</v>
      </c>
      <c r="D2031" t="s">
        <v>77</v>
      </c>
      <c r="E2031">
        <v>15</v>
      </c>
      <c r="F2031" t="s">
        <v>88</v>
      </c>
      <c r="G2031">
        <v>73</v>
      </c>
      <c r="H2031">
        <v>300241952</v>
      </c>
      <c r="I2031">
        <v>62379383</v>
      </c>
      <c r="J2031">
        <v>9</v>
      </c>
      <c r="K2031">
        <v>33</v>
      </c>
      <c r="L2031">
        <v>-237862569</v>
      </c>
      <c r="M2031" s="1" t="s">
        <v>3413</v>
      </c>
      <c r="N2031" s="1" t="s">
        <v>3414</v>
      </c>
      <c r="O2031" s="1" t="s">
        <v>3415</v>
      </c>
      <c r="P2031">
        <v>0</v>
      </c>
      <c r="Q2031">
        <v>0</v>
      </c>
      <c r="R2031">
        <v>1</v>
      </c>
      <c r="S2031">
        <v>0</v>
      </c>
      <c r="T2031">
        <v>100.43846910000001</v>
      </c>
      <c r="U2031">
        <f t="shared" si="62"/>
        <v>0</v>
      </c>
      <c r="V2031">
        <f t="shared" si="63"/>
        <v>1</v>
      </c>
    </row>
    <row r="2032" spans="1:22" x14ac:dyDescent="0.2">
      <c r="A2032" t="s">
        <v>3367</v>
      </c>
      <c r="B2032" t="s">
        <v>46</v>
      </c>
      <c r="C2032" t="s">
        <v>76</v>
      </c>
      <c r="D2032" t="s">
        <v>77</v>
      </c>
      <c r="E2032" s="1" t="s">
        <v>89</v>
      </c>
      <c r="F2032" t="s">
        <v>90</v>
      </c>
      <c r="G2032">
        <v>36</v>
      </c>
      <c r="H2032">
        <v>6693219</v>
      </c>
      <c r="I2032">
        <v>467093</v>
      </c>
      <c r="J2032">
        <v>10</v>
      </c>
      <c r="K2032">
        <v>16</v>
      </c>
      <c r="L2032">
        <v>-6226126</v>
      </c>
      <c r="M2032" s="1" t="s">
        <v>3416</v>
      </c>
      <c r="N2032">
        <v>6.5233609932081105E-2</v>
      </c>
      <c r="O2032" s="1" t="s">
        <v>3417</v>
      </c>
      <c r="P2032">
        <v>0</v>
      </c>
      <c r="Q2032">
        <v>0</v>
      </c>
      <c r="R2032">
        <v>1</v>
      </c>
      <c r="S2032">
        <v>0</v>
      </c>
      <c r="T2032">
        <v>100.43846910000001</v>
      </c>
      <c r="U2032">
        <f t="shared" si="62"/>
        <v>0</v>
      </c>
      <c r="V2032">
        <f t="shared" si="63"/>
        <v>1</v>
      </c>
    </row>
    <row r="2033" spans="1:22" x14ac:dyDescent="0.2">
      <c r="A2033" t="s">
        <v>3367</v>
      </c>
      <c r="B2033" t="s">
        <v>46</v>
      </c>
      <c r="C2033" t="s">
        <v>76</v>
      </c>
      <c r="D2033" t="s">
        <v>77</v>
      </c>
      <c r="E2033">
        <v>15</v>
      </c>
      <c r="F2033" t="s">
        <v>88</v>
      </c>
      <c r="G2033">
        <v>78</v>
      </c>
      <c r="H2033">
        <v>10268518</v>
      </c>
      <c r="I2033">
        <v>34505</v>
      </c>
      <c r="J2033">
        <v>21</v>
      </c>
      <c r="K2033">
        <v>21</v>
      </c>
      <c r="L2033">
        <v>-10234013</v>
      </c>
      <c r="M2033" s="1" t="s">
        <v>3418</v>
      </c>
      <c r="N2033">
        <v>3.3490170797444499E-3</v>
      </c>
      <c r="O2033" s="1" t="s">
        <v>3419</v>
      </c>
      <c r="P2033">
        <v>0</v>
      </c>
      <c r="Q2033">
        <v>0</v>
      </c>
      <c r="R2033">
        <v>0</v>
      </c>
      <c r="S2033">
        <v>0</v>
      </c>
      <c r="T2033">
        <v>100.43846910000001</v>
      </c>
      <c r="U2033">
        <f t="shared" si="62"/>
        <v>0</v>
      </c>
      <c r="V2033">
        <f t="shared" si="63"/>
        <v>0</v>
      </c>
    </row>
    <row r="2034" spans="1:22" x14ac:dyDescent="0.2">
      <c r="A2034" t="s">
        <v>3367</v>
      </c>
      <c r="B2034" t="s">
        <v>46</v>
      </c>
      <c r="C2034" t="s">
        <v>76</v>
      </c>
      <c r="D2034" t="s">
        <v>77</v>
      </c>
      <c r="E2034" s="1" t="s">
        <v>89</v>
      </c>
      <c r="F2034" t="s">
        <v>90</v>
      </c>
      <c r="G2034">
        <v>38</v>
      </c>
      <c r="H2034">
        <v>7986750</v>
      </c>
      <c r="I2034">
        <v>9846116</v>
      </c>
      <c r="J2034">
        <v>42</v>
      </c>
      <c r="K2034">
        <v>45</v>
      </c>
      <c r="L2034">
        <v>1859366</v>
      </c>
      <c r="M2034" s="1" t="s">
        <v>3420</v>
      </c>
      <c r="N2034" s="1" t="s">
        <v>3421</v>
      </c>
      <c r="O2034">
        <v>1.27487182425257E-3</v>
      </c>
      <c r="P2034">
        <v>0</v>
      </c>
      <c r="Q2034">
        <v>0</v>
      </c>
      <c r="R2034">
        <v>0</v>
      </c>
      <c r="S2034">
        <v>0</v>
      </c>
      <c r="T2034">
        <v>100.43846910000001</v>
      </c>
      <c r="U2034">
        <f t="shared" si="62"/>
        <v>0</v>
      </c>
      <c r="V2034">
        <f t="shared" si="63"/>
        <v>0</v>
      </c>
    </row>
    <row r="2035" spans="1:22" x14ac:dyDescent="0.2">
      <c r="A2035" t="s">
        <v>3367</v>
      </c>
      <c r="B2035" t="s">
        <v>46</v>
      </c>
      <c r="C2035" t="s">
        <v>76</v>
      </c>
      <c r="D2035" t="s">
        <v>77</v>
      </c>
      <c r="E2035" s="1" t="s">
        <v>89</v>
      </c>
      <c r="F2035" t="s">
        <v>90</v>
      </c>
      <c r="G2035">
        <v>33</v>
      </c>
      <c r="H2035">
        <v>7307598</v>
      </c>
      <c r="I2035">
        <v>684432</v>
      </c>
      <c r="J2035">
        <v>34</v>
      </c>
      <c r="K2035">
        <v>55</v>
      </c>
      <c r="L2035">
        <v>-6623166</v>
      </c>
      <c r="M2035" s="1" t="s">
        <v>3422</v>
      </c>
      <c r="N2035">
        <v>8.5639318170727494E-2</v>
      </c>
      <c r="O2035" s="1" t="s">
        <v>3423</v>
      </c>
      <c r="P2035">
        <v>0</v>
      </c>
      <c r="Q2035">
        <v>0</v>
      </c>
      <c r="R2035">
        <v>0</v>
      </c>
      <c r="S2035">
        <v>0</v>
      </c>
      <c r="T2035">
        <v>100.43846910000001</v>
      </c>
      <c r="U2035">
        <f t="shared" si="62"/>
        <v>0</v>
      </c>
      <c r="V2035">
        <f t="shared" si="63"/>
        <v>0</v>
      </c>
    </row>
    <row r="2036" spans="1:22" x14ac:dyDescent="0.2">
      <c r="A2036" t="s">
        <v>3367</v>
      </c>
      <c r="B2036" t="s">
        <v>46</v>
      </c>
      <c r="C2036" t="s">
        <v>76</v>
      </c>
      <c r="D2036" t="s">
        <v>77</v>
      </c>
      <c r="E2036" s="1" t="s">
        <v>138</v>
      </c>
      <c r="F2036" t="s">
        <v>139</v>
      </c>
      <c r="G2036">
        <v>17</v>
      </c>
      <c r="H2036">
        <v>4929472</v>
      </c>
      <c r="I2036">
        <v>528109</v>
      </c>
      <c r="J2036">
        <v>35</v>
      </c>
      <c r="K2036">
        <v>51</v>
      </c>
      <c r="L2036">
        <v>-4401363</v>
      </c>
      <c r="M2036" s="1" t="s">
        <v>3424</v>
      </c>
      <c r="N2036">
        <v>9.6766131368457894E-2</v>
      </c>
      <c r="O2036" s="1" t="s">
        <v>3425</v>
      </c>
      <c r="P2036">
        <v>0</v>
      </c>
      <c r="Q2036">
        <v>0</v>
      </c>
      <c r="R2036">
        <v>0</v>
      </c>
      <c r="S2036">
        <v>0</v>
      </c>
      <c r="T2036">
        <v>100.43846910000001</v>
      </c>
      <c r="U2036">
        <f t="shared" si="62"/>
        <v>0</v>
      </c>
      <c r="V2036">
        <f t="shared" si="63"/>
        <v>0</v>
      </c>
    </row>
    <row r="2037" spans="1:22" x14ac:dyDescent="0.2">
      <c r="A2037" t="s">
        <v>3367</v>
      </c>
      <c r="B2037" t="s">
        <v>46</v>
      </c>
      <c r="C2037" t="s">
        <v>76</v>
      </c>
      <c r="D2037" t="s">
        <v>77</v>
      </c>
      <c r="E2037">
        <v>15</v>
      </c>
      <c r="F2037" t="s">
        <v>88</v>
      </c>
      <c r="G2037">
        <v>72</v>
      </c>
      <c r="H2037">
        <v>40751307</v>
      </c>
      <c r="I2037">
        <v>14490720</v>
      </c>
      <c r="J2037">
        <v>78</v>
      </c>
      <c r="K2037">
        <v>41</v>
      </c>
      <c r="L2037">
        <v>-26260587</v>
      </c>
      <c r="M2037" s="1" t="s">
        <v>3426</v>
      </c>
      <c r="N2037" s="1" t="s">
        <v>3427</v>
      </c>
      <c r="O2037">
        <v>3.9492532348361798E-3</v>
      </c>
      <c r="P2037">
        <v>0</v>
      </c>
      <c r="Q2037">
        <v>0</v>
      </c>
      <c r="R2037">
        <v>0</v>
      </c>
      <c r="S2037">
        <v>0</v>
      </c>
      <c r="T2037">
        <v>100.43846910000001</v>
      </c>
      <c r="U2037">
        <f t="shared" si="62"/>
        <v>0</v>
      </c>
      <c r="V2037">
        <f t="shared" si="63"/>
        <v>0</v>
      </c>
    </row>
    <row r="2038" spans="1:22" x14ac:dyDescent="0.2">
      <c r="A2038" t="s">
        <v>3367</v>
      </c>
      <c r="B2038" t="s">
        <v>46</v>
      </c>
      <c r="C2038" t="s">
        <v>76</v>
      </c>
      <c r="D2038" t="s">
        <v>77</v>
      </c>
      <c r="E2038" s="1" t="s">
        <v>138</v>
      </c>
      <c r="F2038" t="s">
        <v>139</v>
      </c>
      <c r="G2038">
        <v>16</v>
      </c>
      <c r="H2038">
        <v>2835144</v>
      </c>
      <c r="I2038">
        <v>29485362</v>
      </c>
      <c r="J2038">
        <v>20</v>
      </c>
      <c r="K2038">
        <v>8</v>
      </c>
      <c r="L2038">
        <v>26650218</v>
      </c>
      <c r="M2038">
        <v>8.7719666270076296E-2</v>
      </c>
      <c r="N2038" s="1" t="s">
        <v>3428</v>
      </c>
      <c r="O2038">
        <v>2.3105933978860298E-3</v>
      </c>
      <c r="P2038">
        <v>0</v>
      </c>
      <c r="Q2038">
        <v>0</v>
      </c>
      <c r="R2038">
        <v>0</v>
      </c>
      <c r="S2038">
        <v>1</v>
      </c>
      <c r="T2038">
        <v>100.43846910000001</v>
      </c>
      <c r="U2038">
        <f t="shared" si="62"/>
        <v>0</v>
      </c>
      <c r="V2038">
        <f t="shared" si="63"/>
        <v>1</v>
      </c>
    </row>
    <row r="2039" spans="1:22" x14ac:dyDescent="0.2">
      <c r="A2039" t="s">
        <v>3367</v>
      </c>
      <c r="B2039" t="s">
        <v>46</v>
      </c>
      <c r="C2039" t="s">
        <v>76</v>
      </c>
      <c r="D2039" t="s">
        <v>77</v>
      </c>
      <c r="E2039" s="1" t="s">
        <v>82</v>
      </c>
      <c r="F2039" t="s">
        <v>83</v>
      </c>
      <c r="G2039">
        <v>10</v>
      </c>
      <c r="H2039">
        <v>3624959</v>
      </c>
      <c r="I2039">
        <v>25460706</v>
      </c>
      <c r="J2039">
        <v>98</v>
      </c>
      <c r="K2039">
        <v>11</v>
      </c>
      <c r="L2039">
        <v>21835747</v>
      </c>
      <c r="M2039" s="1" t="s">
        <v>3429</v>
      </c>
      <c r="N2039" s="1" t="s">
        <v>3430</v>
      </c>
      <c r="O2039">
        <v>2.07933457236483E-3</v>
      </c>
      <c r="P2039">
        <v>0</v>
      </c>
      <c r="Q2039">
        <v>0</v>
      </c>
      <c r="R2039">
        <v>0</v>
      </c>
      <c r="S2039">
        <v>0</v>
      </c>
      <c r="T2039">
        <v>100.43846910000001</v>
      </c>
      <c r="U2039">
        <f t="shared" si="62"/>
        <v>0</v>
      </c>
      <c r="V2039">
        <f t="shared" si="63"/>
        <v>0</v>
      </c>
    </row>
    <row r="2040" spans="1:22" x14ac:dyDescent="0.2">
      <c r="A2040" t="s">
        <v>3367</v>
      </c>
      <c r="B2040" t="s">
        <v>46</v>
      </c>
      <c r="C2040" t="s">
        <v>76</v>
      </c>
      <c r="D2040" t="s">
        <v>77</v>
      </c>
      <c r="E2040">
        <v>11</v>
      </c>
      <c r="F2040" t="s">
        <v>127</v>
      </c>
      <c r="G2040">
        <v>54</v>
      </c>
      <c r="H2040">
        <v>2958010</v>
      </c>
      <c r="I2040">
        <v>8184358</v>
      </c>
      <c r="J2040">
        <v>15</v>
      </c>
      <c r="K2040">
        <v>20</v>
      </c>
      <c r="L2040">
        <v>5226348</v>
      </c>
      <c r="M2040" s="1" t="s">
        <v>3431</v>
      </c>
      <c r="N2040" s="1" t="s">
        <v>3432</v>
      </c>
      <c r="O2040" s="1" t="s">
        <v>3433</v>
      </c>
      <c r="P2040">
        <v>0</v>
      </c>
      <c r="Q2040">
        <v>0</v>
      </c>
      <c r="R2040">
        <v>0</v>
      </c>
      <c r="S2040">
        <v>0</v>
      </c>
      <c r="T2040">
        <v>100.43846910000001</v>
      </c>
      <c r="U2040">
        <f t="shared" si="62"/>
        <v>0</v>
      </c>
      <c r="V2040">
        <f t="shared" si="63"/>
        <v>0</v>
      </c>
    </row>
    <row r="2041" spans="1:22" x14ac:dyDescent="0.2">
      <c r="A2041" t="s">
        <v>3367</v>
      </c>
      <c r="B2041" t="s">
        <v>46</v>
      </c>
      <c r="C2041" t="s">
        <v>76</v>
      </c>
      <c r="D2041" t="s">
        <v>77</v>
      </c>
      <c r="E2041">
        <v>13</v>
      </c>
      <c r="F2041" t="s">
        <v>91</v>
      </c>
      <c r="G2041">
        <v>68</v>
      </c>
      <c r="H2041">
        <v>13599720</v>
      </c>
      <c r="I2041">
        <v>4763413</v>
      </c>
      <c r="J2041">
        <v>28</v>
      </c>
      <c r="K2041">
        <v>39</v>
      </c>
      <c r="L2041">
        <v>-8836307</v>
      </c>
      <c r="M2041" s="1" t="s">
        <v>3434</v>
      </c>
      <c r="N2041" s="1" t="s">
        <v>3435</v>
      </c>
      <c r="O2041">
        <v>1.3127806190380499E-3</v>
      </c>
      <c r="P2041">
        <v>0</v>
      </c>
      <c r="Q2041">
        <v>0</v>
      </c>
      <c r="R2041">
        <v>0</v>
      </c>
      <c r="S2041">
        <v>0</v>
      </c>
      <c r="T2041">
        <v>100.43846910000001</v>
      </c>
      <c r="U2041">
        <f t="shared" si="62"/>
        <v>0</v>
      </c>
      <c r="V2041">
        <f t="shared" si="63"/>
        <v>0</v>
      </c>
    </row>
    <row r="2042" spans="1:22" x14ac:dyDescent="0.2">
      <c r="A2042" t="s">
        <v>3367</v>
      </c>
      <c r="B2042" t="s">
        <v>46</v>
      </c>
      <c r="C2042" t="s">
        <v>76</v>
      </c>
      <c r="D2042" t="s">
        <v>77</v>
      </c>
      <c r="E2042" s="1" t="s">
        <v>138</v>
      </c>
      <c r="F2042" t="s">
        <v>139</v>
      </c>
      <c r="G2042">
        <v>21</v>
      </c>
      <c r="H2042">
        <v>9987349</v>
      </c>
      <c r="I2042">
        <v>32400186</v>
      </c>
      <c r="J2042">
        <v>26</v>
      </c>
      <c r="K2042">
        <v>32</v>
      </c>
      <c r="L2042">
        <v>22412837</v>
      </c>
      <c r="M2042" s="1" t="s">
        <v>3436</v>
      </c>
      <c r="N2042" s="1" t="s">
        <v>3437</v>
      </c>
      <c r="O2042">
        <v>3.0302854331446102E-3</v>
      </c>
      <c r="P2042">
        <v>0</v>
      </c>
      <c r="Q2042">
        <v>0</v>
      </c>
      <c r="R2042">
        <v>0</v>
      </c>
      <c r="S2042">
        <v>0</v>
      </c>
      <c r="T2042">
        <v>100.43846910000001</v>
      </c>
      <c r="U2042">
        <f t="shared" si="62"/>
        <v>0</v>
      </c>
      <c r="V2042">
        <f t="shared" si="63"/>
        <v>0</v>
      </c>
    </row>
    <row r="2043" spans="1:22" x14ac:dyDescent="0.2">
      <c r="A2043" t="s">
        <v>3367</v>
      </c>
      <c r="B2043" t="s">
        <v>46</v>
      </c>
      <c r="C2043" t="s">
        <v>76</v>
      </c>
      <c r="D2043" t="s">
        <v>77</v>
      </c>
      <c r="E2043">
        <v>20</v>
      </c>
      <c r="F2043" t="s">
        <v>104</v>
      </c>
      <c r="G2043">
        <v>94</v>
      </c>
      <c r="H2043">
        <v>25125385</v>
      </c>
      <c r="I2043">
        <v>50672695</v>
      </c>
      <c r="J2043">
        <v>22</v>
      </c>
      <c r="K2043">
        <v>28</v>
      </c>
      <c r="L2043">
        <v>25547310</v>
      </c>
      <c r="M2043" s="1" t="s">
        <v>3438</v>
      </c>
      <c r="N2043" s="1" t="s">
        <v>3439</v>
      </c>
      <c r="O2043">
        <v>5.4188057334386202E-3</v>
      </c>
      <c r="P2043">
        <v>0</v>
      </c>
      <c r="Q2043">
        <v>0</v>
      </c>
      <c r="R2043">
        <v>0</v>
      </c>
      <c r="S2043">
        <v>0</v>
      </c>
      <c r="T2043">
        <v>100.43846910000001</v>
      </c>
      <c r="U2043">
        <f t="shared" si="62"/>
        <v>0</v>
      </c>
      <c r="V2043">
        <f t="shared" si="63"/>
        <v>0</v>
      </c>
    </row>
    <row r="2044" spans="1:22" x14ac:dyDescent="0.2">
      <c r="A2044" t="s">
        <v>3367</v>
      </c>
      <c r="B2044" t="s">
        <v>46</v>
      </c>
      <c r="C2044" t="s">
        <v>76</v>
      </c>
      <c r="D2044" t="s">
        <v>77</v>
      </c>
      <c r="E2044">
        <v>15</v>
      </c>
      <c r="F2044" t="s">
        <v>88</v>
      </c>
      <c r="G2044">
        <v>82</v>
      </c>
      <c r="H2044">
        <v>1438076</v>
      </c>
      <c r="I2044">
        <v>6472752</v>
      </c>
      <c r="J2044">
        <v>54</v>
      </c>
      <c r="K2044">
        <v>38</v>
      </c>
      <c r="L2044">
        <v>5034676</v>
      </c>
      <c r="M2044" s="1" t="s">
        <v>3440</v>
      </c>
      <c r="N2044" s="1" t="s">
        <v>3441</v>
      </c>
      <c r="O2044" s="1" t="s">
        <v>3442</v>
      </c>
      <c r="P2044">
        <v>0</v>
      </c>
      <c r="Q2044">
        <v>0</v>
      </c>
      <c r="R2044">
        <v>0</v>
      </c>
      <c r="S2044">
        <v>0</v>
      </c>
      <c r="T2044">
        <v>100.43846910000001</v>
      </c>
      <c r="U2044">
        <f t="shared" si="62"/>
        <v>0</v>
      </c>
      <c r="V2044">
        <f t="shared" si="63"/>
        <v>0</v>
      </c>
    </row>
    <row r="2045" spans="1:22" x14ac:dyDescent="0.2">
      <c r="A2045" t="s">
        <v>3367</v>
      </c>
      <c r="B2045" t="s">
        <v>46</v>
      </c>
      <c r="C2045" t="s">
        <v>76</v>
      </c>
      <c r="D2045" t="s">
        <v>77</v>
      </c>
      <c r="E2045" s="1" t="s">
        <v>82</v>
      </c>
      <c r="F2045" t="s">
        <v>83</v>
      </c>
      <c r="G2045" s="1" t="s">
        <v>99</v>
      </c>
      <c r="H2045">
        <v>10458340</v>
      </c>
      <c r="I2045">
        <v>103044298</v>
      </c>
      <c r="J2045">
        <v>30</v>
      </c>
      <c r="K2045">
        <v>14</v>
      </c>
      <c r="L2045">
        <v>92585958</v>
      </c>
      <c r="M2045">
        <v>9.2141823170664897E-2</v>
      </c>
      <c r="N2045">
        <v>0.90785817682933501</v>
      </c>
      <c r="O2045">
        <v>8.1143050794269308E-3</v>
      </c>
      <c r="P2045">
        <v>0</v>
      </c>
      <c r="Q2045">
        <v>0</v>
      </c>
      <c r="R2045">
        <v>0</v>
      </c>
      <c r="S2045">
        <v>0</v>
      </c>
      <c r="T2045">
        <v>100.43846910000001</v>
      </c>
      <c r="U2045">
        <f t="shared" si="62"/>
        <v>0</v>
      </c>
      <c r="V2045">
        <f t="shared" si="63"/>
        <v>0</v>
      </c>
    </row>
    <row r="2046" spans="1:22" x14ac:dyDescent="0.2">
      <c r="A2046" t="s">
        <v>3367</v>
      </c>
      <c r="B2046" t="s">
        <v>46</v>
      </c>
      <c r="C2046" t="s">
        <v>76</v>
      </c>
      <c r="D2046" t="s">
        <v>77</v>
      </c>
      <c r="E2046">
        <v>11</v>
      </c>
      <c r="F2046" t="s">
        <v>127</v>
      </c>
      <c r="G2046">
        <v>52</v>
      </c>
      <c r="H2046">
        <v>5347220</v>
      </c>
      <c r="I2046">
        <v>172521</v>
      </c>
      <c r="J2046">
        <v>7</v>
      </c>
      <c r="K2046">
        <v>49</v>
      </c>
      <c r="L2046">
        <v>-5174699</v>
      </c>
      <c r="M2046" s="1" t="s">
        <v>3443</v>
      </c>
      <c r="N2046" s="1" t="s">
        <v>3444</v>
      </c>
      <c r="O2046" s="1" t="s">
        <v>3445</v>
      </c>
      <c r="P2046">
        <v>0</v>
      </c>
      <c r="Q2046">
        <v>0</v>
      </c>
      <c r="R2046">
        <v>1</v>
      </c>
      <c r="S2046">
        <v>0</v>
      </c>
      <c r="T2046">
        <v>100.43846910000001</v>
      </c>
      <c r="U2046">
        <f t="shared" si="62"/>
        <v>0</v>
      </c>
      <c r="V2046">
        <f t="shared" si="63"/>
        <v>1</v>
      </c>
    </row>
    <row r="2047" spans="1:22" x14ac:dyDescent="0.2">
      <c r="A2047" t="s">
        <v>3367</v>
      </c>
      <c r="B2047" t="s">
        <v>46</v>
      </c>
      <c r="C2047" t="s">
        <v>76</v>
      </c>
      <c r="D2047" t="s">
        <v>77</v>
      </c>
      <c r="E2047">
        <v>19</v>
      </c>
      <c r="F2047" t="s">
        <v>838</v>
      </c>
      <c r="G2047">
        <v>93</v>
      </c>
      <c r="H2047">
        <v>1040366</v>
      </c>
      <c r="I2047">
        <v>2939612</v>
      </c>
      <c r="J2047">
        <v>29</v>
      </c>
      <c r="K2047">
        <v>12</v>
      </c>
      <c r="L2047">
        <v>1899246</v>
      </c>
      <c r="M2047" s="1" t="s">
        <v>3446</v>
      </c>
      <c r="N2047" s="1" t="s">
        <v>3447</v>
      </c>
      <c r="O2047" s="1" t="s">
        <v>3448</v>
      </c>
      <c r="P2047">
        <v>0</v>
      </c>
      <c r="Q2047">
        <v>0</v>
      </c>
      <c r="R2047">
        <v>0</v>
      </c>
      <c r="S2047">
        <v>0</v>
      </c>
      <c r="T2047">
        <v>100.43846910000001</v>
      </c>
      <c r="U2047">
        <f t="shared" si="62"/>
        <v>0</v>
      </c>
      <c r="V2047">
        <f t="shared" si="63"/>
        <v>0</v>
      </c>
    </row>
    <row r="2048" spans="1:22" x14ac:dyDescent="0.2">
      <c r="A2048" t="s">
        <v>3367</v>
      </c>
      <c r="B2048" t="s">
        <v>46</v>
      </c>
      <c r="C2048" t="s">
        <v>76</v>
      </c>
      <c r="D2048" t="s">
        <v>77</v>
      </c>
      <c r="E2048">
        <v>15</v>
      </c>
      <c r="F2048" t="s">
        <v>88</v>
      </c>
      <c r="G2048">
        <v>81</v>
      </c>
      <c r="H2048">
        <v>1087410</v>
      </c>
      <c r="I2048">
        <v>0</v>
      </c>
      <c r="J2048">
        <v>40</v>
      </c>
      <c r="K2048">
        <v>59</v>
      </c>
      <c r="L2048">
        <v>-1087410</v>
      </c>
      <c r="M2048">
        <v>1</v>
      </c>
      <c r="N2048">
        <v>0</v>
      </c>
      <c r="O2048" s="1" t="s">
        <v>3449</v>
      </c>
      <c r="P2048">
        <v>0</v>
      </c>
      <c r="Q2048">
        <v>0</v>
      </c>
      <c r="R2048">
        <v>0</v>
      </c>
      <c r="S2048">
        <v>0</v>
      </c>
      <c r="T2048">
        <v>100.43846910000001</v>
      </c>
      <c r="U2048">
        <f t="shared" si="62"/>
        <v>0</v>
      </c>
      <c r="V2048">
        <f t="shared" si="63"/>
        <v>0</v>
      </c>
    </row>
    <row r="2049" spans="1:22" x14ac:dyDescent="0.2">
      <c r="A2049" t="s">
        <v>3367</v>
      </c>
      <c r="B2049" t="s">
        <v>46</v>
      </c>
      <c r="C2049" t="s">
        <v>76</v>
      </c>
      <c r="D2049" t="s">
        <v>77</v>
      </c>
      <c r="E2049">
        <v>18</v>
      </c>
      <c r="F2049" t="s">
        <v>147</v>
      </c>
      <c r="G2049">
        <v>90</v>
      </c>
      <c r="H2049">
        <v>6608205</v>
      </c>
      <c r="I2049">
        <v>14992646</v>
      </c>
      <c r="J2049">
        <v>57</v>
      </c>
      <c r="K2049">
        <v>48</v>
      </c>
      <c r="L2049">
        <v>8384441</v>
      </c>
      <c r="M2049" s="1" t="s">
        <v>3450</v>
      </c>
      <c r="N2049" s="1" t="s">
        <v>3451</v>
      </c>
      <c r="O2049">
        <v>1.54424512132699E-3</v>
      </c>
      <c r="P2049">
        <v>0</v>
      </c>
      <c r="Q2049">
        <v>0</v>
      </c>
      <c r="R2049">
        <v>0</v>
      </c>
      <c r="S2049">
        <v>0</v>
      </c>
      <c r="T2049">
        <v>100.43846910000001</v>
      </c>
      <c r="U2049">
        <f t="shared" si="62"/>
        <v>0</v>
      </c>
      <c r="V2049">
        <f t="shared" si="63"/>
        <v>0</v>
      </c>
    </row>
    <row r="2050" spans="1:22" x14ac:dyDescent="0.2">
      <c r="A2050" t="s">
        <v>3367</v>
      </c>
      <c r="B2050" t="s">
        <v>46</v>
      </c>
      <c r="C2050" t="s">
        <v>76</v>
      </c>
      <c r="D2050" t="s">
        <v>77</v>
      </c>
      <c r="E2050" s="1" t="s">
        <v>138</v>
      </c>
      <c r="F2050" t="s">
        <v>139</v>
      </c>
      <c r="G2050">
        <v>22</v>
      </c>
      <c r="H2050">
        <v>1850369</v>
      </c>
      <c r="I2050">
        <v>40475186</v>
      </c>
      <c r="J2050">
        <v>61</v>
      </c>
      <c r="K2050">
        <v>30</v>
      </c>
      <c r="L2050">
        <v>38624817</v>
      </c>
      <c r="M2050">
        <v>4.3717536604068102E-2</v>
      </c>
      <c r="N2050" s="1" t="s">
        <v>3452</v>
      </c>
      <c r="O2050">
        <v>3.0258544821316299E-3</v>
      </c>
      <c r="P2050">
        <v>0</v>
      </c>
      <c r="Q2050">
        <v>0</v>
      </c>
      <c r="R2050">
        <v>0</v>
      </c>
      <c r="S2050">
        <v>0</v>
      </c>
      <c r="T2050">
        <v>100.43846910000001</v>
      </c>
      <c r="U2050">
        <f t="shared" si="62"/>
        <v>0</v>
      </c>
      <c r="V2050">
        <f t="shared" si="63"/>
        <v>0</v>
      </c>
    </row>
    <row r="2051" spans="1:22" x14ac:dyDescent="0.2">
      <c r="A2051" t="s">
        <v>3367</v>
      </c>
      <c r="B2051" t="s">
        <v>46</v>
      </c>
      <c r="C2051" t="s">
        <v>76</v>
      </c>
      <c r="D2051" t="s">
        <v>77</v>
      </c>
      <c r="E2051" s="1" t="s">
        <v>163</v>
      </c>
      <c r="F2051" t="s">
        <v>224</v>
      </c>
      <c r="G2051">
        <v>41</v>
      </c>
      <c r="H2051">
        <v>523892</v>
      </c>
      <c r="I2051">
        <v>665508</v>
      </c>
      <c r="J2051">
        <v>27</v>
      </c>
      <c r="K2051">
        <v>27</v>
      </c>
      <c r="L2051">
        <v>141616</v>
      </c>
      <c r="M2051" s="1" t="s">
        <v>3453</v>
      </c>
      <c r="N2051" s="1" t="s">
        <v>3454</v>
      </c>
      <c r="O2051" s="1" t="s">
        <v>3455</v>
      </c>
      <c r="P2051">
        <v>0</v>
      </c>
      <c r="Q2051">
        <v>0</v>
      </c>
      <c r="R2051">
        <v>0</v>
      </c>
      <c r="S2051">
        <v>0</v>
      </c>
      <c r="T2051">
        <v>100.43846910000001</v>
      </c>
      <c r="U2051">
        <f t="shared" ref="U2051:U2114" si="64">IF(OR(P2051=1,Q2051=1),1,0)</f>
        <v>0</v>
      </c>
      <c r="V2051">
        <f t="shared" ref="V2051:V2114" si="65">IF(OR(R2051=1,S2051=1),1,0)</f>
        <v>0</v>
      </c>
    </row>
    <row r="2052" spans="1:22" x14ac:dyDescent="0.2">
      <c r="A2052" t="s">
        <v>3367</v>
      </c>
      <c r="B2052" t="s">
        <v>46</v>
      </c>
      <c r="C2052" t="s">
        <v>76</v>
      </c>
      <c r="D2052" t="s">
        <v>77</v>
      </c>
      <c r="E2052" s="1" t="s">
        <v>155</v>
      </c>
      <c r="F2052" t="s">
        <v>156</v>
      </c>
      <c r="G2052" s="1" t="s">
        <v>82</v>
      </c>
      <c r="H2052">
        <v>7636096</v>
      </c>
      <c r="I2052">
        <v>20639850</v>
      </c>
      <c r="J2052">
        <v>15</v>
      </c>
      <c r="K2052">
        <v>13</v>
      </c>
      <c r="L2052">
        <v>13003754</v>
      </c>
      <c r="M2052" s="1" t="s">
        <v>3456</v>
      </c>
      <c r="N2052" s="1" t="s">
        <v>3457</v>
      </c>
      <c r="O2052">
        <v>2.0214477504337902E-3</v>
      </c>
      <c r="P2052">
        <v>0</v>
      </c>
      <c r="Q2052">
        <v>0</v>
      </c>
      <c r="R2052">
        <v>0</v>
      </c>
      <c r="S2052">
        <v>0</v>
      </c>
      <c r="T2052">
        <v>100.43846910000001</v>
      </c>
      <c r="U2052">
        <f t="shared" si="64"/>
        <v>0</v>
      </c>
      <c r="V2052">
        <f t="shared" si="65"/>
        <v>0</v>
      </c>
    </row>
    <row r="2053" spans="1:22" x14ac:dyDescent="0.2">
      <c r="A2053" t="s">
        <v>3367</v>
      </c>
      <c r="B2053" t="s">
        <v>46</v>
      </c>
      <c r="C2053" t="s">
        <v>76</v>
      </c>
      <c r="D2053" t="s">
        <v>77</v>
      </c>
      <c r="E2053" s="1" t="s">
        <v>89</v>
      </c>
      <c r="F2053" t="s">
        <v>90</v>
      </c>
      <c r="G2053">
        <v>34</v>
      </c>
      <c r="H2053">
        <v>2522735</v>
      </c>
      <c r="I2053">
        <v>77030771</v>
      </c>
      <c r="J2053">
        <v>37</v>
      </c>
      <c r="K2053">
        <v>18</v>
      </c>
      <c r="L2053">
        <v>74508036</v>
      </c>
      <c r="M2053" s="1" t="s">
        <v>3458</v>
      </c>
      <c r="N2053">
        <v>0.96828882689343698</v>
      </c>
      <c r="O2053">
        <v>5.6872811874383103E-3</v>
      </c>
      <c r="P2053">
        <v>0</v>
      </c>
      <c r="Q2053">
        <v>0</v>
      </c>
      <c r="R2053">
        <v>0</v>
      </c>
      <c r="S2053">
        <v>0</v>
      </c>
      <c r="T2053">
        <v>100.43846910000001</v>
      </c>
      <c r="U2053">
        <f t="shared" si="64"/>
        <v>0</v>
      </c>
      <c r="V2053">
        <f t="shared" si="65"/>
        <v>0</v>
      </c>
    </row>
    <row r="2054" spans="1:22" x14ac:dyDescent="0.2">
      <c r="A2054" t="s">
        <v>3367</v>
      </c>
      <c r="B2054" t="s">
        <v>46</v>
      </c>
      <c r="C2054" t="s">
        <v>76</v>
      </c>
      <c r="D2054" t="s">
        <v>77</v>
      </c>
      <c r="E2054" s="1" t="s">
        <v>82</v>
      </c>
      <c r="F2054" t="s">
        <v>83</v>
      </c>
      <c r="G2054">
        <v>11</v>
      </c>
      <c r="H2054">
        <v>1456904</v>
      </c>
      <c r="I2054">
        <v>480104</v>
      </c>
      <c r="J2054">
        <v>39</v>
      </c>
      <c r="K2054">
        <v>29</v>
      </c>
      <c r="L2054">
        <v>-976800</v>
      </c>
      <c r="M2054" s="1" t="s">
        <v>3459</v>
      </c>
      <c r="N2054" s="1" t="s">
        <v>3460</v>
      </c>
      <c r="O2054" s="1" t="s">
        <v>3461</v>
      </c>
      <c r="P2054">
        <v>0</v>
      </c>
      <c r="Q2054">
        <v>0</v>
      </c>
      <c r="R2054">
        <v>0</v>
      </c>
      <c r="S2054">
        <v>0</v>
      </c>
      <c r="T2054">
        <v>100.43846910000001</v>
      </c>
      <c r="U2054">
        <f t="shared" si="64"/>
        <v>0</v>
      </c>
      <c r="V2054">
        <f t="shared" si="65"/>
        <v>0</v>
      </c>
    </row>
    <row r="2055" spans="1:22" x14ac:dyDescent="0.2">
      <c r="A2055" t="s">
        <v>3367</v>
      </c>
      <c r="B2055" t="s">
        <v>46</v>
      </c>
      <c r="C2055" t="s">
        <v>76</v>
      </c>
      <c r="D2055" t="s">
        <v>77</v>
      </c>
      <c r="E2055">
        <v>13</v>
      </c>
      <c r="F2055" t="s">
        <v>91</v>
      </c>
      <c r="G2055">
        <v>69</v>
      </c>
      <c r="H2055">
        <v>2472231</v>
      </c>
      <c r="I2055">
        <v>1602266</v>
      </c>
      <c r="J2055">
        <v>28</v>
      </c>
      <c r="K2055">
        <v>39</v>
      </c>
      <c r="L2055">
        <v>-869965</v>
      </c>
      <c r="M2055" s="1" t="s">
        <v>3462</v>
      </c>
      <c r="N2055" s="1" t="s">
        <v>3463</v>
      </c>
      <c r="O2055" s="1" t="s">
        <v>3464</v>
      </c>
      <c r="P2055">
        <v>0</v>
      </c>
      <c r="Q2055">
        <v>0</v>
      </c>
      <c r="R2055">
        <v>0</v>
      </c>
      <c r="S2055">
        <v>0</v>
      </c>
      <c r="T2055">
        <v>100.43846910000001</v>
      </c>
      <c r="U2055">
        <f t="shared" si="64"/>
        <v>0</v>
      </c>
      <c r="V2055">
        <f t="shared" si="65"/>
        <v>0</v>
      </c>
    </row>
    <row r="2056" spans="1:22" x14ac:dyDescent="0.2">
      <c r="A2056" t="s">
        <v>3367</v>
      </c>
      <c r="B2056" t="s">
        <v>46</v>
      </c>
      <c r="C2056" t="s">
        <v>76</v>
      </c>
      <c r="D2056" t="s">
        <v>77</v>
      </c>
      <c r="E2056" s="1" t="s">
        <v>82</v>
      </c>
      <c r="F2056" t="s">
        <v>83</v>
      </c>
      <c r="G2056">
        <v>12</v>
      </c>
      <c r="H2056">
        <v>1327642</v>
      </c>
      <c r="I2056">
        <v>100451759</v>
      </c>
      <c r="J2056">
        <v>52</v>
      </c>
      <c r="K2056">
        <v>16</v>
      </c>
      <c r="L2056">
        <v>99124117</v>
      </c>
      <c r="M2056" s="1" t="s">
        <v>3465</v>
      </c>
      <c r="N2056" s="1" t="s">
        <v>3466</v>
      </c>
      <c r="O2056">
        <v>7.2762107125239704E-3</v>
      </c>
      <c r="P2056">
        <v>0</v>
      </c>
      <c r="Q2056">
        <v>0</v>
      </c>
      <c r="R2056">
        <v>0</v>
      </c>
      <c r="S2056">
        <v>0</v>
      </c>
      <c r="T2056">
        <v>100.43846910000001</v>
      </c>
      <c r="U2056">
        <f t="shared" si="64"/>
        <v>0</v>
      </c>
      <c r="V2056">
        <f t="shared" si="65"/>
        <v>0</v>
      </c>
    </row>
    <row r="2057" spans="1:22" x14ac:dyDescent="0.2">
      <c r="A2057" t="s">
        <v>3367</v>
      </c>
      <c r="B2057" t="s">
        <v>46</v>
      </c>
      <c r="C2057" t="s">
        <v>76</v>
      </c>
      <c r="D2057" t="s">
        <v>77</v>
      </c>
      <c r="E2057">
        <v>15</v>
      </c>
      <c r="F2057" t="s">
        <v>88</v>
      </c>
      <c r="G2057">
        <v>75</v>
      </c>
      <c r="H2057">
        <v>12247367</v>
      </c>
      <c r="I2057">
        <v>0</v>
      </c>
      <c r="J2057">
        <v>24</v>
      </c>
      <c r="K2057">
        <v>52</v>
      </c>
      <c r="L2057">
        <v>-12247367</v>
      </c>
      <c r="M2057">
        <v>1</v>
      </c>
      <c r="N2057">
        <v>0</v>
      </c>
      <c r="O2057" s="1" t="s">
        <v>3467</v>
      </c>
      <c r="P2057">
        <v>0</v>
      </c>
      <c r="Q2057">
        <v>0</v>
      </c>
      <c r="R2057">
        <v>0</v>
      </c>
      <c r="S2057">
        <v>0</v>
      </c>
      <c r="T2057">
        <v>100.43846910000001</v>
      </c>
      <c r="U2057">
        <f t="shared" si="64"/>
        <v>0</v>
      </c>
      <c r="V2057">
        <f t="shared" si="65"/>
        <v>0</v>
      </c>
    </row>
    <row r="2058" spans="1:22" x14ac:dyDescent="0.2">
      <c r="A2058" t="s">
        <v>3367</v>
      </c>
      <c r="B2058" t="s">
        <v>46</v>
      </c>
      <c r="C2058" t="s">
        <v>76</v>
      </c>
      <c r="D2058" t="s">
        <v>77</v>
      </c>
      <c r="E2058">
        <v>17</v>
      </c>
      <c r="F2058" t="s">
        <v>97</v>
      </c>
      <c r="G2058">
        <v>89</v>
      </c>
      <c r="H2058">
        <v>490302</v>
      </c>
      <c r="I2058">
        <v>259237</v>
      </c>
      <c r="J2058">
        <v>37</v>
      </c>
      <c r="K2058">
        <v>44</v>
      </c>
      <c r="L2058">
        <v>-231065</v>
      </c>
      <c r="M2058" s="1" t="s">
        <v>3468</v>
      </c>
      <c r="N2058" s="1" t="s">
        <v>3469</v>
      </c>
      <c r="O2058" s="1" t="s">
        <v>3470</v>
      </c>
      <c r="P2058">
        <v>0</v>
      </c>
      <c r="Q2058">
        <v>0</v>
      </c>
      <c r="R2058">
        <v>0</v>
      </c>
      <c r="S2058">
        <v>0</v>
      </c>
      <c r="T2058">
        <v>100.43846910000001</v>
      </c>
      <c r="U2058">
        <f t="shared" si="64"/>
        <v>0</v>
      </c>
      <c r="V2058">
        <f t="shared" si="65"/>
        <v>0</v>
      </c>
    </row>
    <row r="2059" spans="1:22" x14ac:dyDescent="0.2">
      <c r="A2059" t="s">
        <v>3367</v>
      </c>
      <c r="B2059" t="s">
        <v>46</v>
      </c>
      <c r="C2059" t="s">
        <v>76</v>
      </c>
      <c r="D2059" t="s">
        <v>77</v>
      </c>
      <c r="E2059">
        <v>15</v>
      </c>
      <c r="F2059" t="s">
        <v>88</v>
      </c>
      <c r="G2059">
        <v>83</v>
      </c>
      <c r="H2059">
        <v>5594317</v>
      </c>
      <c r="I2059">
        <v>38319945</v>
      </c>
      <c r="J2059">
        <v>21</v>
      </c>
      <c r="K2059">
        <v>20</v>
      </c>
      <c r="L2059">
        <v>32725628</v>
      </c>
      <c r="M2059" s="1" t="s">
        <v>3471</v>
      </c>
      <c r="N2059" s="1" t="s">
        <v>3472</v>
      </c>
      <c r="O2059">
        <v>3.1394311664006001E-3</v>
      </c>
      <c r="P2059">
        <v>0</v>
      </c>
      <c r="Q2059">
        <v>0</v>
      </c>
      <c r="R2059">
        <v>0</v>
      </c>
      <c r="S2059">
        <v>0</v>
      </c>
      <c r="T2059">
        <v>100.43846910000001</v>
      </c>
      <c r="U2059">
        <f t="shared" si="64"/>
        <v>0</v>
      </c>
      <c r="V2059">
        <f t="shared" si="65"/>
        <v>0</v>
      </c>
    </row>
    <row r="2060" spans="1:22" x14ac:dyDescent="0.2">
      <c r="A2060" t="s">
        <v>3367</v>
      </c>
      <c r="B2060" t="s">
        <v>46</v>
      </c>
      <c r="C2060" t="s">
        <v>76</v>
      </c>
      <c r="D2060" t="s">
        <v>77</v>
      </c>
      <c r="E2060" s="1" t="s">
        <v>138</v>
      </c>
      <c r="F2060" t="s">
        <v>139</v>
      </c>
      <c r="G2060">
        <v>19</v>
      </c>
      <c r="H2060">
        <v>2095962</v>
      </c>
      <c r="I2060">
        <v>44653043</v>
      </c>
      <c r="J2060">
        <v>26</v>
      </c>
      <c r="K2060">
        <v>18</v>
      </c>
      <c r="L2060">
        <v>42557081</v>
      </c>
      <c r="M2060" s="1" t="s">
        <v>3473</v>
      </c>
      <c r="N2060">
        <v>0.95516563400654197</v>
      </c>
      <c r="O2060">
        <v>3.3420869806537398E-3</v>
      </c>
      <c r="P2060">
        <v>0</v>
      </c>
      <c r="Q2060">
        <v>0</v>
      </c>
      <c r="R2060">
        <v>0</v>
      </c>
      <c r="S2060">
        <v>0</v>
      </c>
      <c r="T2060">
        <v>100.43846910000001</v>
      </c>
      <c r="U2060">
        <f t="shared" si="64"/>
        <v>0</v>
      </c>
      <c r="V2060">
        <f t="shared" si="65"/>
        <v>0</v>
      </c>
    </row>
    <row r="2061" spans="1:22" x14ac:dyDescent="0.2">
      <c r="A2061" t="s">
        <v>3367</v>
      </c>
      <c r="B2061" t="s">
        <v>46</v>
      </c>
      <c r="C2061" t="s">
        <v>76</v>
      </c>
      <c r="D2061" t="s">
        <v>77</v>
      </c>
      <c r="E2061">
        <v>11</v>
      </c>
      <c r="F2061" t="s">
        <v>127</v>
      </c>
      <c r="G2061">
        <v>56</v>
      </c>
      <c r="H2061">
        <v>9213756</v>
      </c>
      <c r="I2061">
        <v>8565135</v>
      </c>
      <c r="J2061">
        <v>13</v>
      </c>
      <c r="K2061">
        <v>33</v>
      </c>
      <c r="L2061">
        <v>-648621</v>
      </c>
      <c r="M2061" s="1" t="s">
        <v>3474</v>
      </c>
      <c r="N2061" s="1" t="s">
        <v>3475</v>
      </c>
      <c r="O2061">
        <v>1.27101315079459E-3</v>
      </c>
      <c r="P2061">
        <v>0</v>
      </c>
      <c r="Q2061">
        <v>0</v>
      </c>
      <c r="R2061">
        <v>0</v>
      </c>
      <c r="S2061">
        <v>0</v>
      </c>
      <c r="T2061">
        <v>100.43846910000001</v>
      </c>
      <c r="U2061">
        <f t="shared" si="64"/>
        <v>0</v>
      </c>
      <c r="V2061">
        <f t="shared" si="65"/>
        <v>0</v>
      </c>
    </row>
    <row r="2062" spans="1:22" x14ac:dyDescent="0.2">
      <c r="A2062" t="s">
        <v>3367</v>
      </c>
      <c r="B2062" t="s">
        <v>46</v>
      </c>
      <c r="C2062" t="s">
        <v>76</v>
      </c>
      <c r="D2062" t="s">
        <v>77</v>
      </c>
      <c r="E2062" s="1" t="s">
        <v>82</v>
      </c>
      <c r="F2062" t="s">
        <v>83</v>
      </c>
      <c r="G2062" s="1" t="s">
        <v>163</v>
      </c>
      <c r="H2062">
        <v>4135025</v>
      </c>
      <c r="I2062">
        <v>980533646</v>
      </c>
      <c r="J2062">
        <v>16</v>
      </c>
      <c r="K2062">
        <v>5</v>
      </c>
      <c r="L2062">
        <v>976398621</v>
      </c>
      <c r="M2062">
        <v>4.1994074979562297E-3</v>
      </c>
      <c r="N2062" s="1" t="s">
        <v>3476</v>
      </c>
      <c r="O2062">
        <v>7.0393976205626693E-2</v>
      </c>
      <c r="P2062">
        <v>0</v>
      </c>
      <c r="Q2062">
        <v>1</v>
      </c>
      <c r="R2062">
        <v>0</v>
      </c>
      <c r="S2062">
        <v>1</v>
      </c>
      <c r="T2062">
        <v>100.43846910000001</v>
      </c>
      <c r="U2062">
        <f t="shared" si="64"/>
        <v>1</v>
      </c>
      <c r="V2062">
        <f t="shared" si="65"/>
        <v>1</v>
      </c>
    </row>
    <row r="2063" spans="1:22" x14ac:dyDescent="0.2">
      <c r="A2063" t="s">
        <v>3367</v>
      </c>
      <c r="B2063" t="s">
        <v>46</v>
      </c>
      <c r="C2063" t="s">
        <v>76</v>
      </c>
      <c r="D2063" t="s">
        <v>77</v>
      </c>
      <c r="E2063">
        <v>12</v>
      </c>
      <c r="F2063" t="s">
        <v>194</v>
      </c>
      <c r="G2063">
        <v>64</v>
      </c>
      <c r="H2063">
        <v>743043</v>
      </c>
      <c r="I2063">
        <v>33423739</v>
      </c>
      <c r="J2063">
        <v>32</v>
      </c>
      <c r="K2063">
        <v>25</v>
      </c>
      <c r="L2063">
        <v>32680696</v>
      </c>
      <c r="M2063" s="1" t="s">
        <v>3477</v>
      </c>
      <c r="N2063">
        <v>0.97825247341116295</v>
      </c>
      <c r="O2063">
        <v>2.4425836933435201E-3</v>
      </c>
      <c r="P2063">
        <v>0</v>
      </c>
      <c r="Q2063">
        <v>0</v>
      </c>
      <c r="R2063">
        <v>0</v>
      </c>
      <c r="S2063">
        <v>0</v>
      </c>
      <c r="T2063">
        <v>100.43846910000001</v>
      </c>
      <c r="U2063">
        <f t="shared" si="64"/>
        <v>0</v>
      </c>
      <c r="V2063">
        <f t="shared" si="65"/>
        <v>0</v>
      </c>
    </row>
    <row r="2064" spans="1:22" x14ac:dyDescent="0.2">
      <c r="A2064" t="s">
        <v>3367</v>
      </c>
      <c r="B2064" t="s">
        <v>46</v>
      </c>
      <c r="C2064" t="s">
        <v>76</v>
      </c>
      <c r="D2064" t="s">
        <v>77</v>
      </c>
      <c r="E2064" s="1" t="s">
        <v>82</v>
      </c>
      <c r="F2064" t="s">
        <v>83</v>
      </c>
      <c r="G2064" s="1" t="s">
        <v>93</v>
      </c>
      <c r="H2064">
        <v>72249</v>
      </c>
      <c r="I2064">
        <v>651430</v>
      </c>
      <c r="J2064">
        <v>67</v>
      </c>
      <c r="K2064">
        <v>63</v>
      </c>
      <c r="L2064">
        <v>579181</v>
      </c>
      <c r="M2064">
        <v>9.9835700635226399E-2</v>
      </c>
      <c r="N2064" s="1" t="s">
        <v>3478</v>
      </c>
      <c r="O2064" s="1" t="s">
        <v>3479</v>
      </c>
      <c r="P2064">
        <v>0</v>
      </c>
      <c r="Q2064">
        <v>0</v>
      </c>
      <c r="R2064">
        <v>0</v>
      </c>
      <c r="S2064">
        <v>0</v>
      </c>
      <c r="T2064">
        <v>100.43846910000001</v>
      </c>
      <c r="U2064">
        <f t="shared" si="64"/>
        <v>0</v>
      </c>
      <c r="V2064">
        <f t="shared" si="65"/>
        <v>0</v>
      </c>
    </row>
    <row r="2065" spans="1:22" x14ac:dyDescent="0.2">
      <c r="A2065" t="s">
        <v>3367</v>
      </c>
      <c r="B2065" t="s">
        <v>46</v>
      </c>
      <c r="C2065" t="s">
        <v>76</v>
      </c>
      <c r="D2065" t="s">
        <v>77</v>
      </c>
      <c r="E2065" s="1" t="s">
        <v>89</v>
      </c>
      <c r="F2065" t="s">
        <v>90</v>
      </c>
      <c r="G2065">
        <v>32</v>
      </c>
      <c r="H2065">
        <v>3521153</v>
      </c>
      <c r="I2065">
        <v>26362455</v>
      </c>
      <c r="J2065">
        <v>26</v>
      </c>
      <c r="K2065">
        <v>31</v>
      </c>
      <c r="L2065">
        <v>22841302</v>
      </c>
      <c r="M2065" s="1" t="s">
        <v>3480</v>
      </c>
      <c r="N2065" s="1" t="s">
        <v>3481</v>
      </c>
      <c r="O2065">
        <v>2.13637952790139E-3</v>
      </c>
      <c r="P2065">
        <v>0</v>
      </c>
      <c r="Q2065">
        <v>0</v>
      </c>
      <c r="R2065">
        <v>0</v>
      </c>
      <c r="S2065">
        <v>0</v>
      </c>
      <c r="T2065">
        <v>100.43846910000001</v>
      </c>
      <c r="U2065">
        <f t="shared" si="64"/>
        <v>0</v>
      </c>
      <c r="V2065">
        <f t="shared" si="65"/>
        <v>0</v>
      </c>
    </row>
    <row r="2066" spans="1:22" x14ac:dyDescent="0.2">
      <c r="A2066" t="s">
        <v>3367</v>
      </c>
      <c r="B2066" t="s">
        <v>46</v>
      </c>
      <c r="C2066" t="s">
        <v>76</v>
      </c>
      <c r="D2066" t="s">
        <v>77</v>
      </c>
      <c r="E2066">
        <v>20</v>
      </c>
      <c r="F2066" t="s">
        <v>104</v>
      </c>
      <c r="G2066">
        <v>95</v>
      </c>
      <c r="H2066">
        <v>301273</v>
      </c>
      <c r="I2066">
        <v>247321</v>
      </c>
      <c r="J2066">
        <v>53</v>
      </c>
      <c r="K2066">
        <v>57</v>
      </c>
      <c r="L2066">
        <v>-53952</v>
      </c>
      <c r="M2066" s="1" t="s">
        <v>3482</v>
      </c>
      <c r="N2066" s="1" t="s">
        <v>3483</v>
      </c>
      <c r="O2066" s="1" t="s">
        <v>3484</v>
      </c>
      <c r="P2066">
        <v>0</v>
      </c>
      <c r="Q2066">
        <v>0</v>
      </c>
      <c r="R2066">
        <v>0</v>
      </c>
      <c r="S2066">
        <v>0</v>
      </c>
      <c r="T2066">
        <v>100.43846910000001</v>
      </c>
      <c r="U2066">
        <f t="shared" si="64"/>
        <v>0</v>
      </c>
      <c r="V2066">
        <f t="shared" si="65"/>
        <v>0</v>
      </c>
    </row>
    <row r="2067" spans="1:22" x14ac:dyDescent="0.2">
      <c r="A2067" t="s">
        <v>3367</v>
      </c>
      <c r="B2067" t="s">
        <v>46</v>
      </c>
      <c r="C2067" t="s">
        <v>76</v>
      </c>
      <c r="D2067" t="s">
        <v>77</v>
      </c>
      <c r="E2067" s="1" t="s">
        <v>89</v>
      </c>
      <c r="F2067" t="s">
        <v>90</v>
      </c>
      <c r="G2067">
        <v>30</v>
      </c>
      <c r="H2067">
        <v>3037660</v>
      </c>
      <c r="I2067">
        <v>329366324</v>
      </c>
      <c r="J2067">
        <v>47</v>
      </c>
      <c r="K2067">
        <v>25</v>
      </c>
      <c r="L2067">
        <v>326328664</v>
      </c>
      <c r="M2067">
        <v>9.1384584608348099E-3</v>
      </c>
      <c r="N2067" s="1" t="s">
        <v>3485</v>
      </c>
      <c r="O2067" s="1" t="s">
        <v>3486</v>
      </c>
      <c r="P2067">
        <v>0</v>
      </c>
      <c r="Q2067">
        <v>0</v>
      </c>
      <c r="R2067">
        <v>0</v>
      </c>
      <c r="S2067">
        <v>0</v>
      </c>
      <c r="T2067">
        <v>100.43846910000001</v>
      </c>
      <c r="U2067">
        <f t="shared" si="64"/>
        <v>0</v>
      </c>
      <c r="V2067">
        <f t="shared" si="65"/>
        <v>0</v>
      </c>
    </row>
    <row r="2068" spans="1:22" x14ac:dyDescent="0.2">
      <c r="A2068" t="s">
        <v>3367</v>
      </c>
      <c r="B2068" t="s">
        <v>46</v>
      </c>
      <c r="C2068" t="s">
        <v>76</v>
      </c>
      <c r="D2068" t="s">
        <v>77</v>
      </c>
      <c r="E2068" s="1" t="s">
        <v>82</v>
      </c>
      <c r="F2068" t="s">
        <v>83</v>
      </c>
      <c r="G2068" s="1" t="s">
        <v>89</v>
      </c>
      <c r="H2068">
        <v>1652829</v>
      </c>
      <c r="I2068">
        <v>51352113</v>
      </c>
      <c r="J2068">
        <v>3</v>
      </c>
      <c r="K2068">
        <v>10</v>
      </c>
      <c r="L2068">
        <v>49699284</v>
      </c>
      <c r="M2068" s="1" t="s">
        <v>3487</v>
      </c>
      <c r="N2068" s="1" t="s">
        <v>3488</v>
      </c>
      <c r="O2068">
        <v>3.7893239988424699E-3</v>
      </c>
      <c r="P2068">
        <v>1</v>
      </c>
      <c r="Q2068">
        <v>0</v>
      </c>
      <c r="R2068">
        <v>1</v>
      </c>
      <c r="S2068">
        <v>1</v>
      </c>
      <c r="T2068">
        <v>100.43846910000001</v>
      </c>
      <c r="U2068">
        <f t="shared" si="64"/>
        <v>1</v>
      </c>
      <c r="V2068">
        <f t="shared" si="65"/>
        <v>1</v>
      </c>
    </row>
    <row r="2069" spans="1:22" x14ac:dyDescent="0.2">
      <c r="A2069" t="s">
        <v>3367</v>
      </c>
      <c r="B2069" t="s">
        <v>46</v>
      </c>
      <c r="C2069" t="s">
        <v>76</v>
      </c>
      <c r="D2069" t="s">
        <v>77</v>
      </c>
      <c r="E2069" s="1" t="s">
        <v>138</v>
      </c>
      <c r="F2069" t="s">
        <v>139</v>
      </c>
      <c r="G2069">
        <v>23</v>
      </c>
      <c r="H2069">
        <v>10618061</v>
      </c>
      <c r="I2069">
        <v>64657220</v>
      </c>
      <c r="J2069">
        <v>37</v>
      </c>
      <c r="K2069">
        <v>20</v>
      </c>
      <c r="L2069">
        <v>54039159</v>
      </c>
      <c r="M2069" s="1" t="s">
        <v>3489</v>
      </c>
      <c r="N2069" s="1" t="s">
        <v>3490</v>
      </c>
      <c r="O2069">
        <v>5.3814308260711E-3</v>
      </c>
      <c r="P2069">
        <v>0</v>
      </c>
      <c r="Q2069">
        <v>0</v>
      </c>
      <c r="R2069">
        <v>0</v>
      </c>
      <c r="S2069">
        <v>0</v>
      </c>
      <c r="T2069">
        <v>100.43846910000001</v>
      </c>
      <c r="U2069">
        <f t="shared" si="64"/>
        <v>0</v>
      </c>
      <c r="V2069">
        <f t="shared" si="65"/>
        <v>0</v>
      </c>
    </row>
    <row r="2070" spans="1:22" x14ac:dyDescent="0.2">
      <c r="A2070" t="s">
        <v>3367</v>
      </c>
      <c r="B2070" t="s">
        <v>46</v>
      </c>
      <c r="C2070" t="s">
        <v>76</v>
      </c>
      <c r="D2070" t="s">
        <v>77</v>
      </c>
      <c r="E2070">
        <v>11</v>
      </c>
      <c r="F2070" t="s">
        <v>127</v>
      </c>
      <c r="G2070">
        <v>62</v>
      </c>
      <c r="H2070">
        <v>2745092</v>
      </c>
      <c r="I2070">
        <v>11376460</v>
      </c>
      <c r="J2070">
        <v>27</v>
      </c>
      <c r="K2070">
        <v>35</v>
      </c>
      <c r="L2070">
        <v>8631368</v>
      </c>
      <c r="M2070" s="1" t="s">
        <v>3491</v>
      </c>
      <c r="N2070" s="1" t="s">
        <v>3492</v>
      </c>
      <c r="O2070">
        <v>1.0095499377115E-3</v>
      </c>
      <c r="P2070">
        <v>0</v>
      </c>
      <c r="Q2070">
        <v>0</v>
      </c>
      <c r="R2070">
        <v>0</v>
      </c>
      <c r="S2070">
        <v>0</v>
      </c>
      <c r="T2070">
        <v>100.43846910000001</v>
      </c>
      <c r="U2070">
        <f t="shared" si="64"/>
        <v>0</v>
      </c>
      <c r="V2070">
        <f t="shared" si="65"/>
        <v>0</v>
      </c>
    </row>
    <row r="2071" spans="1:22" x14ac:dyDescent="0.2">
      <c r="A2071" t="s">
        <v>3367</v>
      </c>
      <c r="B2071" t="s">
        <v>46</v>
      </c>
      <c r="C2071" t="s">
        <v>76</v>
      </c>
      <c r="D2071" t="s">
        <v>77</v>
      </c>
      <c r="E2071">
        <v>11</v>
      </c>
      <c r="F2071" t="s">
        <v>127</v>
      </c>
      <c r="G2071">
        <v>53</v>
      </c>
      <c r="H2071">
        <v>62236</v>
      </c>
      <c r="I2071">
        <v>0</v>
      </c>
      <c r="J2071">
        <v>38</v>
      </c>
      <c r="K2071">
        <v>49</v>
      </c>
      <c r="L2071">
        <v>-62236</v>
      </c>
      <c r="M2071">
        <v>1</v>
      </c>
      <c r="N2071">
        <v>0</v>
      </c>
      <c r="O2071" s="1" t="s">
        <v>3493</v>
      </c>
      <c r="P2071">
        <v>0</v>
      </c>
      <c r="Q2071">
        <v>0</v>
      </c>
      <c r="R2071">
        <v>0</v>
      </c>
      <c r="S2071">
        <v>0</v>
      </c>
      <c r="T2071">
        <v>100.43846910000001</v>
      </c>
      <c r="U2071">
        <f t="shared" si="64"/>
        <v>0</v>
      </c>
      <c r="V2071">
        <f t="shared" si="65"/>
        <v>0</v>
      </c>
    </row>
    <row r="2072" spans="1:22" x14ac:dyDescent="0.2">
      <c r="A2072" t="s">
        <v>3367</v>
      </c>
      <c r="B2072" t="s">
        <v>46</v>
      </c>
      <c r="C2072" t="s">
        <v>76</v>
      </c>
      <c r="D2072" t="s">
        <v>77</v>
      </c>
      <c r="E2072">
        <v>11</v>
      </c>
      <c r="F2072" t="s">
        <v>127</v>
      </c>
      <c r="G2072">
        <v>51</v>
      </c>
      <c r="H2072">
        <v>5464</v>
      </c>
      <c r="I2072">
        <v>35459</v>
      </c>
      <c r="J2072">
        <v>36</v>
      </c>
      <c r="K2072">
        <v>40</v>
      </c>
      <c r="L2072">
        <v>29995</v>
      </c>
      <c r="M2072" s="1" t="s">
        <v>3494</v>
      </c>
      <c r="N2072" s="1" t="s">
        <v>3495</v>
      </c>
      <c r="O2072" s="1" t="s">
        <v>3496</v>
      </c>
      <c r="P2072">
        <v>0</v>
      </c>
      <c r="Q2072">
        <v>0</v>
      </c>
      <c r="R2072">
        <v>0</v>
      </c>
      <c r="S2072">
        <v>0</v>
      </c>
      <c r="T2072">
        <v>100.43846910000001</v>
      </c>
      <c r="U2072">
        <f t="shared" si="64"/>
        <v>0</v>
      </c>
      <c r="V2072">
        <f t="shared" si="65"/>
        <v>0</v>
      </c>
    </row>
    <row r="2073" spans="1:22" x14ac:dyDescent="0.2">
      <c r="A2073" t="s">
        <v>3367</v>
      </c>
      <c r="B2073" t="s">
        <v>46</v>
      </c>
      <c r="C2073" t="s">
        <v>76</v>
      </c>
      <c r="D2073" t="s">
        <v>77</v>
      </c>
      <c r="E2073">
        <v>20</v>
      </c>
      <c r="F2073" t="s">
        <v>104</v>
      </c>
      <c r="G2073">
        <v>96</v>
      </c>
      <c r="H2073">
        <v>287636</v>
      </c>
      <c r="I2073">
        <v>5025989</v>
      </c>
      <c r="J2073">
        <v>44</v>
      </c>
      <c r="K2073">
        <v>38</v>
      </c>
      <c r="L2073">
        <v>4738353</v>
      </c>
      <c r="M2073">
        <v>5.4131783857536003E-2</v>
      </c>
      <c r="N2073">
        <v>0.94586821614246397</v>
      </c>
      <c r="O2073" s="1" t="s">
        <v>3497</v>
      </c>
      <c r="P2073">
        <v>0</v>
      </c>
      <c r="Q2073">
        <v>0</v>
      </c>
      <c r="R2073">
        <v>0</v>
      </c>
      <c r="S2073">
        <v>0</v>
      </c>
      <c r="T2073">
        <v>100.43846910000001</v>
      </c>
      <c r="U2073">
        <f t="shared" si="64"/>
        <v>0</v>
      </c>
      <c r="V2073">
        <f t="shared" si="65"/>
        <v>0</v>
      </c>
    </row>
    <row r="2074" spans="1:22" x14ac:dyDescent="0.2">
      <c r="A2074" t="s">
        <v>3367</v>
      </c>
      <c r="B2074" t="s">
        <v>46</v>
      </c>
      <c r="C2074" t="s">
        <v>76</v>
      </c>
      <c r="D2074" t="s">
        <v>77</v>
      </c>
      <c r="E2074">
        <v>21</v>
      </c>
      <c r="F2074" t="s">
        <v>212</v>
      </c>
      <c r="G2074">
        <v>97</v>
      </c>
      <c r="H2074">
        <v>582632</v>
      </c>
      <c r="I2074">
        <v>201731</v>
      </c>
      <c r="J2074">
        <v>25</v>
      </c>
      <c r="K2074">
        <v>34</v>
      </c>
      <c r="L2074">
        <v>-380901</v>
      </c>
      <c r="M2074" s="1" t="s">
        <v>3498</v>
      </c>
      <c r="N2074" s="1" t="s">
        <v>3499</v>
      </c>
      <c r="O2074" s="1" t="s">
        <v>3500</v>
      </c>
      <c r="P2074">
        <v>0</v>
      </c>
      <c r="Q2074">
        <v>0</v>
      </c>
      <c r="R2074">
        <v>0</v>
      </c>
      <c r="S2074">
        <v>0</v>
      </c>
      <c r="T2074">
        <v>100.43846910000001</v>
      </c>
      <c r="U2074">
        <f t="shared" si="64"/>
        <v>0</v>
      </c>
      <c r="V2074">
        <f t="shared" si="65"/>
        <v>0</v>
      </c>
    </row>
    <row r="2075" spans="1:22" x14ac:dyDescent="0.2">
      <c r="A2075" t="s">
        <v>3367</v>
      </c>
      <c r="B2075" t="s">
        <v>46</v>
      </c>
      <c r="C2075" t="s">
        <v>76</v>
      </c>
      <c r="D2075" t="s">
        <v>77</v>
      </c>
      <c r="E2075">
        <v>11</v>
      </c>
      <c r="F2075" t="s">
        <v>127</v>
      </c>
      <c r="G2075">
        <v>63</v>
      </c>
      <c r="H2075">
        <v>451974</v>
      </c>
      <c r="I2075">
        <v>8549296</v>
      </c>
      <c r="J2075">
        <v>45</v>
      </c>
      <c r="K2075">
        <v>26</v>
      </c>
      <c r="L2075">
        <v>8097322</v>
      </c>
      <c r="M2075">
        <v>5.0212247827250998E-2</v>
      </c>
      <c r="N2075" s="1" t="s">
        <v>3501</v>
      </c>
      <c r="O2075" s="1" t="s">
        <v>3502</v>
      </c>
      <c r="P2075">
        <v>0</v>
      </c>
      <c r="Q2075">
        <v>0</v>
      </c>
      <c r="R2075">
        <v>0</v>
      </c>
      <c r="S2075">
        <v>0</v>
      </c>
      <c r="T2075">
        <v>100.43846910000001</v>
      </c>
      <c r="U2075">
        <f t="shared" si="64"/>
        <v>0</v>
      </c>
      <c r="V2075">
        <f t="shared" si="65"/>
        <v>0</v>
      </c>
    </row>
    <row r="2076" spans="1:22" x14ac:dyDescent="0.2">
      <c r="A2076" t="s">
        <v>3367</v>
      </c>
      <c r="B2076" t="s">
        <v>46</v>
      </c>
      <c r="C2076" t="s">
        <v>76</v>
      </c>
      <c r="D2076" t="s">
        <v>77</v>
      </c>
      <c r="E2076">
        <v>11</v>
      </c>
      <c r="F2076" t="s">
        <v>127</v>
      </c>
      <c r="G2076">
        <v>55</v>
      </c>
      <c r="H2076">
        <v>10658</v>
      </c>
      <c r="I2076">
        <v>13050</v>
      </c>
      <c r="J2076">
        <v>43</v>
      </c>
      <c r="K2076">
        <v>53</v>
      </c>
      <c r="L2076">
        <v>2392</v>
      </c>
      <c r="M2076" s="1" t="s">
        <v>3503</v>
      </c>
      <c r="N2076" s="1" t="s">
        <v>3504</v>
      </c>
      <c r="O2076" s="1" t="s">
        <v>3505</v>
      </c>
      <c r="P2076">
        <v>0</v>
      </c>
      <c r="Q2076">
        <v>0</v>
      </c>
      <c r="R2076">
        <v>0</v>
      </c>
      <c r="S2076">
        <v>0</v>
      </c>
      <c r="T2076">
        <v>100.43846910000001</v>
      </c>
      <c r="U2076">
        <f t="shared" si="64"/>
        <v>0</v>
      </c>
      <c r="V2076">
        <f t="shared" si="65"/>
        <v>0</v>
      </c>
    </row>
    <row r="2077" spans="1:22" x14ac:dyDescent="0.2">
      <c r="A2077" t="s">
        <v>3367</v>
      </c>
      <c r="B2077" t="s">
        <v>46</v>
      </c>
      <c r="C2077" t="s">
        <v>76</v>
      </c>
      <c r="D2077" t="s">
        <v>77</v>
      </c>
      <c r="E2077">
        <v>11</v>
      </c>
      <c r="F2077" t="s">
        <v>127</v>
      </c>
      <c r="G2077">
        <v>61</v>
      </c>
      <c r="H2077">
        <v>455405</v>
      </c>
      <c r="I2077">
        <v>513157609</v>
      </c>
      <c r="J2077">
        <v>37</v>
      </c>
      <c r="K2077">
        <v>7</v>
      </c>
      <c r="L2077">
        <v>512702204</v>
      </c>
      <c r="M2077" s="1" t="s">
        <v>3506</v>
      </c>
      <c r="N2077">
        <v>0.99911333048893503</v>
      </c>
      <c r="O2077">
        <v>3.6718201107889398E-2</v>
      </c>
      <c r="P2077">
        <v>0</v>
      </c>
      <c r="Q2077">
        <v>0</v>
      </c>
      <c r="R2077">
        <v>0</v>
      </c>
      <c r="S2077">
        <v>1</v>
      </c>
      <c r="T2077">
        <v>100.43846910000001</v>
      </c>
      <c r="U2077">
        <f t="shared" si="64"/>
        <v>0</v>
      </c>
      <c r="V2077">
        <f t="shared" si="65"/>
        <v>1</v>
      </c>
    </row>
    <row r="2078" spans="1:22" x14ac:dyDescent="0.2">
      <c r="A2078" t="s">
        <v>3367</v>
      </c>
      <c r="B2078" t="s">
        <v>46</v>
      </c>
      <c r="C2078" t="s">
        <v>76</v>
      </c>
      <c r="D2078" t="s">
        <v>77</v>
      </c>
      <c r="E2078">
        <v>11</v>
      </c>
      <c r="F2078" t="s">
        <v>127</v>
      </c>
      <c r="G2078">
        <v>59</v>
      </c>
      <c r="H2078">
        <v>929975</v>
      </c>
      <c r="I2078">
        <v>17944545</v>
      </c>
      <c r="J2078">
        <v>15</v>
      </c>
      <c r="K2078">
        <v>18</v>
      </c>
      <c r="L2078">
        <v>17014570</v>
      </c>
      <c r="M2078">
        <v>4.9271451671353703E-2</v>
      </c>
      <c r="N2078" s="1" t="s">
        <v>3507</v>
      </c>
      <c r="O2078">
        <v>1.3493396823758799E-3</v>
      </c>
      <c r="P2078">
        <v>0</v>
      </c>
      <c r="Q2078">
        <v>0</v>
      </c>
      <c r="R2078">
        <v>0</v>
      </c>
      <c r="S2078">
        <v>0</v>
      </c>
      <c r="T2078">
        <v>100.43846910000001</v>
      </c>
      <c r="U2078">
        <f t="shared" si="64"/>
        <v>0</v>
      </c>
      <c r="V2078">
        <f t="shared" si="65"/>
        <v>0</v>
      </c>
    </row>
    <row r="2079" spans="1:22" x14ac:dyDescent="0.2">
      <c r="A2079" t="s">
        <v>3367</v>
      </c>
      <c r="B2079" t="s">
        <v>46</v>
      </c>
      <c r="C2079" t="s">
        <v>76</v>
      </c>
      <c r="D2079" t="s">
        <v>77</v>
      </c>
      <c r="E2079">
        <v>10</v>
      </c>
      <c r="F2079" t="s">
        <v>119</v>
      </c>
      <c r="G2079">
        <v>49</v>
      </c>
      <c r="H2079">
        <v>4048649</v>
      </c>
      <c r="I2079">
        <v>6316485</v>
      </c>
      <c r="J2079">
        <v>25</v>
      </c>
      <c r="K2079">
        <v>24</v>
      </c>
      <c r="L2079">
        <v>2267836</v>
      </c>
      <c r="M2079" s="1" t="s">
        <v>3508</v>
      </c>
      <c r="N2079">
        <v>0.60939733147685304</v>
      </c>
      <c r="O2079" s="1" t="s">
        <v>3509</v>
      </c>
      <c r="P2079">
        <v>0</v>
      </c>
      <c r="Q2079">
        <v>0</v>
      </c>
      <c r="R2079">
        <v>0</v>
      </c>
      <c r="S2079">
        <v>0</v>
      </c>
      <c r="T2079">
        <v>100.43846910000001</v>
      </c>
      <c r="U2079">
        <f t="shared" si="64"/>
        <v>0</v>
      </c>
      <c r="V2079">
        <f t="shared" si="65"/>
        <v>0</v>
      </c>
    </row>
    <row r="2080" spans="1:22" x14ac:dyDescent="0.2">
      <c r="A2080" t="s">
        <v>3367</v>
      </c>
      <c r="B2080" t="s">
        <v>46</v>
      </c>
      <c r="C2080" t="s">
        <v>76</v>
      </c>
      <c r="D2080" t="s">
        <v>77</v>
      </c>
      <c r="E2080" s="1" t="s">
        <v>163</v>
      </c>
      <c r="F2080" t="s">
        <v>224</v>
      </c>
      <c r="G2080">
        <v>42</v>
      </c>
      <c r="H2080">
        <v>18044</v>
      </c>
      <c r="I2080">
        <v>1901499</v>
      </c>
      <c r="J2080">
        <v>63</v>
      </c>
      <c r="K2080">
        <v>37</v>
      </c>
      <c r="L2080">
        <v>1883455</v>
      </c>
      <c r="M2080">
        <v>9.4001540991788101E-3</v>
      </c>
      <c r="N2080" s="1" t="s">
        <v>3510</v>
      </c>
      <c r="O2080" s="1" t="s">
        <v>3511</v>
      </c>
      <c r="P2080">
        <v>0</v>
      </c>
      <c r="Q2080">
        <v>0</v>
      </c>
      <c r="R2080">
        <v>0</v>
      </c>
      <c r="S2080">
        <v>0</v>
      </c>
      <c r="T2080">
        <v>100.43846910000001</v>
      </c>
      <c r="U2080">
        <f t="shared" si="64"/>
        <v>0</v>
      </c>
      <c r="V2080">
        <f t="shared" si="65"/>
        <v>0</v>
      </c>
    </row>
    <row r="2081" spans="1:22" x14ac:dyDescent="0.2">
      <c r="A2081" t="s">
        <v>3367</v>
      </c>
      <c r="B2081" t="s">
        <v>46</v>
      </c>
      <c r="C2081" t="s">
        <v>76</v>
      </c>
      <c r="D2081" t="s">
        <v>77</v>
      </c>
      <c r="E2081">
        <v>11</v>
      </c>
      <c r="F2081" t="s">
        <v>127</v>
      </c>
      <c r="G2081">
        <v>58</v>
      </c>
      <c r="H2081">
        <v>38449</v>
      </c>
      <c r="I2081">
        <v>56742</v>
      </c>
      <c r="J2081">
        <v>17</v>
      </c>
      <c r="K2081">
        <v>46</v>
      </c>
      <c r="L2081">
        <v>18293</v>
      </c>
      <c r="M2081">
        <v>0.40391423558949902</v>
      </c>
      <c r="N2081">
        <v>0.59608576441050098</v>
      </c>
      <c r="O2081" s="1" t="s">
        <v>3512</v>
      </c>
      <c r="P2081">
        <v>0</v>
      </c>
      <c r="Q2081">
        <v>0</v>
      </c>
      <c r="R2081">
        <v>0</v>
      </c>
      <c r="S2081">
        <v>0</v>
      </c>
      <c r="T2081">
        <v>100.43846910000001</v>
      </c>
      <c r="U2081">
        <f t="shared" si="64"/>
        <v>0</v>
      </c>
      <c r="V2081">
        <f t="shared" si="65"/>
        <v>0</v>
      </c>
    </row>
    <row r="2082" spans="1:22" x14ac:dyDescent="0.2">
      <c r="A2082" t="s">
        <v>3367</v>
      </c>
      <c r="B2082" t="s">
        <v>46</v>
      </c>
      <c r="C2082" t="s">
        <v>76</v>
      </c>
      <c r="D2082" t="s">
        <v>77</v>
      </c>
      <c r="E2082">
        <v>12</v>
      </c>
      <c r="F2082" t="s">
        <v>194</v>
      </c>
      <c r="G2082">
        <v>65</v>
      </c>
      <c r="H2082">
        <v>56652</v>
      </c>
      <c r="I2082">
        <v>128923</v>
      </c>
      <c r="J2082">
        <v>32</v>
      </c>
      <c r="K2082">
        <v>45</v>
      </c>
      <c r="L2082">
        <v>72271</v>
      </c>
      <c r="M2082" s="1" t="s">
        <v>3513</v>
      </c>
      <c r="N2082" s="1" t="s">
        <v>3514</v>
      </c>
      <c r="O2082" s="1" t="s">
        <v>3515</v>
      </c>
      <c r="P2082">
        <v>0</v>
      </c>
      <c r="Q2082">
        <v>0</v>
      </c>
      <c r="R2082">
        <v>0</v>
      </c>
      <c r="S2082">
        <v>0</v>
      </c>
      <c r="T2082">
        <v>100.43846910000001</v>
      </c>
      <c r="U2082">
        <f t="shared" si="64"/>
        <v>0</v>
      </c>
      <c r="V2082">
        <f t="shared" si="65"/>
        <v>0</v>
      </c>
    </row>
    <row r="2083" spans="1:22" x14ac:dyDescent="0.2">
      <c r="A2083" t="s">
        <v>3367</v>
      </c>
      <c r="B2083" t="s">
        <v>46</v>
      </c>
      <c r="C2083" t="s">
        <v>76</v>
      </c>
      <c r="D2083" t="s">
        <v>77</v>
      </c>
      <c r="E2083" s="1" t="s">
        <v>138</v>
      </c>
      <c r="F2083" t="s">
        <v>139</v>
      </c>
      <c r="G2083">
        <v>20</v>
      </c>
      <c r="H2083">
        <v>118230</v>
      </c>
      <c r="I2083">
        <v>29740817</v>
      </c>
      <c r="J2083">
        <v>41</v>
      </c>
      <c r="K2083">
        <v>31</v>
      </c>
      <c r="L2083">
        <v>29622587</v>
      </c>
      <c r="M2083">
        <v>3.9596039351155396E-3</v>
      </c>
      <c r="N2083" s="1" t="s">
        <v>3516</v>
      </c>
      <c r="O2083">
        <v>2.1346236616892299E-3</v>
      </c>
      <c r="P2083">
        <v>0</v>
      </c>
      <c r="Q2083">
        <v>0</v>
      </c>
      <c r="R2083">
        <v>0</v>
      </c>
      <c r="S2083">
        <v>0</v>
      </c>
      <c r="T2083">
        <v>100.43846910000001</v>
      </c>
      <c r="U2083">
        <f t="shared" si="64"/>
        <v>0</v>
      </c>
      <c r="V2083">
        <f t="shared" si="65"/>
        <v>0</v>
      </c>
    </row>
    <row r="2084" spans="1:22" x14ac:dyDescent="0.2">
      <c r="A2084" t="s">
        <v>3367</v>
      </c>
      <c r="B2084" t="s">
        <v>46</v>
      </c>
      <c r="C2084" t="s">
        <v>76</v>
      </c>
      <c r="D2084" t="s">
        <v>77</v>
      </c>
      <c r="E2084">
        <v>18</v>
      </c>
      <c r="F2084" t="s">
        <v>147</v>
      </c>
      <c r="G2084">
        <v>91</v>
      </c>
      <c r="H2084">
        <v>122998</v>
      </c>
      <c r="I2084">
        <v>609813</v>
      </c>
      <c r="J2084">
        <v>32</v>
      </c>
      <c r="K2084">
        <v>33</v>
      </c>
      <c r="L2084">
        <v>486815</v>
      </c>
      <c r="M2084" s="1" t="s">
        <v>3517</v>
      </c>
      <c r="N2084" s="1" t="s">
        <v>3518</v>
      </c>
      <c r="O2084" s="1" t="s">
        <v>3519</v>
      </c>
      <c r="P2084">
        <v>0</v>
      </c>
      <c r="Q2084">
        <v>0</v>
      </c>
      <c r="R2084">
        <v>0</v>
      </c>
      <c r="S2084">
        <v>0</v>
      </c>
      <c r="T2084">
        <v>100.43846910000001</v>
      </c>
      <c r="U2084">
        <f t="shared" si="64"/>
        <v>0</v>
      </c>
      <c r="V2084">
        <f t="shared" si="65"/>
        <v>0</v>
      </c>
    </row>
    <row r="2085" spans="1:22" x14ac:dyDescent="0.2">
      <c r="A2085" t="s">
        <v>3367</v>
      </c>
      <c r="B2085" t="s">
        <v>46</v>
      </c>
      <c r="C2085" t="s">
        <v>76</v>
      </c>
      <c r="D2085" t="s">
        <v>77</v>
      </c>
      <c r="E2085" s="1" t="s">
        <v>89</v>
      </c>
      <c r="F2085" t="s">
        <v>90</v>
      </c>
      <c r="G2085">
        <v>35</v>
      </c>
      <c r="H2085">
        <v>203324</v>
      </c>
      <c r="I2085">
        <v>442516</v>
      </c>
      <c r="J2085">
        <v>33</v>
      </c>
      <c r="K2085">
        <v>53</v>
      </c>
      <c r="L2085">
        <v>239192</v>
      </c>
      <c r="M2085" s="1" t="s">
        <v>3520</v>
      </c>
      <c r="N2085" s="1" t="s">
        <v>3521</v>
      </c>
      <c r="O2085" s="1" t="s">
        <v>3522</v>
      </c>
      <c r="P2085">
        <v>0</v>
      </c>
      <c r="Q2085">
        <v>0</v>
      </c>
      <c r="R2085">
        <v>0</v>
      </c>
      <c r="S2085">
        <v>0</v>
      </c>
      <c r="T2085">
        <v>100.43846910000001</v>
      </c>
      <c r="U2085">
        <f t="shared" si="64"/>
        <v>0</v>
      </c>
      <c r="V2085">
        <f t="shared" si="65"/>
        <v>0</v>
      </c>
    </row>
    <row r="2086" spans="1:22" x14ac:dyDescent="0.2">
      <c r="A2086" t="s">
        <v>3367</v>
      </c>
      <c r="B2086" t="s">
        <v>46</v>
      </c>
      <c r="C2086" t="s">
        <v>76</v>
      </c>
      <c r="D2086" t="s">
        <v>77</v>
      </c>
      <c r="E2086" s="1" t="s">
        <v>138</v>
      </c>
      <c r="F2086" t="s">
        <v>139</v>
      </c>
      <c r="G2086">
        <v>18</v>
      </c>
      <c r="H2086">
        <v>2297255</v>
      </c>
      <c r="I2086">
        <v>17585700</v>
      </c>
      <c r="J2086">
        <v>42</v>
      </c>
      <c r="K2086">
        <v>27</v>
      </c>
      <c r="L2086">
        <v>15288445</v>
      </c>
      <c r="M2086" s="1" t="s">
        <v>3523</v>
      </c>
      <c r="N2086" s="1" t="s">
        <v>3524</v>
      </c>
      <c r="O2086">
        <v>1.42143271375346E-3</v>
      </c>
      <c r="P2086">
        <v>0</v>
      </c>
      <c r="Q2086">
        <v>0</v>
      </c>
      <c r="R2086">
        <v>0</v>
      </c>
      <c r="S2086">
        <v>0</v>
      </c>
      <c r="T2086">
        <v>100.43846910000001</v>
      </c>
      <c r="U2086">
        <f t="shared" si="64"/>
        <v>0</v>
      </c>
      <c r="V2086">
        <f t="shared" si="65"/>
        <v>0</v>
      </c>
    </row>
    <row r="2087" spans="1:22" x14ac:dyDescent="0.2">
      <c r="A2087" t="s">
        <v>3367</v>
      </c>
      <c r="B2087" t="s">
        <v>46</v>
      </c>
      <c r="C2087" t="s">
        <v>76</v>
      </c>
      <c r="D2087" t="s">
        <v>77</v>
      </c>
      <c r="E2087">
        <v>18</v>
      </c>
      <c r="F2087" t="s">
        <v>147</v>
      </c>
      <c r="G2087">
        <v>92</v>
      </c>
      <c r="H2087">
        <v>36494</v>
      </c>
      <c r="I2087">
        <v>823</v>
      </c>
      <c r="J2087">
        <v>34</v>
      </c>
      <c r="K2087">
        <v>59</v>
      </c>
      <c r="L2087">
        <v>-35671</v>
      </c>
      <c r="M2087" s="1" t="s">
        <v>3525</v>
      </c>
      <c r="N2087">
        <v>2.2054291609722099E-2</v>
      </c>
      <c r="O2087" s="1" t="s">
        <v>3526</v>
      </c>
      <c r="P2087">
        <v>0</v>
      </c>
      <c r="Q2087">
        <v>0</v>
      </c>
      <c r="R2087">
        <v>0</v>
      </c>
      <c r="S2087">
        <v>0</v>
      </c>
      <c r="T2087">
        <v>100.43846910000001</v>
      </c>
      <c r="U2087">
        <f t="shared" si="64"/>
        <v>0</v>
      </c>
      <c r="V2087">
        <f t="shared" si="65"/>
        <v>0</v>
      </c>
    </row>
    <row r="2088" spans="1:22" x14ac:dyDescent="0.2">
      <c r="A2088" t="s">
        <v>3367</v>
      </c>
      <c r="B2088" t="s">
        <v>46</v>
      </c>
      <c r="C2088" t="s">
        <v>76</v>
      </c>
      <c r="D2088" t="s">
        <v>77</v>
      </c>
      <c r="E2088" s="1" t="s">
        <v>89</v>
      </c>
      <c r="F2088" t="s">
        <v>90</v>
      </c>
      <c r="G2088">
        <v>37</v>
      </c>
      <c r="H2088">
        <v>541</v>
      </c>
      <c r="I2088">
        <v>593</v>
      </c>
      <c r="J2088">
        <v>60</v>
      </c>
      <c r="K2088">
        <v>45</v>
      </c>
      <c r="L2088">
        <v>52</v>
      </c>
      <c r="M2088" s="1" t="s">
        <v>3527</v>
      </c>
      <c r="N2088" s="1" t="s">
        <v>3528</v>
      </c>
      <c r="O2088" s="1" t="s">
        <v>3529</v>
      </c>
      <c r="P2088">
        <v>0</v>
      </c>
      <c r="Q2088">
        <v>0</v>
      </c>
      <c r="R2088">
        <v>0</v>
      </c>
      <c r="S2088">
        <v>0</v>
      </c>
      <c r="T2088">
        <v>100.43846910000001</v>
      </c>
      <c r="U2088">
        <f t="shared" si="64"/>
        <v>0</v>
      </c>
      <c r="V2088">
        <f t="shared" si="65"/>
        <v>0</v>
      </c>
    </row>
    <row r="2089" spans="1:22" x14ac:dyDescent="0.2">
      <c r="A2089" t="s">
        <v>3367</v>
      </c>
      <c r="B2089" t="s">
        <v>46</v>
      </c>
      <c r="C2089" t="s">
        <v>76</v>
      </c>
      <c r="D2089" t="s">
        <v>77</v>
      </c>
      <c r="E2089">
        <v>11</v>
      </c>
      <c r="F2089" t="s">
        <v>127</v>
      </c>
      <c r="G2089">
        <v>60</v>
      </c>
      <c r="H2089">
        <v>0</v>
      </c>
      <c r="I2089">
        <v>509352</v>
      </c>
      <c r="J2089">
        <v>59</v>
      </c>
      <c r="K2089">
        <v>33</v>
      </c>
      <c r="L2089">
        <v>509352</v>
      </c>
      <c r="M2089">
        <v>0</v>
      </c>
      <c r="N2089">
        <v>1</v>
      </c>
      <c r="O2089" s="1" t="s">
        <v>3530</v>
      </c>
      <c r="P2089">
        <v>0</v>
      </c>
      <c r="Q2089">
        <v>0</v>
      </c>
      <c r="R2089">
        <v>0</v>
      </c>
      <c r="S2089">
        <v>0</v>
      </c>
      <c r="T2089">
        <v>100.43846910000001</v>
      </c>
      <c r="U2089">
        <f t="shared" si="64"/>
        <v>0</v>
      </c>
      <c r="V2089">
        <f t="shared" si="65"/>
        <v>0</v>
      </c>
    </row>
    <row r="2090" spans="1:22" x14ac:dyDescent="0.2">
      <c r="A2090" t="s">
        <v>3367</v>
      </c>
      <c r="B2090" t="s">
        <v>46</v>
      </c>
      <c r="C2090" t="s">
        <v>76</v>
      </c>
      <c r="D2090" t="s">
        <v>77</v>
      </c>
      <c r="E2090">
        <v>12</v>
      </c>
      <c r="F2090" t="s">
        <v>194</v>
      </c>
      <c r="G2090">
        <v>66</v>
      </c>
      <c r="H2090">
        <v>1841</v>
      </c>
      <c r="I2090">
        <v>14367</v>
      </c>
      <c r="J2090">
        <v>25</v>
      </c>
      <c r="K2090">
        <v>37</v>
      </c>
      <c r="L2090">
        <v>12526</v>
      </c>
      <c r="M2090" s="1" t="s">
        <v>3531</v>
      </c>
      <c r="N2090" s="1" t="s">
        <v>3532</v>
      </c>
      <c r="O2090" s="1" t="s">
        <v>3533</v>
      </c>
      <c r="P2090">
        <v>0</v>
      </c>
      <c r="Q2090">
        <v>0</v>
      </c>
      <c r="R2090">
        <v>0</v>
      </c>
      <c r="S2090">
        <v>0</v>
      </c>
      <c r="T2090">
        <v>100.43846910000001</v>
      </c>
      <c r="U2090">
        <f t="shared" si="64"/>
        <v>0</v>
      </c>
      <c r="V2090">
        <f t="shared" si="65"/>
        <v>0</v>
      </c>
    </row>
    <row r="2091" spans="1:22" x14ac:dyDescent="0.2">
      <c r="A2091" t="s">
        <v>3367</v>
      </c>
      <c r="B2091" t="s">
        <v>46</v>
      </c>
      <c r="C2091" t="s">
        <v>76</v>
      </c>
      <c r="D2091" t="s">
        <v>77</v>
      </c>
      <c r="E2091">
        <v>14</v>
      </c>
      <c r="F2091" t="s">
        <v>261</v>
      </c>
      <c r="G2091">
        <v>71</v>
      </c>
      <c r="H2091">
        <v>113911</v>
      </c>
      <c r="I2091">
        <v>127824</v>
      </c>
      <c r="J2091">
        <v>63</v>
      </c>
      <c r="K2091">
        <v>51</v>
      </c>
      <c r="L2091">
        <v>13913</v>
      </c>
      <c r="M2091">
        <v>0.47122261981094998</v>
      </c>
      <c r="N2091">
        <v>0.52877738018904996</v>
      </c>
      <c r="O2091" s="1" t="s">
        <v>3534</v>
      </c>
      <c r="P2091">
        <v>0</v>
      </c>
      <c r="Q2091">
        <v>0</v>
      </c>
      <c r="R2091">
        <v>0</v>
      </c>
      <c r="S2091">
        <v>0</v>
      </c>
      <c r="T2091">
        <v>100.43846910000001</v>
      </c>
      <c r="U2091">
        <f t="shared" si="64"/>
        <v>0</v>
      </c>
      <c r="V2091">
        <f t="shared" si="65"/>
        <v>0</v>
      </c>
    </row>
    <row r="2092" spans="1:22" x14ac:dyDescent="0.2">
      <c r="A2092" t="s">
        <v>3367</v>
      </c>
      <c r="B2092" t="s">
        <v>46</v>
      </c>
      <c r="C2092" t="s">
        <v>76</v>
      </c>
      <c r="D2092" t="s">
        <v>77</v>
      </c>
      <c r="E2092" s="1" t="s">
        <v>155</v>
      </c>
      <c r="F2092" t="s">
        <v>156</v>
      </c>
      <c r="G2092" s="1" t="s">
        <v>155</v>
      </c>
      <c r="H2092">
        <v>335</v>
      </c>
      <c r="I2092">
        <v>11834</v>
      </c>
      <c r="J2092">
        <v>85</v>
      </c>
      <c r="K2092">
        <v>51</v>
      </c>
      <c r="L2092">
        <v>11499</v>
      </c>
      <c r="M2092" s="1" t="s">
        <v>3535</v>
      </c>
      <c r="N2092" s="1" t="s">
        <v>3536</v>
      </c>
      <c r="O2092" s="1" t="s">
        <v>3537</v>
      </c>
      <c r="P2092">
        <v>0</v>
      </c>
      <c r="Q2092">
        <v>0</v>
      </c>
      <c r="R2092">
        <v>0</v>
      </c>
      <c r="S2092">
        <v>0</v>
      </c>
      <c r="T2092">
        <v>100.43846910000001</v>
      </c>
      <c r="U2092">
        <f t="shared" si="64"/>
        <v>0</v>
      </c>
      <c r="V2092">
        <f t="shared" si="65"/>
        <v>0</v>
      </c>
    </row>
    <row r="2093" spans="1:22" x14ac:dyDescent="0.2">
      <c r="A2093" t="s">
        <v>3367</v>
      </c>
      <c r="B2093" t="s">
        <v>46</v>
      </c>
      <c r="C2093" t="s">
        <v>76</v>
      </c>
      <c r="D2093" t="s">
        <v>77</v>
      </c>
      <c r="E2093">
        <v>11</v>
      </c>
      <c r="F2093" t="s">
        <v>127</v>
      </c>
      <c r="G2093">
        <v>57</v>
      </c>
      <c r="H2093">
        <v>72116</v>
      </c>
      <c r="I2093">
        <v>33176589</v>
      </c>
      <c r="J2093">
        <v>25</v>
      </c>
      <c r="K2093">
        <v>10</v>
      </c>
      <c r="L2093">
        <v>33104473</v>
      </c>
      <c r="M2093">
        <v>2.1689867319644399E-3</v>
      </c>
      <c r="N2093" s="1" t="s">
        <v>3538</v>
      </c>
      <c r="O2093">
        <v>2.3769503565711598E-3</v>
      </c>
      <c r="P2093">
        <v>0</v>
      </c>
      <c r="Q2093">
        <v>0</v>
      </c>
      <c r="R2093">
        <v>0</v>
      </c>
      <c r="S2093">
        <v>1</v>
      </c>
      <c r="T2093">
        <v>100.43846910000001</v>
      </c>
      <c r="U2093">
        <f t="shared" si="64"/>
        <v>0</v>
      </c>
      <c r="V2093">
        <f t="shared" si="65"/>
        <v>1</v>
      </c>
    </row>
    <row r="2094" spans="1:22" x14ac:dyDescent="0.2">
      <c r="A2094" t="s">
        <v>3367</v>
      </c>
      <c r="B2094" t="s">
        <v>46</v>
      </c>
      <c r="C2094" t="s">
        <v>76</v>
      </c>
      <c r="D2094" t="s">
        <v>77</v>
      </c>
      <c r="E2094" s="1" t="s">
        <v>155</v>
      </c>
      <c r="F2094" t="s">
        <v>156</v>
      </c>
      <c r="G2094" s="1" t="s">
        <v>138</v>
      </c>
      <c r="H2094">
        <v>201549</v>
      </c>
      <c r="I2094">
        <v>162132208</v>
      </c>
      <c r="J2094">
        <v>33</v>
      </c>
      <c r="K2094">
        <v>7</v>
      </c>
      <c r="L2094">
        <v>161930659</v>
      </c>
      <c r="M2094">
        <v>1.2415717083415899E-3</v>
      </c>
      <c r="N2094" s="1" t="s">
        <v>3539</v>
      </c>
      <c r="O2094">
        <v>1.16052424172516E-2</v>
      </c>
      <c r="P2094">
        <v>0</v>
      </c>
      <c r="Q2094">
        <v>0</v>
      </c>
      <c r="R2094">
        <v>0</v>
      </c>
      <c r="S2094">
        <v>1</v>
      </c>
      <c r="T2094">
        <v>100.43846910000001</v>
      </c>
      <c r="U2094">
        <f t="shared" si="64"/>
        <v>0</v>
      </c>
      <c r="V2094">
        <f t="shared" si="65"/>
        <v>1</v>
      </c>
    </row>
    <row r="2095" spans="1:22" x14ac:dyDescent="0.2">
      <c r="A2095" t="s">
        <v>3367</v>
      </c>
      <c r="B2095" t="s">
        <v>46</v>
      </c>
      <c r="C2095" t="s">
        <v>76</v>
      </c>
      <c r="D2095" t="s">
        <v>77</v>
      </c>
      <c r="E2095" s="1" t="s">
        <v>163</v>
      </c>
      <c r="F2095" t="s">
        <v>224</v>
      </c>
      <c r="G2095">
        <v>43</v>
      </c>
      <c r="H2095">
        <v>0</v>
      </c>
      <c r="I2095">
        <v>374009</v>
      </c>
      <c r="J2095">
        <v>60</v>
      </c>
      <c r="K2095">
        <v>27</v>
      </c>
      <c r="L2095">
        <v>374009</v>
      </c>
      <c r="M2095">
        <v>0</v>
      </c>
      <c r="N2095">
        <v>1</v>
      </c>
      <c r="O2095" s="1" t="s">
        <v>3540</v>
      </c>
      <c r="P2095">
        <v>0</v>
      </c>
      <c r="Q2095">
        <v>0</v>
      </c>
      <c r="R2095">
        <v>0</v>
      </c>
      <c r="S2095">
        <v>0</v>
      </c>
      <c r="T2095">
        <v>100.43846910000001</v>
      </c>
      <c r="U2095">
        <f t="shared" si="64"/>
        <v>0</v>
      </c>
      <c r="V2095">
        <f t="shared" si="65"/>
        <v>0</v>
      </c>
    </row>
    <row r="2096" spans="1:22" x14ac:dyDescent="0.2">
      <c r="A2096" t="s">
        <v>3367</v>
      </c>
      <c r="B2096" t="s">
        <v>46</v>
      </c>
      <c r="C2096" t="s">
        <v>76</v>
      </c>
      <c r="D2096" t="s">
        <v>77</v>
      </c>
      <c r="E2096" s="1" t="s">
        <v>93</v>
      </c>
      <c r="F2096" t="s">
        <v>94</v>
      </c>
      <c r="G2096">
        <v>45</v>
      </c>
      <c r="H2096">
        <v>660</v>
      </c>
      <c r="I2096">
        <v>435851</v>
      </c>
      <c r="J2096">
        <v>34</v>
      </c>
      <c r="K2096">
        <v>13</v>
      </c>
      <c r="L2096">
        <v>435191</v>
      </c>
      <c r="M2096">
        <v>1.5119893885835599E-3</v>
      </c>
      <c r="N2096" s="1" t="s">
        <v>3541</v>
      </c>
      <c r="O2096" s="1" t="s">
        <v>3542</v>
      </c>
      <c r="P2096">
        <v>0</v>
      </c>
      <c r="Q2096">
        <v>0</v>
      </c>
      <c r="R2096">
        <v>0</v>
      </c>
      <c r="S2096">
        <v>0</v>
      </c>
      <c r="T2096">
        <v>100.43846910000001</v>
      </c>
      <c r="U2096">
        <f t="shared" si="64"/>
        <v>0</v>
      </c>
      <c r="V2096">
        <f t="shared" si="65"/>
        <v>0</v>
      </c>
    </row>
    <row r="2097" spans="1:22" x14ac:dyDescent="0.2">
      <c r="A2097" t="s">
        <v>3543</v>
      </c>
      <c r="B2097" t="s">
        <v>47</v>
      </c>
      <c r="C2097" t="s">
        <v>76</v>
      </c>
      <c r="D2097" t="s">
        <v>77</v>
      </c>
      <c r="E2097" s="1" t="s">
        <v>82</v>
      </c>
      <c r="F2097" t="s">
        <v>83</v>
      </c>
      <c r="G2097">
        <v>10</v>
      </c>
      <c r="H2097">
        <v>633814149</v>
      </c>
      <c r="I2097">
        <v>3499489</v>
      </c>
      <c r="J2097">
        <v>12</v>
      </c>
      <c r="K2097">
        <v>26</v>
      </c>
      <c r="L2097">
        <v>-630314660</v>
      </c>
      <c r="M2097" s="1" t="s">
        <v>3544</v>
      </c>
      <c r="N2097">
        <v>5.4909997077451497E-3</v>
      </c>
      <c r="O2097" s="1" t="s">
        <v>3545</v>
      </c>
      <c r="P2097">
        <v>0</v>
      </c>
      <c r="Q2097">
        <v>0</v>
      </c>
      <c r="R2097">
        <v>0</v>
      </c>
      <c r="S2097">
        <v>0</v>
      </c>
      <c r="T2097">
        <v>45.410769389999999</v>
      </c>
      <c r="U2097">
        <f t="shared" si="64"/>
        <v>0</v>
      </c>
      <c r="V2097">
        <f t="shared" si="65"/>
        <v>0</v>
      </c>
    </row>
    <row r="2098" spans="1:22" x14ac:dyDescent="0.2">
      <c r="A2098" t="s">
        <v>3543</v>
      </c>
      <c r="B2098" t="s">
        <v>47</v>
      </c>
      <c r="C2098" t="s">
        <v>76</v>
      </c>
      <c r="D2098" t="s">
        <v>77</v>
      </c>
      <c r="E2098">
        <v>15</v>
      </c>
      <c r="F2098" t="s">
        <v>88</v>
      </c>
      <c r="G2098">
        <v>74</v>
      </c>
      <c r="H2098">
        <v>506534802</v>
      </c>
      <c r="I2098">
        <v>208209</v>
      </c>
      <c r="J2098">
        <v>8</v>
      </c>
      <c r="K2098">
        <v>63</v>
      </c>
      <c r="L2098">
        <v>-506326593</v>
      </c>
      <c r="M2098" s="1" t="s">
        <v>3546</v>
      </c>
      <c r="N2098" s="1" t="s">
        <v>3547</v>
      </c>
      <c r="O2098" s="1" t="s">
        <v>3548</v>
      </c>
      <c r="P2098">
        <v>0</v>
      </c>
      <c r="Q2098">
        <v>0</v>
      </c>
      <c r="R2098">
        <v>1</v>
      </c>
      <c r="S2098">
        <v>0</v>
      </c>
      <c r="T2098">
        <v>45.410769389999999</v>
      </c>
      <c r="U2098">
        <f t="shared" si="64"/>
        <v>0</v>
      </c>
      <c r="V2098">
        <f t="shared" si="65"/>
        <v>1</v>
      </c>
    </row>
    <row r="2099" spans="1:22" x14ac:dyDescent="0.2">
      <c r="A2099" t="s">
        <v>3543</v>
      </c>
      <c r="B2099" t="s">
        <v>47</v>
      </c>
      <c r="C2099" t="s">
        <v>76</v>
      </c>
      <c r="D2099" t="s">
        <v>77</v>
      </c>
      <c r="E2099" s="1" t="s">
        <v>89</v>
      </c>
      <c r="F2099" t="s">
        <v>90</v>
      </c>
      <c r="G2099">
        <v>31</v>
      </c>
      <c r="H2099">
        <v>296139165</v>
      </c>
      <c r="I2099">
        <v>77721</v>
      </c>
      <c r="J2099">
        <v>34</v>
      </c>
      <c r="K2099">
        <v>36</v>
      </c>
      <c r="L2099">
        <v>-296061444</v>
      </c>
      <c r="M2099" s="1" t="s">
        <v>3549</v>
      </c>
      <c r="N2099" s="1" t="s">
        <v>3550</v>
      </c>
      <c r="O2099">
        <v>7.3628419953767399E-2</v>
      </c>
      <c r="P2099">
        <v>0</v>
      </c>
      <c r="Q2099">
        <v>0</v>
      </c>
      <c r="R2099">
        <v>0</v>
      </c>
      <c r="S2099">
        <v>0</v>
      </c>
      <c r="T2099">
        <v>45.410769389999999</v>
      </c>
      <c r="U2099">
        <f t="shared" si="64"/>
        <v>0</v>
      </c>
      <c r="V2099">
        <f t="shared" si="65"/>
        <v>0</v>
      </c>
    </row>
    <row r="2100" spans="1:22" x14ac:dyDescent="0.2">
      <c r="A2100" t="s">
        <v>3543</v>
      </c>
      <c r="B2100" t="s">
        <v>47</v>
      </c>
      <c r="C2100" t="s">
        <v>76</v>
      </c>
      <c r="D2100" t="s">
        <v>77</v>
      </c>
      <c r="E2100">
        <v>16</v>
      </c>
      <c r="F2100" t="s">
        <v>95</v>
      </c>
      <c r="G2100">
        <v>84</v>
      </c>
      <c r="H2100">
        <v>26937256</v>
      </c>
      <c r="I2100">
        <v>141116235</v>
      </c>
      <c r="J2100">
        <v>53</v>
      </c>
      <c r="K2100">
        <v>45</v>
      </c>
      <c r="L2100">
        <v>114178979</v>
      </c>
      <c r="M2100" s="1" t="s">
        <v>3551</v>
      </c>
      <c r="N2100">
        <v>0.83971022654923599</v>
      </c>
      <c r="O2100" s="1" t="s">
        <v>3552</v>
      </c>
      <c r="P2100">
        <v>0</v>
      </c>
      <c r="Q2100">
        <v>0</v>
      </c>
      <c r="R2100">
        <v>0</v>
      </c>
      <c r="S2100">
        <v>0</v>
      </c>
      <c r="T2100">
        <v>45.410769389999999</v>
      </c>
      <c r="U2100">
        <f t="shared" si="64"/>
        <v>0</v>
      </c>
      <c r="V2100">
        <f t="shared" si="65"/>
        <v>0</v>
      </c>
    </row>
    <row r="2101" spans="1:22" x14ac:dyDescent="0.2">
      <c r="A2101" t="s">
        <v>3543</v>
      </c>
      <c r="B2101" t="s">
        <v>47</v>
      </c>
      <c r="C2101" t="s">
        <v>76</v>
      </c>
      <c r="D2101" t="s">
        <v>77</v>
      </c>
      <c r="E2101">
        <v>15</v>
      </c>
      <c r="F2101" t="s">
        <v>88</v>
      </c>
      <c r="G2101">
        <v>76</v>
      </c>
      <c r="H2101">
        <v>19745702</v>
      </c>
      <c r="I2101">
        <v>8747665</v>
      </c>
      <c r="J2101">
        <v>55</v>
      </c>
      <c r="K2101">
        <v>36</v>
      </c>
      <c r="L2101">
        <v>-10998037</v>
      </c>
      <c r="M2101">
        <v>0.69299293410989304</v>
      </c>
      <c r="N2101">
        <v>0.30700706589010701</v>
      </c>
      <c r="O2101">
        <v>7.0823835187195198E-3</v>
      </c>
      <c r="P2101">
        <v>0</v>
      </c>
      <c r="Q2101">
        <v>0</v>
      </c>
      <c r="R2101">
        <v>0</v>
      </c>
      <c r="S2101">
        <v>0</v>
      </c>
      <c r="T2101">
        <v>45.410769389999999</v>
      </c>
      <c r="U2101">
        <f t="shared" si="64"/>
        <v>0</v>
      </c>
      <c r="V2101">
        <f t="shared" si="65"/>
        <v>0</v>
      </c>
    </row>
    <row r="2102" spans="1:22" x14ac:dyDescent="0.2">
      <c r="A2102" t="s">
        <v>3543</v>
      </c>
      <c r="B2102" t="s">
        <v>47</v>
      </c>
      <c r="C2102" t="s">
        <v>76</v>
      </c>
      <c r="D2102" t="s">
        <v>77</v>
      </c>
      <c r="E2102" s="1" t="s">
        <v>99</v>
      </c>
      <c r="F2102" t="s">
        <v>100</v>
      </c>
      <c r="G2102">
        <v>40</v>
      </c>
      <c r="H2102">
        <v>39367030</v>
      </c>
      <c r="I2102">
        <v>6963943</v>
      </c>
      <c r="J2102">
        <v>49</v>
      </c>
      <c r="K2102">
        <v>47</v>
      </c>
      <c r="L2102">
        <v>-32403087</v>
      </c>
      <c r="M2102" s="1" t="s">
        <v>3553</v>
      </c>
      <c r="N2102" s="1" t="s">
        <v>3554</v>
      </c>
      <c r="O2102" s="1" t="s">
        <v>3555</v>
      </c>
      <c r="P2102">
        <v>0</v>
      </c>
      <c r="Q2102">
        <v>0</v>
      </c>
      <c r="R2102">
        <v>0</v>
      </c>
      <c r="S2102">
        <v>0</v>
      </c>
      <c r="T2102">
        <v>45.410769389999999</v>
      </c>
      <c r="U2102">
        <f t="shared" si="64"/>
        <v>0</v>
      </c>
      <c r="V2102">
        <f t="shared" si="65"/>
        <v>0</v>
      </c>
    </row>
    <row r="2103" spans="1:22" x14ac:dyDescent="0.2">
      <c r="A2103" t="s">
        <v>3543</v>
      </c>
      <c r="B2103" t="s">
        <v>47</v>
      </c>
      <c r="C2103" t="s">
        <v>76</v>
      </c>
      <c r="D2103" t="s">
        <v>77</v>
      </c>
      <c r="E2103" s="1" t="s">
        <v>89</v>
      </c>
      <c r="F2103" t="s">
        <v>90</v>
      </c>
      <c r="G2103">
        <v>28</v>
      </c>
      <c r="H2103">
        <v>40425118</v>
      </c>
      <c r="I2103">
        <v>5302646</v>
      </c>
      <c r="J2103">
        <v>46</v>
      </c>
      <c r="K2103">
        <v>45</v>
      </c>
      <c r="L2103">
        <v>-35122472</v>
      </c>
      <c r="M2103" s="1" t="s">
        <v>3556</v>
      </c>
      <c r="N2103" s="1" t="s">
        <v>3557</v>
      </c>
      <c r="O2103" s="1" t="s">
        <v>3558</v>
      </c>
      <c r="P2103">
        <v>0</v>
      </c>
      <c r="Q2103">
        <v>0</v>
      </c>
      <c r="R2103">
        <v>0</v>
      </c>
      <c r="S2103">
        <v>0</v>
      </c>
      <c r="T2103">
        <v>45.410769389999999</v>
      </c>
      <c r="U2103">
        <f t="shared" si="64"/>
        <v>0</v>
      </c>
      <c r="V2103">
        <f t="shared" si="65"/>
        <v>0</v>
      </c>
    </row>
    <row r="2104" spans="1:22" x14ac:dyDescent="0.2">
      <c r="A2104" t="s">
        <v>3543</v>
      </c>
      <c r="B2104" t="s">
        <v>47</v>
      </c>
      <c r="C2104" t="s">
        <v>76</v>
      </c>
      <c r="D2104" t="s">
        <v>77</v>
      </c>
      <c r="E2104">
        <v>15</v>
      </c>
      <c r="F2104" t="s">
        <v>88</v>
      </c>
      <c r="G2104">
        <v>72</v>
      </c>
      <c r="H2104">
        <v>87984447</v>
      </c>
      <c r="I2104">
        <v>142947040</v>
      </c>
      <c r="J2104">
        <v>67</v>
      </c>
      <c r="K2104">
        <v>19</v>
      </c>
      <c r="L2104">
        <v>54962593</v>
      </c>
      <c r="M2104" s="1" t="s">
        <v>3559</v>
      </c>
      <c r="N2104" s="1" t="s">
        <v>3560</v>
      </c>
      <c r="O2104" s="1" t="s">
        <v>3561</v>
      </c>
      <c r="P2104">
        <v>0</v>
      </c>
      <c r="Q2104">
        <v>0</v>
      </c>
      <c r="R2104">
        <v>0</v>
      </c>
      <c r="S2104">
        <v>0</v>
      </c>
      <c r="T2104">
        <v>45.410769389999999</v>
      </c>
      <c r="U2104">
        <f t="shared" si="64"/>
        <v>0</v>
      </c>
      <c r="V2104">
        <f t="shared" si="65"/>
        <v>0</v>
      </c>
    </row>
    <row r="2105" spans="1:22" x14ac:dyDescent="0.2">
      <c r="A2105" t="s">
        <v>3543</v>
      </c>
      <c r="B2105" t="s">
        <v>47</v>
      </c>
      <c r="C2105" t="s">
        <v>76</v>
      </c>
      <c r="D2105" t="s">
        <v>77</v>
      </c>
      <c r="E2105" s="1" t="s">
        <v>85</v>
      </c>
      <c r="F2105" t="s">
        <v>86</v>
      </c>
      <c r="G2105">
        <v>27</v>
      </c>
      <c r="H2105">
        <v>205005976</v>
      </c>
      <c r="I2105">
        <v>645045</v>
      </c>
      <c r="J2105">
        <v>78</v>
      </c>
      <c r="K2105">
        <v>56</v>
      </c>
      <c r="L2105">
        <v>-204360931</v>
      </c>
      <c r="M2105" s="1" t="s">
        <v>3562</v>
      </c>
      <c r="N2105">
        <v>3.1366000366222298E-3</v>
      </c>
      <c r="O2105" s="1" t="s">
        <v>3563</v>
      </c>
      <c r="P2105">
        <v>0</v>
      </c>
      <c r="Q2105">
        <v>0</v>
      </c>
      <c r="R2105">
        <v>0</v>
      </c>
      <c r="S2105">
        <v>0</v>
      </c>
      <c r="T2105">
        <v>45.410769389999999</v>
      </c>
      <c r="U2105">
        <f t="shared" si="64"/>
        <v>0</v>
      </c>
      <c r="V2105">
        <f t="shared" si="65"/>
        <v>0</v>
      </c>
    </row>
    <row r="2106" spans="1:22" x14ac:dyDescent="0.2">
      <c r="A2106" t="s">
        <v>3543</v>
      </c>
      <c r="B2106" t="s">
        <v>47</v>
      </c>
      <c r="C2106" t="s">
        <v>76</v>
      </c>
      <c r="D2106" t="s">
        <v>77</v>
      </c>
      <c r="E2106">
        <v>10</v>
      </c>
      <c r="F2106" t="s">
        <v>119</v>
      </c>
      <c r="G2106">
        <v>48</v>
      </c>
      <c r="H2106">
        <v>86313091</v>
      </c>
      <c r="I2106">
        <v>464003</v>
      </c>
      <c r="J2106">
        <v>27</v>
      </c>
      <c r="K2106">
        <v>57</v>
      </c>
      <c r="L2106">
        <v>-85849088</v>
      </c>
      <c r="M2106" s="1" t="s">
        <v>3564</v>
      </c>
      <c r="N2106">
        <v>5.3470677411714199E-3</v>
      </c>
      <c r="O2106" s="1" t="s">
        <v>3565</v>
      </c>
      <c r="P2106">
        <v>0</v>
      </c>
      <c r="Q2106">
        <v>0</v>
      </c>
      <c r="R2106">
        <v>0</v>
      </c>
      <c r="S2106">
        <v>0</v>
      </c>
      <c r="T2106">
        <v>45.410769389999999</v>
      </c>
      <c r="U2106">
        <f t="shared" si="64"/>
        <v>0</v>
      </c>
      <c r="V2106">
        <f t="shared" si="65"/>
        <v>0</v>
      </c>
    </row>
    <row r="2107" spans="1:22" x14ac:dyDescent="0.2">
      <c r="A2107" t="s">
        <v>3543</v>
      </c>
      <c r="B2107" t="s">
        <v>47</v>
      </c>
      <c r="C2107" t="s">
        <v>76</v>
      </c>
      <c r="D2107" t="s">
        <v>77</v>
      </c>
      <c r="E2107">
        <v>14</v>
      </c>
      <c r="F2107" t="s">
        <v>261</v>
      </c>
      <c r="G2107">
        <v>71</v>
      </c>
      <c r="H2107">
        <v>75008969</v>
      </c>
      <c r="I2107">
        <v>187031</v>
      </c>
      <c r="J2107">
        <v>24</v>
      </c>
      <c r="K2107">
        <v>48</v>
      </c>
      <c r="L2107">
        <v>-74821938</v>
      </c>
      <c r="M2107" s="1" t="s">
        <v>3566</v>
      </c>
      <c r="N2107">
        <v>2.4872466620564902E-3</v>
      </c>
      <c r="O2107">
        <v>1.8690908346269901E-2</v>
      </c>
      <c r="P2107">
        <v>0</v>
      </c>
      <c r="Q2107">
        <v>0</v>
      </c>
      <c r="R2107">
        <v>0</v>
      </c>
      <c r="S2107">
        <v>0</v>
      </c>
      <c r="T2107">
        <v>45.410769389999999</v>
      </c>
      <c r="U2107">
        <f t="shared" si="64"/>
        <v>0</v>
      </c>
      <c r="V2107">
        <f t="shared" si="65"/>
        <v>0</v>
      </c>
    </row>
    <row r="2108" spans="1:22" x14ac:dyDescent="0.2">
      <c r="A2108" t="s">
        <v>3543</v>
      </c>
      <c r="B2108" t="s">
        <v>47</v>
      </c>
      <c r="C2108" t="s">
        <v>76</v>
      </c>
      <c r="D2108" t="s">
        <v>77</v>
      </c>
      <c r="E2108">
        <v>16</v>
      </c>
      <c r="F2108" t="s">
        <v>95</v>
      </c>
      <c r="G2108">
        <v>85</v>
      </c>
      <c r="H2108">
        <v>32850583</v>
      </c>
      <c r="I2108">
        <v>11802164</v>
      </c>
      <c r="J2108">
        <v>46</v>
      </c>
      <c r="K2108">
        <v>57</v>
      </c>
      <c r="L2108">
        <v>-21048419</v>
      </c>
      <c r="M2108" s="1" t="s">
        <v>3567</v>
      </c>
      <c r="N2108" s="1" t="s">
        <v>3568</v>
      </c>
      <c r="O2108">
        <v>1.1098999967899601E-2</v>
      </c>
      <c r="P2108">
        <v>0</v>
      </c>
      <c r="Q2108">
        <v>0</v>
      </c>
      <c r="R2108">
        <v>0</v>
      </c>
      <c r="S2108">
        <v>0</v>
      </c>
      <c r="T2108">
        <v>45.410769389999999</v>
      </c>
      <c r="U2108">
        <f t="shared" si="64"/>
        <v>0</v>
      </c>
      <c r="V2108">
        <f t="shared" si="65"/>
        <v>0</v>
      </c>
    </row>
    <row r="2109" spans="1:22" x14ac:dyDescent="0.2">
      <c r="A2109" t="s">
        <v>3543</v>
      </c>
      <c r="B2109" t="s">
        <v>47</v>
      </c>
      <c r="C2109" t="s">
        <v>76</v>
      </c>
      <c r="D2109" t="s">
        <v>77</v>
      </c>
      <c r="E2109" s="1" t="s">
        <v>93</v>
      </c>
      <c r="F2109" t="s">
        <v>94</v>
      </c>
      <c r="G2109">
        <v>44</v>
      </c>
      <c r="H2109">
        <v>18536953</v>
      </c>
      <c r="I2109">
        <v>302341</v>
      </c>
      <c r="J2109">
        <v>60</v>
      </c>
      <c r="K2109">
        <v>53</v>
      </c>
      <c r="L2109">
        <v>-18234612</v>
      </c>
      <c r="M2109" s="1" t="s">
        <v>3569</v>
      </c>
      <c r="N2109" s="1" t="s">
        <v>3570</v>
      </c>
      <c r="O2109">
        <v>4.6827426653337102E-3</v>
      </c>
      <c r="P2109">
        <v>0</v>
      </c>
      <c r="Q2109">
        <v>0</v>
      </c>
      <c r="R2109">
        <v>0</v>
      </c>
      <c r="S2109">
        <v>0</v>
      </c>
      <c r="T2109">
        <v>45.410769389999999</v>
      </c>
      <c r="U2109">
        <f t="shared" si="64"/>
        <v>0</v>
      </c>
      <c r="V2109">
        <f t="shared" si="65"/>
        <v>0</v>
      </c>
    </row>
    <row r="2110" spans="1:22" x14ac:dyDescent="0.2">
      <c r="A2110" t="s">
        <v>3543</v>
      </c>
      <c r="B2110" t="s">
        <v>47</v>
      </c>
      <c r="C2110" t="s">
        <v>76</v>
      </c>
      <c r="D2110" t="s">
        <v>77</v>
      </c>
      <c r="E2110">
        <v>17</v>
      </c>
      <c r="F2110" t="s">
        <v>97</v>
      </c>
      <c r="G2110">
        <v>88</v>
      </c>
      <c r="H2110">
        <v>1838903</v>
      </c>
      <c r="I2110">
        <v>1595657</v>
      </c>
      <c r="J2110">
        <v>55</v>
      </c>
      <c r="K2110">
        <v>43</v>
      </c>
      <c r="L2110">
        <v>-243246</v>
      </c>
      <c r="M2110" s="1" t="s">
        <v>3571</v>
      </c>
      <c r="N2110" s="1" t="s">
        <v>3572</v>
      </c>
      <c r="O2110" s="1" t="s">
        <v>3573</v>
      </c>
      <c r="P2110">
        <v>0</v>
      </c>
      <c r="Q2110">
        <v>0</v>
      </c>
      <c r="R2110">
        <v>0</v>
      </c>
      <c r="S2110">
        <v>0</v>
      </c>
      <c r="T2110">
        <v>45.410769389999999</v>
      </c>
      <c r="U2110">
        <f t="shared" si="64"/>
        <v>0</v>
      </c>
      <c r="V2110">
        <f t="shared" si="65"/>
        <v>0</v>
      </c>
    </row>
    <row r="2111" spans="1:22" x14ac:dyDescent="0.2">
      <c r="A2111" t="s">
        <v>3543</v>
      </c>
      <c r="B2111" t="s">
        <v>47</v>
      </c>
      <c r="C2111" t="s">
        <v>76</v>
      </c>
      <c r="D2111" t="s">
        <v>77</v>
      </c>
      <c r="E2111" s="1" t="s">
        <v>89</v>
      </c>
      <c r="F2111" t="s">
        <v>90</v>
      </c>
      <c r="G2111">
        <v>38</v>
      </c>
      <c r="H2111">
        <v>10658911</v>
      </c>
      <c r="I2111">
        <v>11403058</v>
      </c>
      <c r="J2111">
        <v>39</v>
      </c>
      <c r="K2111">
        <v>42</v>
      </c>
      <c r="L2111">
        <v>744147</v>
      </c>
      <c r="M2111" s="1" t="s">
        <v>3574</v>
      </c>
      <c r="N2111" s="1" t="s">
        <v>3575</v>
      </c>
      <c r="O2111">
        <v>5.4837789312895497E-3</v>
      </c>
      <c r="P2111">
        <v>0</v>
      </c>
      <c r="Q2111">
        <v>0</v>
      </c>
      <c r="R2111">
        <v>0</v>
      </c>
      <c r="S2111">
        <v>0</v>
      </c>
      <c r="T2111">
        <v>45.410769389999999</v>
      </c>
      <c r="U2111">
        <f t="shared" si="64"/>
        <v>0</v>
      </c>
      <c r="V2111">
        <f t="shared" si="65"/>
        <v>0</v>
      </c>
    </row>
    <row r="2112" spans="1:22" x14ac:dyDescent="0.2">
      <c r="A2112" t="s">
        <v>3543</v>
      </c>
      <c r="B2112" t="s">
        <v>47</v>
      </c>
      <c r="C2112" t="s">
        <v>76</v>
      </c>
      <c r="D2112" t="s">
        <v>77</v>
      </c>
      <c r="E2112">
        <v>10</v>
      </c>
      <c r="F2112" t="s">
        <v>119</v>
      </c>
      <c r="G2112">
        <v>47</v>
      </c>
      <c r="H2112">
        <v>40870376</v>
      </c>
      <c r="I2112">
        <v>0</v>
      </c>
      <c r="J2112">
        <v>16</v>
      </c>
      <c r="K2112">
        <v>37</v>
      </c>
      <c r="L2112">
        <v>-40870376</v>
      </c>
      <c r="M2112">
        <v>1</v>
      </c>
      <c r="N2112">
        <v>0</v>
      </c>
      <c r="O2112">
        <v>1.0158844245619299E-2</v>
      </c>
      <c r="P2112">
        <v>0</v>
      </c>
      <c r="Q2112">
        <v>0</v>
      </c>
      <c r="R2112">
        <v>0</v>
      </c>
      <c r="S2112">
        <v>0</v>
      </c>
      <c r="T2112">
        <v>45.410769389999999</v>
      </c>
      <c r="U2112">
        <f t="shared" si="64"/>
        <v>0</v>
      </c>
      <c r="V2112">
        <f t="shared" si="65"/>
        <v>0</v>
      </c>
    </row>
    <row r="2113" spans="1:22" x14ac:dyDescent="0.2">
      <c r="A2113" t="s">
        <v>3543</v>
      </c>
      <c r="B2113" t="s">
        <v>47</v>
      </c>
      <c r="C2113" t="s">
        <v>76</v>
      </c>
      <c r="D2113" t="s">
        <v>77</v>
      </c>
      <c r="E2113" s="1" t="s">
        <v>89</v>
      </c>
      <c r="F2113" t="s">
        <v>90</v>
      </c>
      <c r="G2113">
        <v>34</v>
      </c>
      <c r="H2113">
        <v>9400429</v>
      </c>
      <c r="I2113">
        <v>2771784</v>
      </c>
      <c r="J2113">
        <v>19</v>
      </c>
      <c r="K2113">
        <v>45</v>
      </c>
      <c r="L2113">
        <v>-6628645</v>
      </c>
      <c r="M2113" s="1" t="s">
        <v>3576</v>
      </c>
      <c r="N2113" s="1" t="s">
        <v>3577</v>
      </c>
      <c r="O2113">
        <v>3.02555611407888E-3</v>
      </c>
      <c r="P2113">
        <v>0</v>
      </c>
      <c r="Q2113">
        <v>0</v>
      </c>
      <c r="R2113">
        <v>0</v>
      </c>
      <c r="S2113">
        <v>0</v>
      </c>
      <c r="T2113">
        <v>45.410769389999999</v>
      </c>
      <c r="U2113">
        <f t="shared" si="64"/>
        <v>0</v>
      </c>
      <c r="V2113">
        <f t="shared" si="65"/>
        <v>0</v>
      </c>
    </row>
    <row r="2114" spans="1:22" x14ac:dyDescent="0.2">
      <c r="A2114" t="s">
        <v>3543</v>
      </c>
      <c r="B2114" t="s">
        <v>47</v>
      </c>
      <c r="C2114" t="s">
        <v>76</v>
      </c>
      <c r="D2114" t="s">
        <v>77</v>
      </c>
      <c r="E2114" s="1" t="s">
        <v>138</v>
      </c>
      <c r="F2114" t="s">
        <v>139</v>
      </c>
      <c r="G2114">
        <v>21</v>
      </c>
      <c r="H2114">
        <v>4922921</v>
      </c>
      <c r="I2114">
        <v>264204</v>
      </c>
      <c r="J2114">
        <v>32</v>
      </c>
      <c r="K2114">
        <v>68</v>
      </c>
      <c r="L2114">
        <v>-4658717</v>
      </c>
      <c r="M2114" s="1" t="s">
        <v>3578</v>
      </c>
      <c r="N2114">
        <v>5.09345735836325E-2</v>
      </c>
      <c r="O2114">
        <v>1.28932493690682E-3</v>
      </c>
      <c r="P2114">
        <v>0</v>
      </c>
      <c r="Q2114">
        <v>0</v>
      </c>
      <c r="R2114">
        <v>0</v>
      </c>
      <c r="S2114">
        <v>0</v>
      </c>
      <c r="T2114">
        <v>45.410769389999999</v>
      </c>
      <c r="U2114">
        <f t="shared" si="64"/>
        <v>0</v>
      </c>
      <c r="V2114">
        <f t="shared" si="65"/>
        <v>0</v>
      </c>
    </row>
    <row r="2115" spans="1:22" x14ac:dyDescent="0.2">
      <c r="A2115" t="s">
        <v>3543</v>
      </c>
      <c r="B2115" t="s">
        <v>47</v>
      </c>
      <c r="C2115" t="s">
        <v>76</v>
      </c>
      <c r="D2115" t="s">
        <v>77</v>
      </c>
      <c r="E2115" s="1" t="s">
        <v>155</v>
      </c>
      <c r="F2115" t="s">
        <v>156</v>
      </c>
      <c r="G2115" s="1" t="s">
        <v>110</v>
      </c>
      <c r="H2115">
        <v>18761251</v>
      </c>
      <c r="I2115">
        <v>192018</v>
      </c>
      <c r="J2115">
        <v>29</v>
      </c>
      <c r="K2115">
        <v>48</v>
      </c>
      <c r="L2115">
        <v>-18569233</v>
      </c>
      <c r="M2115" s="1" t="s">
        <v>3579</v>
      </c>
      <c r="N2115" s="1" t="s">
        <v>3580</v>
      </c>
      <c r="O2115">
        <v>4.7110725802063901E-3</v>
      </c>
      <c r="P2115">
        <v>0</v>
      </c>
      <c r="Q2115">
        <v>0</v>
      </c>
      <c r="R2115">
        <v>0</v>
      </c>
      <c r="S2115">
        <v>0</v>
      </c>
      <c r="T2115">
        <v>45.410769389999999</v>
      </c>
      <c r="U2115">
        <f t="shared" ref="U2115:U2178" si="66">IF(OR(P2115=1,Q2115=1),1,0)</f>
        <v>0</v>
      </c>
      <c r="V2115">
        <f t="shared" ref="V2115:V2178" si="67">IF(OR(R2115=1,S2115=1),1,0)</f>
        <v>0</v>
      </c>
    </row>
    <row r="2116" spans="1:22" x14ac:dyDescent="0.2">
      <c r="A2116" t="s">
        <v>3543</v>
      </c>
      <c r="B2116" t="s">
        <v>47</v>
      </c>
      <c r="C2116" t="s">
        <v>76</v>
      </c>
      <c r="D2116" t="s">
        <v>77</v>
      </c>
      <c r="E2116">
        <v>15</v>
      </c>
      <c r="F2116" t="s">
        <v>88</v>
      </c>
      <c r="G2116">
        <v>82</v>
      </c>
      <c r="H2116">
        <v>7244126</v>
      </c>
      <c r="I2116">
        <v>516275</v>
      </c>
      <c r="J2116">
        <v>23</v>
      </c>
      <c r="K2116">
        <v>57</v>
      </c>
      <c r="L2116">
        <v>-6727851</v>
      </c>
      <c r="M2116" s="1" t="s">
        <v>3581</v>
      </c>
      <c r="N2116">
        <v>6.6526845713256302E-2</v>
      </c>
      <c r="O2116">
        <v>1.9289449415035599E-3</v>
      </c>
      <c r="P2116">
        <v>0</v>
      </c>
      <c r="Q2116">
        <v>0</v>
      </c>
      <c r="R2116">
        <v>0</v>
      </c>
      <c r="S2116">
        <v>0</v>
      </c>
      <c r="T2116">
        <v>45.410769389999999</v>
      </c>
      <c r="U2116">
        <f t="shared" si="66"/>
        <v>0</v>
      </c>
      <c r="V2116">
        <f t="shared" si="67"/>
        <v>0</v>
      </c>
    </row>
    <row r="2117" spans="1:22" x14ac:dyDescent="0.2">
      <c r="A2117" t="s">
        <v>3543</v>
      </c>
      <c r="B2117" t="s">
        <v>47</v>
      </c>
      <c r="C2117" t="s">
        <v>76</v>
      </c>
      <c r="D2117" t="s">
        <v>77</v>
      </c>
      <c r="E2117">
        <v>11</v>
      </c>
      <c r="F2117" t="s">
        <v>127</v>
      </c>
      <c r="G2117">
        <v>56</v>
      </c>
      <c r="H2117">
        <v>1134792</v>
      </c>
      <c r="I2117">
        <v>87083</v>
      </c>
      <c r="J2117">
        <v>37</v>
      </c>
      <c r="K2117">
        <v>58</v>
      </c>
      <c r="L2117">
        <v>-1047709</v>
      </c>
      <c r="M2117" s="1" t="s">
        <v>3582</v>
      </c>
      <c r="N2117">
        <v>7.1269974424552393E-2</v>
      </c>
      <c r="O2117" s="1" t="s">
        <v>3583</v>
      </c>
      <c r="P2117">
        <v>0</v>
      </c>
      <c r="Q2117">
        <v>0</v>
      </c>
      <c r="R2117">
        <v>0</v>
      </c>
      <c r="S2117">
        <v>0</v>
      </c>
      <c r="T2117">
        <v>45.410769389999999</v>
      </c>
      <c r="U2117">
        <f t="shared" si="66"/>
        <v>0</v>
      </c>
      <c r="V2117">
        <f t="shared" si="67"/>
        <v>0</v>
      </c>
    </row>
    <row r="2118" spans="1:22" x14ac:dyDescent="0.2">
      <c r="A2118" t="s">
        <v>3543</v>
      </c>
      <c r="B2118" t="s">
        <v>47</v>
      </c>
      <c r="C2118" t="s">
        <v>76</v>
      </c>
      <c r="D2118" t="s">
        <v>77</v>
      </c>
      <c r="E2118" s="1" t="s">
        <v>138</v>
      </c>
      <c r="F2118" t="s">
        <v>139</v>
      </c>
      <c r="G2118">
        <v>24</v>
      </c>
      <c r="H2118">
        <v>647435</v>
      </c>
      <c r="I2118">
        <v>2936560</v>
      </c>
      <c r="J2118">
        <v>45</v>
      </c>
      <c r="K2118">
        <v>42</v>
      </c>
      <c r="L2118">
        <v>2289125</v>
      </c>
      <c r="M2118" s="1" t="s">
        <v>3584</v>
      </c>
      <c r="N2118" s="1" t="s">
        <v>3585</v>
      </c>
      <c r="O2118" s="1" t="s">
        <v>3586</v>
      </c>
      <c r="P2118">
        <v>0</v>
      </c>
      <c r="Q2118">
        <v>0</v>
      </c>
      <c r="R2118">
        <v>0</v>
      </c>
      <c r="S2118">
        <v>0</v>
      </c>
      <c r="T2118">
        <v>45.410769389999999</v>
      </c>
      <c r="U2118">
        <f t="shared" si="66"/>
        <v>0</v>
      </c>
      <c r="V2118">
        <f t="shared" si="67"/>
        <v>0</v>
      </c>
    </row>
    <row r="2119" spans="1:22" x14ac:dyDescent="0.2">
      <c r="A2119" t="s">
        <v>3543</v>
      </c>
      <c r="B2119" t="s">
        <v>47</v>
      </c>
      <c r="C2119" t="s">
        <v>76</v>
      </c>
      <c r="D2119" t="s">
        <v>77</v>
      </c>
      <c r="E2119" s="1" t="s">
        <v>99</v>
      </c>
      <c r="F2119" t="s">
        <v>100</v>
      </c>
      <c r="G2119">
        <v>39</v>
      </c>
      <c r="H2119">
        <v>11549314</v>
      </c>
      <c r="I2119">
        <v>2452303</v>
      </c>
      <c r="J2119">
        <v>50</v>
      </c>
      <c r="K2119">
        <v>66</v>
      </c>
      <c r="L2119">
        <v>-9097011</v>
      </c>
      <c r="M2119" s="1" t="s">
        <v>3587</v>
      </c>
      <c r="N2119" s="1" t="s">
        <v>3588</v>
      </c>
      <c r="O2119">
        <v>3.4802774089921699E-3</v>
      </c>
      <c r="P2119">
        <v>0</v>
      </c>
      <c r="Q2119">
        <v>0</v>
      </c>
      <c r="R2119">
        <v>0</v>
      </c>
      <c r="S2119">
        <v>0</v>
      </c>
      <c r="T2119">
        <v>45.410769389999999</v>
      </c>
      <c r="U2119">
        <f t="shared" si="66"/>
        <v>0</v>
      </c>
      <c r="V2119">
        <f t="shared" si="67"/>
        <v>0</v>
      </c>
    </row>
    <row r="2120" spans="1:22" x14ac:dyDescent="0.2">
      <c r="A2120" t="s">
        <v>3543</v>
      </c>
      <c r="B2120" t="s">
        <v>47</v>
      </c>
      <c r="C2120" t="s">
        <v>76</v>
      </c>
      <c r="D2120" t="s">
        <v>77</v>
      </c>
      <c r="E2120">
        <v>18</v>
      </c>
      <c r="F2120" t="s">
        <v>147</v>
      </c>
      <c r="G2120">
        <v>90</v>
      </c>
      <c r="H2120">
        <v>9299918</v>
      </c>
      <c r="I2120">
        <v>4576619</v>
      </c>
      <c r="J2120">
        <v>47</v>
      </c>
      <c r="K2120">
        <v>58</v>
      </c>
      <c r="L2120">
        <v>-4723299</v>
      </c>
      <c r="M2120" s="1" t="s">
        <v>3589</v>
      </c>
      <c r="N2120" s="1" t="s">
        <v>3590</v>
      </c>
      <c r="O2120">
        <v>3.4491872071735698E-3</v>
      </c>
      <c r="P2120">
        <v>0</v>
      </c>
      <c r="Q2120">
        <v>0</v>
      </c>
      <c r="R2120">
        <v>0</v>
      </c>
      <c r="S2120">
        <v>0</v>
      </c>
      <c r="T2120">
        <v>45.410769389999999</v>
      </c>
      <c r="U2120">
        <f t="shared" si="66"/>
        <v>0</v>
      </c>
      <c r="V2120">
        <f t="shared" si="67"/>
        <v>0</v>
      </c>
    </row>
    <row r="2121" spans="1:22" x14ac:dyDescent="0.2">
      <c r="A2121" t="s">
        <v>3543</v>
      </c>
      <c r="B2121" t="s">
        <v>47</v>
      </c>
      <c r="C2121" t="s">
        <v>76</v>
      </c>
      <c r="D2121" t="s">
        <v>77</v>
      </c>
      <c r="E2121" s="1" t="s">
        <v>138</v>
      </c>
      <c r="F2121" t="s">
        <v>139</v>
      </c>
      <c r="G2121">
        <v>22</v>
      </c>
      <c r="H2121">
        <v>918676</v>
      </c>
      <c r="I2121">
        <v>92551590</v>
      </c>
      <c r="J2121">
        <v>67</v>
      </c>
      <c r="K2121">
        <v>19</v>
      </c>
      <c r="L2121">
        <v>91632914</v>
      </c>
      <c r="M2121">
        <v>9.8285373446995398E-3</v>
      </c>
      <c r="N2121" s="1" t="s">
        <v>3591</v>
      </c>
      <c r="O2121" s="1" t="s">
        <v>3592</v>
      </c>
      <c r="P2121">
        <v>0</v>
      </c>
      <c r="Q2121">
        <v>0</v>
      </c>
      <c r="R2121">
        <v>0</v>
      </c>
      <c r="S2121">
        <v>0</v>
      </c>
      <c r="T2121">
        <v>45.410769389999999</v>
      </c>
      <c r="U2121">
        <f t="shared" si="66"/>
        <v>0</v>
      </c>
      <c r="V2121">
        <f t="shared" si="67"/>
        <v>0</v>
      </c>
    </row>
    <row r="2122" spans="1:22" x14ac:dyDescent="0.2">
      <c r="A2122" t="s">
        <v>3543</v>
      </c>
      <c r="B2122" t="s">
        <v>47</v>
      </c>
      <c r="C2122" t="s">
        <v>76</v>
      </c>
      <c r="D2122" t="s">
        <v>77</v>
      </c>
      <c r="E2122">
        <v>19</v>
      </c>
      <c r="F2122" t="s">
        <v>838</v>
      </c>
      <c r="G2122">
        <v>93</v>
      </c>
      <c r="H2122">
        <v>1274307</v>
      </c>
      <c r="I2122">
        <v>462445</v>
      </c>
      <c r="J2122">
        <v>26</v>
      </c>
      <c r="K2122">
        <v>20</v>
      </c>
      <c r="L2122">
        <v>-811862</v>
      </c>
      <c r="M2122" s="1" t="s">
        <v>3593</v>
      </c>
      <c r="N2122" s="1" t="s">
        <v>3594</v>
      </c>
      <c r="O2122" s="1" t="s">
        <v>3595</v>
      </c>
      <c r="P2122">
        <v>0</v>
      </c>
      <c r="Q2122">
        <v>0</v>
      </c>
      <c r="R2122">
        <v>0</v>
      </c>
      <c r="S2122">
        <v>0</v>
      </c>
      <c r="T2122">
        <v>45.410769389999999</v>
      </c>
      <c r="U2122">
        <f t="shared" si="66"/>
        <v>0</v>
      </c>
      <c r="V2122">
        <f t="shared" si="67"/>
        <v>0</v>
      </c>
    </row>
    <row r="2123" spans="1:22" x14ac:dyDescent="0.2">
      <c r="A2123" t="s">
        <v>3543</v>
      </c>
      <c r="B2123" t="s">
        <v>47</v>
      </c>
      <c r="C2123" t="s">
        <v>76</v>
      </c>
      <c r="D2123" t="s">
        <v>77</v>
      </c>
      <c r="E2123" s="1" t="s">
        <v>82</v>
      </c>
      <c r="F2123" t="s">
        <v>83</v>
      </c>
      <c r="G2123" s="1" t="s">
        <v>99</v>
      </c>
      <c r="H2123">
        <v>1153410</v>
      </c>
      <c r="I2123">
        <v>1506551</v>
      </c>
      <c r="J2123">
        <v>56</v>
      </c>
      <c r="K2123">
        <v>39</v>
      </c>
      <c r="L2123">
        <v>353141</v>
      </c>
      <c r="M2123" s="1" t="s">
        <v>3596</v>
      </c>
      <c r="N2123" s="1" t="s">
        <v>3597</v>
      </c>
      <c r="O2123" s="1" t="s">
        <v>3598</v>
      </c>
      <c r="P2123">
        <v>0</v>
      </c>
      <c r="Q2123">
        <v>0</v>
      </c>
      <c r="R2123">
        <v>0</v>
      </c>
      <c r="S2123">
        <v>0</v>
      </c>
      <c r="T2123">
        <v>45.410769389999999</v>
      </c>
      <c r="U2123">
        <f t="shared" si="66"/>
        <v>0</v>
      </c>
      <c r="V2123">
        <f t="shared" si="67"/>
        <v>0</v>
      </c>
    </row>
    <row r="2124" spans="1:22" x14ac:dyDescent="0.2">
      <c r="A2124" t="s">
        <v>3543</v>
      </c>
      <c r="B2124" t="s">
        <v>47</v>
      </c>
      <c r="C2124" t="s">
        <v>76</v>
      </c>
      <c r="D2124" t="s">
        <v>77</v>
      </c>
      <c r="E2124" s="1" t="s">
        <v>82</v>
      </c>
      <c r="F2124" t="s">
        <v>83</v>
      </c>
      <c r="G2124" s="1" t="s">
        <v>93</v>
      </c>
      <c r="H2124">
        <v>1737338</v>
      </c>
      <c r="I2124">
        <v>151258</v>
      </c>
      <c r="J2124">
        <v>31</v>
      </c>
      <c r="K2124">
        <v>76</v>
      </c>
      <c r="L2124">
        <v>-1586080</v>
      </c>
      <c r="M2124" s="1" t="s">
        <v>3599</v>
      </c>
      <c r="N2124">
        <v>8.0090183395495895E-2</v>
      </c>
      <c r="O2124" s="1" t="s">
        <v>3600</v>
      </c>
      <c r="P2124">
        <v>0</v>
      </c>
      <c r="Q2124">
        <v>0</v>
      </c>
      <c r="R2124">
        <v>0</v>
      </c>
      <c r="S2124">
        <v>0</v>
      </c>
      <c r="T2124">
        <v>45.410769389999999</v>
      </c>
      <c r="U2124">
        <f t="shared" si="66"/>
        <v>0</v>
      </c>
      <c r="V2124">
        <f t="shared" si="67"/>
        <v>0</v>
      </c>
    </row>
    <row r="2125" spans="1:22" x14ac:dyDescent="0.2">
      <c r="A2125" t="s">
        <v>3543</v>
      </c>
      <c r="B2125" t="s">
        <v>47</v>
      </c>
      <c r="C2125" t="s">
        <v>76</v>
      </c>
      <c r="D2125" t="s">
        <v>77</v>
      </c>
      <c r="E2125">
        <v>17</v>
      </c>
      <c r="F2125" t="s">
        <v>97</v>
      </c>
      <c r="G2125">
        <v>87</v>
      </c>
      <c r="H2125">
        <v>5019133</v>
      </c>
      <c r="I2125">
        <v>20939901</v>
      </c>
      <c r="J2125">
        <v>63</v>
      </c>
      <c r="K2125">
        <v>46</v>
      </c>
      <c r="L2125">
        <v>15920768</v>
      </c>
      <c r="M2125" s="1" t="s">
        <v>3601</v>
      </c>
      <c r="N2125">
        <v>0.80665178064792398</v>
      </c>
      <c r="O2125">
        <v>6.4524432849048597E-3</v>
      </c>
      <c r="P2125">
        <v>0</v>
      </c>
      <c r="Q2125">
        <v>0</v>
      </c>
      <c r="R2125">
        <v>0</v>
      </c>
      <c r="S2125">
        <v>0</v>
      </c>
      <c r="T2125">
        <v>45.410769389999999</v>
      </c>
      <c r="U2125">
        <f t="shared" si="66"/>
        <v>0</v>
      </c>
      <c r="V2125">
        <f t="shared" si="67"/>
        <v>0</v>
      </c>
    </row>
    <row r="2126" spans="1:22" x14ac:dyDescent="0.2">
      <c r="A2126" t="s">
        <v>3543</v>
      </c>
      <c r="B2126" t="s">
        <v>47</v>
      </c>
      <c r="C2126" t="s">
        <v>76</v>
      </c>
      <c r="D2126" t="s">
        <v>77</v>
      </c>
      <c r="E2126" s="1" t="s">
        <v>89</v>
      </c>
      <c r="F2126" t="s">
        <v>90</v>
      </c>
      <c r="G2126">
        <v>29</v>
      </c>
      <c r="H2126">
        <v>1759727</v>
      </c>
      <c r="I2126">
        <v>4709523</v>
      </c>
      <c r="J2126">
        <v>83</v>
      </c>
      <c r="K2126">
        <v>46</v>
      </c>
      <c r="L2126">
        <v>2949796</v>
      </c>
      <c r="M2126">
        <v>0.27201406654558102</v>
      </c>
      <c r="N2126">
        <v>0.72798593345441898</v>
      </c>
      <c r="O2126">
        <v>1.60801317648687E-3</v>
      </c>
      <c r="P2126">
        <v>0</v>
      </c>
      <c r="Q2126">
        <v>0</v>
      </c>
      <c r="R2126">
        <v>0</v>
      </c>
      <c r="S2126">
        <v>0</v>
      </c>
      <c r="T2126">
        <v>45.410769389999999</v>
      </c>
      <c r="U2126">
        <f t="shared" si="66"/>
        <v>0</v>
      </c>
      <c r="V2126">
        <f t="shared" si="67"/>
        <v>0</v>
      </c>
    </row>
    <row r="2127" spans="1:22" x14ac:dyDescent="0.2">
      <c r="A2127" t="s">
        <v>3543</v>
      </c>
      <c r="B2127" t="s">
        <v>47</v>
      </c>
      <c r="C2127" t="s">
        <v>76</v>
      </c>
      <c r="D2127" t="s">
        <v>77</v>
      </c>
      <c r="E2127">
        <v>11</v>
      </c>
      <c r="F2127" t="s">
        <v>127</v>
      </c>
      <c r="G2127">
        <v>54</v>
      </c>
      <c r="H2127">
        <v>531265</v>
      </c>
      <c r="I2127">
        <v>1674040</v>
      </c>
      <c r="J2127">
        <v>33</v>
      </c>
      <c r="K2127">
        <v>37</v>
      </c>
      <c r="L2127">
        <v>1142775</v>
      </c>
      <c r="M2127" s="1" t="s">
        <v>3602</v>
      </c>
      <c r="N2127" s="1" t="s">
        <v>3603</v>
      </c>
      <c r="O2127" s="1" t="s">
        <v>3604</v>
      </c>
      <c r="P2127">
        <v>0</v>
      </c>
      <c r="Q2127">
        <v>0</v>
      </c>
      <c r="R2127">
        <v>0</v>
      </c>
      <c r="S2127">
        <v>0</v>
      </c>
      <c r="T2127">
        <v>45.410769389999999</v>
      </c>
      <c r="U2127">
        <f t="shared" si="66"/>
        <v>0</v>
      </c>
      <c r="V2127">
        <f t="shared" si="67"/>
        <v>0</v>
      </c>
    </row>
    <row r="2128" spans="1:22" x14ac:dyDescent="0.2">
      <c r="A2128" t="s">
        <v>3543</v>
      </c>
      <c r="B2128" t="s">
        <v>47</v>
      </c>
      <c r="C2128" t="s">
        <v>76</v>
      </c>
      <c r="D2128" t="s">
        <v>77</v>
      </c>
      <c r="E2128" s="1" t="s">
        <v>82</v>
      </c>
      <c r="F2128" t="s">
        <v>83</v>
      </c>
      <c r="G2128">
        <v>12</v>
      </c>
      <c r="H2128">
        <v>465010</v>
      </c>
      <c r="I2128">
        <v>3274615</v>
      </c>
      <c r="J2128">
        <v>59</v>
      </c>
      <c r="K2128">
        <v>38</v>
      </c>
      <c r="L2128">
        <v>2809605</v>
      </c>
      <c r="M2128" s="1" t="s">
        <v>3605</v>
      </c>
      <c r="N2128" s="1" t="s">
        <v>3606</v>
      </c>
      <c r="O2128" s="1" t="s">
        <v>3607</v>
      </c>
      <c r="P2128">
        <v>0</v>
      </c>
      <c r="Q2128">
        <v>0</v>
      </c>
      <c r="R2128">
        <v>0</v>
      </c>
      <c r="S2128">
        <v>0</v>
      </c>
      <c r="T2128">
        <v>45.410769389999999</v>
      </c>
      <c r="U2128">
        <f t="shared" si="66"/>
        <v>0</v>
      </c>
      <c r="V2128">
        <f t="shared" si="67"/>
        <v>0</v>
      </c>
    </row>
    <row r="2129" spans="1:22" x14ac:dyDescent="0.2">
      <c r="A2129" t="s">
        <v>3543</v>
      </c>
      <c r="B2129" t="s">
        <v>47</v>
      </c>
      <c r="C2129" t="s">
        <v>76</v>
      </c>
      <c r="D2129" t="s">
        <v>77</v>
      </c>
      <c r="E2129">
        <v>15</v>
      </c>
      <c r="F2129" t="s">
        <v>88</v>
      </c>
      <c r="G2129">
        <v>75</v>
      </c>
      <c r="H2129">
        <v>88952</v>
      </c>
      <c r="I2129">
        <v>0</v>
      </c>
      <c r="J2129">
        <v>60</v>
      </c>
      <c r="K2129">
        <v>52</v>
      </c>
      <c r="L2129">
        <v>-88952</v>
      </c>
      <c r="M2129">
        <v>1</v>
      </c>
      <c r="N2129">
        <v>0</v>
      </c>
      <c r="O2129" s="1" t="s">
        <v>3608</v>
      </c>
      <c r="P2129">
        <v>0</v>
      </c>
      <c r="Q2129">
        <v>0</v>
      </c>
      <c r="R2129">
        <v>0</v>
      </c>
      <c r="S2129">
        <v>0</v>
      </c>
      <c r="T2129">
        <v>45.410769389999999</v>
      </c>
      <c r="U2129">
        <f t="shared" si="66"/>
        <v>0</v>
      </c>
      <c r="V2129">
        <f t="shared" si="67"/>
        <v>0</v>
      </c>
    </row>
    <row r="2130" spans="1:22" x14ac:dyDescent="0.2">
      <c r="A2130" t="s">
        <v>3543</v>
      </c>
      <c r="B2130" t="s">
        <v>47</v>
      </c>
      <c r="C2130" t="s">
        <v>76</v>
      </c>
      <c r="D2130" t="s">
        <v>77</v>
      </c>
      <c r="E2130">
        <v>15</v>
      </c>
      <c r="F2130" t="s">
        <v>88</v>
      </c>
      <c r="G2130">
        <v>81</v>
      </c>
      <c r="H2130">
        <v>221056</v>
      </c>
      <c r="I2130">
        <v>6133</v>
      </c>
      <c r="J2130">
        <v>54</v>
      </c>
      <c r="K2130">
        <v>49</v>
      </c>
      <c r="L2130">
        <v>-214923</v>
      </c>
      <c r="M2130" s="1" t="s">
        <v>3609</v>
      </c>
      <c r="N2130">
        <v>2.6995145011422202E-2</v>
      </c>
      <c r="O2130" s="1" t="s">
        <v>3610</v>
      </c>
      <c r="P2130">
        <v>0</v>
      </c>
      <c r="Q2130">
        <v>0</v>
      </c>
      <c r="R2130">
        <v>0</v>
      </c>
      <c r="S2130">
        <v>0</v>
      </c>
      <c r="T2130">
        <v>45.410769389999999</v>
      </c>
      <c r="U2130">
        <f t="shared" si="66"/>
        <v>0</v>
      </c>
      <c r="V2130">
        <f t="shared" si="67"/>
        <v>0</v>
      </c>
    </row>
    <row r="2131" spans="1:22" x14ac:dyDescent="0.2">
      <c r="A2131" t="s">
        <v>3543</v>
      </c>
      <c r="B2131" t="s">
        <v>47</v>
      </c>
      <c r="C2131" t="s">
        <v>76</v>
      </c>
      <c r="D2131" t="s">
        <v>77</v>
      </c>
      <c r="E2131">
        <v>13</v>
      </c>
      <c r="F2131" t="s">
        <v>91</v>
      </c>
      <c r="G2131">
        <v>68</v>
      </c>
      <c r="H2131">
        <v>233201</v>
      </c>
      <c r="I2131">
        <v>91456</v>
      </c>
      <c r="J2131">
        <v>75</v>
      </c>
      <c r="K2131">
        <v>63</v>
      </c>
      <c r="L2131">
        <v>-141745</v>
      </c>
      <c r="M2131" s="1" t="s">
        <v>3611</v>
      </c>
      <c r="N2131" s="1" t="s">
        <v>3612</v>
      </c>
      <c r="O2131" s="1" t="s">
        <v>3613</v>
      </c>
      <c r="P2131">
        <v>0</v>
      </c>
      <c r="Q2131">
        <v>0</v>
      </c>
      <c r="R2131">
        <v>0</v>
      </c>
      <c r="S2131">
        <v>0</v>
      </c>
      <c r="T2131">
        <v>45.410769389999999</v>
      </c>
      <c r="U2131">
        <f t="shared" si="66"/>
        <v>0</v>
      </c>
      <c r="V2131">
        <f t="shared" si="67"/>
        <v>0</v>
      </c>
    </row>
    <row r="2132" spans="1:22" x14ac:dyDescent="0.2">
      <c r="A2132" t="s">
        <v>3543</v>
      </c>
      <c r="B2132" t="s">
        <v>47</v>
      </c>
      <c r="C2132" t="s">
        <v>76</v>
      </c>
      <c r="D2132" t="s">
        <v>77</v>
      </c>
      <c r="E2132">
        <v>12</v>
      </c>
      <c r="F2132" t="s">
        <v>194</v>
      </c>
      <c r="G2132">
        <v>64</v>
      </c>
      <c r="H2132">
        <v>268620</v>
      </c>
      <c r="I2132">
        <v>1368</v>
      </c>
      <c r="J2132">
        <v>44</v>
      </c>
      <c r="K2132">
        <v>78</v>
      </c>
      <c r="L2132">
        <v>-267252</v>
      </c>
      <c r="M2132" s="1" t="s">
        <v>3614</v>
      </c>
      <c r="N2132">
        <v>5.06689186186052E-3</v>
      </c>
      <c r="O2132" s="1" t="s">
        <v>3615</v>
      </c>
      <c r="P2132">
        <v>0</v>
      </c>
      <c r="Q2132">
        <v>0</v>
      </c>
      <c r="R2132">
        <v>0</v>
      </c>
      <c r="S2132">
        <v>0</v>
      </c>
      <c r="T2132">
        <v>45.410769389999999</v>
      </c>
      <c r="U2132">
        <f t="shared" si="66"/>
        <v>0</v>
      </c>
      <c r="V2132">
        <f t="shared" si="67"/>
        <v>0</v>
      </c>
    </row>
    <row r="2133" spans="1:22" x14ac:dyDescent="0.2">
      <c r="A2133" t="s">
        <v>3543</v>
      </c>
      <c r="B2133" t="s">
        <v>47</v>
      </c>
      <c r="C2133" t="s">
        <v>76</v>
      </c>
      <c r="D2133" t="s">
        <v>77</v>
      </c>
      <c r="E2133" s="1" t="s">
        <v>82</v>
      </c>
      <c r="F2133" t="s">
        <v>83</v>
      </c>
      <c r="G2133">
        <v>11</v>
      </c>
      <c r="H2133">
        <v>653062</v>
      </c>
      <c r="I2133">
        <v>3</v>
      </c>
      <c r="J2133">
        <v>51</v>
      </c>
      <c r="K2133">
        <v>70</v>
      </c>
      <c r="L2133">
        <v>-653059</v>
      </c>
      <c r="M2133" s="1" t="s">
        <v>3616</v>
      </c>
      <c r="N2133" s="1" t="s">
        <v>3617</v>
      </c>
      <c r="O2133" s="1" t="s">
        <v>3618</v>
      </c>
      <c r="P2133">
        <v>0</v>
      </c>
      <c r="Q2133">
        <v>0</v>
      </c>
      <c r="R2133">
        <v>0</v>
      </c>
      <c r="S2133">
        <v>0</v>
      </c>
      <c r="T2133">
        <v>45.410769389999999</v>
      </c>
      <c r="U2133">
        <f t="shared" si="66"/>
        <v>0</v>
      </c>
      <c r="V2133">
        <f t="shared" si="67"/>
        <v>0</v>
      </c>
    </row>
    <row r="2134" spans="1:22" x14ac:dyDescent="0.2">
      <c r="A2134" t="s">
        <v>3543</v>
      </c>
      <c r="B2134" t="s">
        <v>47</v>
      </c>
      <c r="C2134" t="s">
        <v>76</v>
      </c>
      <c r="D2134" t="s">
        <v>77</v>
      </c>
      <c r="E2134">
        <v>13</v>
      </c>
      <c r="F2134" t="s">
        <v>91</v>
      </c>
      <c r="G2134">
        <v>70</v>
      </c>
      <c r="H2134">
        <v>303446</v>
      </c>
      <c r="I2134">
        <v>234679</v>
      </c>
      <c r="J2134">
        <v>75</v>
      </c>
      <c r="K2134">
        <v>55</v>
      </c>
      <c r="L2134">
        <v>-68767</v>
      </c>
      <c r="M2134">
        <v>0.56389500580720098</v>
      </c>
      <c r="N2134" s="1" t="s">
        <v>3619</v>
      </c>
      <c r="O2134" s="1" t="s">
        <v>3620</v>
      </c>
      <c r="P2134">
        <v>0</v>
      </c>
      <c r="Q2134">
        <v>0</v>
      </c>
      <c r="R2134">
        <v>0</v>
      </c>
      <c r="S2134">
        <v>0</v>
      </c>
      <c r="T2134">
        <v>45.410769389999999</v>
      </c>
      <c r="U2134">
        <f t="shared" si="66"/>
        <v>0</v>
      </c>
      <c r="V2134">
        <f t="shared" si="67"/>
        <v>0</v>
      </c>
    </row>
    <row r="2135" spans="1:22" x14ac:dyDescent="0.2">
      <c r="A2135" t="s">
        <v>3543</v>
      </c>
      <c r="B2135" t="s">
        <v>47</v>
      </c>
      <c r="C2135" t="s">
        <v>76</v>
      </c>
      <c r="D2135" t="s">
        <v>77</v>
      </c>
      <c r="E2135" s="1" t="s">
        <v>163</v>
      </c>
      <c r="F2135" t="s">
        <v>224</v>
      </c>
      <c r="G2135">
        <v>42</v>
      </c>
      <c r="H2135">
        <v>36580</v>
      </c>
      <c r="I2135">
        <v>65352</v>
      </c>
      <c r="J2135">
        <v>53</v>
      </c>
      <c r="K2135">
        <v>58</v>
      </c>
      <c r="L2135">
        <v>28772</v>
      </c>
      <c r="M2135" s="1" t="s">
        <v>3621</v>
      </c>
      <c r="N2135" s="1" t="s">
        <v>3622</v>
      </c>
      <c r="O2135" s="1" t="s">
        <v>3623</v>
      </c>
      <c r="P2135">
        <v>0</v>
      </c>
      <c r="Q2135">
        <v>0</v>
      </c>
      <c r="R2135">
        <v>0</v>
      </c>
      <c r="S2135">
        <v>0</v>
      </c>
      <c r="T2135">
        <v>45.410769389999999</v>
      </c>
      <c r="U2135">
        <f t="shared" si="66"/>
        <v>0</v>
      </c>
      <c r="V2135">
        <f t="shared" si="67"/>
        <v>0</v>
      </c>
    </row>
    <row r="2136" spans="1:22" x14ac:dyDescent="0.2">
      <c r="A2136" t="s">
        <v>3543</v>
      </c>
      <c r="B2136" t="s">
        <v>47</v>
      </c>
      <c r="C2136" t="s">
        <v>76</v>
      </c>
      <c r="D2136" t="s">
        <v>77</v>
      </c>
      <c r="E2136">
        <v>99</v>
      </c>
      <c r="F2136" t="s">
        <v>78</v>
      </c>
      <c r="G2136">
        <v>99</v>
      </c>
      <c r="H2136">
        <v>2120738</v>
      </c>
      <c r="I2136">
        <v>18842</v>
      </c>
      <c r="J2136">
        <v>47</v>
      </c>
      <c r="K2136">
        <v>81</v>
      </c>
      <c r="L2136">
        <v>-2101896</v>
      </c>
      <c r="M2136" s="1" t="s">
        <v>3624</v>
      </c>
      <c r="N2136">
        <v>8.8064012563213306E-3</v>
      </c>
      <c r="O2136" s="1" t="s">
        <v>3625</v>
      </c>
      <c r="P2136">
        <v>0</v>
      </c>
      <c r="Q2136">
        <v>0</v>
      </c>
      <c r="R2136">
        <v>0</v>
      </c>
      <c r="S2136">
        <v>0</v>
      </c>
      <c r="T2136">
        <v>45.410769389999999</v>
      </c>
      <c r="U2136">
        <f t="shared" si="66"/>
        <v>0</v>
      </c>
      <c r="V2136">
        <f t="shared" si="67"/>
        <v>0</v>
      </c>
    </row>
    <row r="2137" spans="1:22" x14ac:dyDescent="0.2">
      <c r="A2137" t="s">
        <v>3543</v>
      </c>
      <c r="B2137" t="s">
        <v>47</v>
      </c>
      <c r="C2137" t="s">
        <v>76</v>
      </c>
      <c r="D2137" t="s">
        <v>77</v>
      </c>
      <c r="E2137">
        <v>15</v>
      </c>
      <c r="F2137" t="s">
        <v>88</v>
      </c>
      <c r="G2137">
        <v>73</v>
      </c>
      <c r="H2137">
        <v>351626</v>
      </c>
      <c r="I2137">
        <v>11537668</v>
      </c>
      <c r="J2137">
        <v>95</v>
      </c>
      <c r="K2137">
        <v>46</v>
      </c>
      <c r="L2137">
        <v>11186042</v>
      </c>
      <c r="M2137" s="1" t="s">
        <v>3626</v>
      </c>
      <c r="N2137" s="1" t="s">
        <v>3627</v>
      </c>
      <c r="O2137">
        <v>2.95523305037312E-3</v>
      </c>
      <c r="P2137">
        <v>0</v>
      </c>
      <c r="Q2137">
        <v>0</v>
      </c>
      <c r="R2137">
        <v>0</v>
      </c>
      <c r="S2137">
        <v>0</v>
      </c>
      <c r="T2137">
        <v>45.410769389999999</v>
      </c>
      <c r="U2137">
        <f t="shared" si="66"/>
        <v>0</v>
      </c>
      <c r="V2137">
        <f t="shared" si="67"/>
        <v>0</v>
      </c>
    </row>
    <row r="2138" spans="1:22" x14ac:dyDescent="0.2">
      <c r="A2138" t="s">
        <v>3543</v>
      </c>
      <c r="B2138" t="s">
        <v>47</v>
      </c>
      <c r="C2138" t="s">
        <v>76</v>
      </c>
      <c r="D2138" t="s">
        <v>77</v>
      </c>
      <c r="E2138">
        <v>11</v>
      </c>
      <c r="F2138" t="s">
        <v>127</v>
      </c>
      <c r="G2138">
        <v>62</v>
      </c>
      <c r="H2138">
        <v>90287</v>
      </c>
      <c r="I2138">
        <v>9853</v>
      </c>
      <c r="J2138">
        <v>66</v>
      </c>
      <c r="K2138">
        <v>82</v>
      </c>
      <c r="L2138">
        <v>-80434</v>
      </c>
      <c r="M2138" s="1" t="s">
        <v>3628</v>
      </c>
      <c r="N2138">
        <v>9.8392250848811605E-2</v>
      </c>
      <c r="O2138" s="1" t="s">
        <v>3629</v>
      </c>
      <c r="P2138">
        <v>0</v>
      </c>
      <c r="Q2138">
        <v>0</v>
      </c>
      <c r="R2138">
        <v>0</v>
      </c>
      <c r="S2138">
        <v>0</v>
      </c>
      <c r="T2138">
        <v>45.410769389999999</v>
      </c>
      <c r="U2138">
        <f t="shared" si="66"/>
        <v>0</v>
      </c>
      <c r="V2138">
        <f t="shared" si="67"/>
        <v>0</v>
      </c>
    </row>
    <row r="2139" spans="1:22" x14ac:dyDescent="0.2">
      <c r="A2139" t="s">
        <v>3543</v>
      </c>
      <c r="B2139" t="s">
        <v>47</v>
      </c>
      <c r="C2139" t="s">
        <v>76</v>
      </c>
      <c r="D2139" t="s">
        <v>77</v>
      </c>
      <c r="E2139" s="1" t="s">
        <v>89</v>
      </c>
      <c r="F2139" t="s">
        <v>90</v>
      </c>
      <c r="G2139">
        <v>33</v>
      </c>
      <c r="H2139">
        <v>565690</v>
      </c>
      <c r="I2139">
        <v>2456513</v>
      </c>
      <c r="J2139">
        <v>74</v>
      </c>
      <c r="K2139">
        <v>48</v>
      </c>
      <c r="L2139">
        <v>1890823</v>
      </c>
      <c r="M2139" s="1" t="s">
        <v>3630</v>
      </c>
      <c r="N2139" s="1" t="s">
        <v>3631</v>
      </c>
      <c r="O2139" s="1" t="s">
        <v>3632</v>
      </c>
      <c r="P2139">
        <v>0</v>
      </c>
      <c r="Q2139">
        <v>0</v>
      </c>
      <c r="R2139">
        <v>0</v>
      </c>
      <c r="S2139">
        <v>0</v>
      </c>
      <c r="T2139">
        <v>45.410769389999999</v>
      </c>
      <c r="U2139">
        <f t="shared" si="66"/>
        <v>0</v>
      </c>
      <c r="V2139">
        <f t="shared" si="67"/>
        <v>0</v>
      </c>
    </row>
    <row r="2140" spans="1:22" x14ac:dyDescent="0.2">
      <c r="A2140" t="s">
        <v>3543</v>
      </c>
      <c r="B2140" t="s">
        <v>47</v>
      </c>
      <c r="C2140" t="s">
        <v>76</v>
      </c>
      <c r="D2140" t="s">
        <v>77</v>
      </c>
      <c r="E2140">
        <v>20</v>
      </c>
      <c r="F2140" t="s">
        <v>104</v>
      </c>
      <c r="G2140">
        <v>94</v>
      </c>
      <c r="H2140">
        <v>37417</v>
      </c>
      <c r="I2140">
        <v>135070</v>
      </c>
      <c r="J2140">
        <v>97</v>
      </c>
      <c r="K2140">
        <v>70</v>
      </c>
      <c r="L2140">
        <v>97653</v>
      </c>
      <c r="M2140" s="1" t="s">
        <v>3633</v>
      </c>
      <c r="N2140" s="1" t="s">
        <v>3634</v>
      </c>
      <c r="O2140" s="1" t="s">
        <v>3635</v>
      </c>
      <c r="P2140">
        <v>0</v>
      </c>
      <c r="Q2140">
        <v>0</v>
      </c>
      <c r="R2140">
        <v>0</v>
      </c>
      <c r="S2140">
        <v>0</v>
      </c>
      <c r="T2140">
        <v>45.410769389999999</v>
      </c>
      <c r="U2140">
        <f t="shared" si="66"/>
        <v>0</v>
      </c>
      <c r="V2140">
        <f t="shared" si="67"/>
        <v>0</v>
      </c>
    </row>
    <row r="2141" spans="1:22" x14ac:dyDescent="0.2">
      <c r="A2141" t="s">
        <v>3543</v>
      </c>
      <c r="B2141" t="s">
        <v>47</v>
      </c>
      <c r="C2141" t="s">
        <v>76</v>
      </c>
      <c r="D2141" t="s">
        <v>77</v>
      </c>
      <c r="E2141">
        <v>10</v>
      </c>
      <c r="F2141" t="s">
        <v>119</v>
      </c>
      <c r="G2141">
        <v>49</v>
      </c>
      <c r="H2141">
        <v>79179</v>
      </c>
      <c r="I2141">
        <v>251388</v>
      </c>
      <c r="J2141">
        <v>67</v>
      </c>
      <c r="K2141">
        <v>47</v>
      </c>
      <c r="L2141">
        <v>172209</v>
      </c>
      <c r="M2141" s="1" t="s">
        <v>3636</v>
      </c>
      <c r="N2141">
        <v>0.76047518354826704</v>
      </c>
      <c r="O2141" s="1" t="s">
        <v>3637</v>
      </c>
      <c r="P2141">
        <v>0</v>
      </c>
      <c r="Q2141">
        <v>0</v>
      </c>
      <c r="R2141">
        <v>0</v>
      </c>
      <c r="S2141">
        <v>0</v>
      </c>
      <c r="T2141">
        <v>45.410769389999999</v>
      </c>
      <c r="U2141">
        <f t="shared" si="66"/>
        <v>0</v>
      </c>
      <c r="V2141">
        <f t="shared" si="67"/>
        <v>0</v>
      </c>
    </row>
    <row r="2142" spans="1:22" x14ac:dyDescent="0.2">
      <c r="A2142" t="s">
        <v>3543</v>
      </c>
      <c r="B2142" t="s">
        <v>47</v>
      </c>
      <c r="C2142" t="s">
        <v>76</v>
      </c>
      <c r="D2142" t="s">
        <v>77</v>
      </c>
      <c r="E2142">
        <v>20</v>
      </c>
      <c r="F2142" t="s">
        <v>104</v>
      </c>
      <c r="G2142">
        <v>95</v>
      </c>
      <c r="H2142">
        <v>142149</v>
      </c>
      <c r="I2142">
        <v>56878</v>
      </c>
      <c r="J2142">
        <v>59</v>
      </c>
      <c r="K2142">
        <v>68</v>
      </c>
      <c r="L2142">
        <v>-85271</v>
      </c>
      <c r="M2142" s="1" t="s">
        <v>3638</v>
      </c>
      <c r="N2142" s="1" t="s">
        <v>3639</v>
      </c>
      <c r="O2142" s="1" t="s">
        <v>3640</v>
      </c>
      <c r="P2142">
        <v>0</v>
      </c>
      <c r="Q2142">
        <v>0</v>
      </c>
      <c r="R2142">
        <v>0</v>
      </c>
      <c r="S2142">
        <v>0</v>
      </c>
      <c r="T2142">
        <v>45.410769389999999</v>
      </c>
      <c r="U2142">
        <f t="shared" si="66"/>
        <v>0</v>
      </c>
      <c r="V2142">
        <f t="shared" si="67"/>
        <v>0</v>
      </c>
    </row>
    <row r="2143" spans="1:22" x14ac:dyDescent="0.2">
      <c r="A2143" t="s">
        <v>3543</v>
      </c>
      <c r="B2143" t="s">
        <v>47</v>
      </c>
      <c r="C2143" t="s">
        <v>76</v>
      </c>
      <c r="D2143" t="s">
        <v>77</v>
      </c>
      <c r="E2143">
        <v>20</v>
      </c>
      <c r="F2143" t="s">
        <v>104</v>
      </c>
      <c r="G2143">
        <v>96</v>
      </c>
      <c r="H2143">
        <v>2689851</v>
      </c>
      <c r="I2143">
        <v>28998</v>
      </c>
      <c r="J2143">
        <v>23</v>
      </c>
      <c r="K2143">
        <v>65</v>
      </c>
      <c r="L2143">
        <v>-2660853</v>
      </c>
      <c r="M2143" s="1" t="s">
        <v>3641</v>
      </c>
      <c r="N2143" s="1" t="s">
        <v>3642</v>
      </c>
      <c r="O2143" s="1" t="s">
        <v>3643</v>
      </c>
      <c r="P2143">
        <v>0</v>
      </c>
      <c r="Q2143">
        <v>0</v>
      </c>
      <c r="R2143">
        <v>0</v>
      </c>
      <c r="S2143">
        <v>0</v>
      </c>
      <c r="T2143">
        <v>45.410769389999999</v>
      </c>
      <c r="U2143">
        <f t="shared" si="66"/>
        <v>0</v>
      </c>
      <c r="V2143">
        <f t="shared" si="67"/>
        <v>0</v>
      </c>
    </row>
    <row r="2144" spans="1:22" x14ac:dyDescent="0.2">
      <c r="A2144" t="s">
        <v>3543</v>
      </c>
      <c r="B2144" t="s">
        <v>47</v>
      </c>
      <c r="C2144" t="s">
        <v>76</v>
      </c>
      <c r="D2144" t="s">
        <v>77</v>
      </c>
      <c r="E2144" s="1" t="s">
        <v>89</v>
      </c>
      <c r="F2144" t="s">
        <v>90</v>
      </c>
      <c r="G2144">
        <v>30</v>
      </c>
      <c r="H2144">
        <v>23118</v>
      </c>
      <c r="I2144">
        <v>206923</v>
      </c>
      <c r="J2144">
        <v>117</v>
      </c>
      <c r="K2144">
        <v>71</v>
      </c>
      <c r="L2144">
        <v>183805</v>
      </c>
      <c r="M2144" s="1" t="s">
        <v>3644</v>
      </c>
      <c r="N2144" s="1" t="s">
        <v>3645</v>
      </c>
      <c r="O2144" s="1" t="s">
        <v>3646</v>
      </c>
      <c r="P2144">
        <v>0</v>
      </c>
      <c r="Q2144">
        <v>0</v>
      </c>
      <c r="R2144">
        <v>0</v>
      </c>
      <c r="S2144">
        <v>0</v>
      </c>
      <c r="T2144">
        <v>45.410769389999999</v>
      </c>
      <c r="U2144">
        <f t="shared" si="66"/>
        <v>0</v>
      </c>
      <c r="V2144">
        <f t="shared" si="67"/>
        <v>0</v>
      </c>
    </row>
    <row r="2145" spans="1:22" x14ac:dyDescent="0.2">
      <c r="A2145" t="s">
        <v>3543</v>
      </c>
      <c r="B2145" t="s">
        <v>47</v>
      </c>
      <c r="C2145" t="s">
        <v>76</v>
      </c>
      <c r="D2145" t="s">
        <v>77</v>
      </c>
      <c r="E2145" s="1" t="s">
        <v>89</v>
      </c>
      <c r="F2145" t="s">
        <v>90</v>
      </c>
      <c r="G2145">
        <v>37</v>
      </c>
      <c r="H2145">
        <v>5002</v>
      </c>
      <c r="I2145">
        <v>0</v>
      </c>
      <c r="J2145">
        <v>40</v>
      </c>
      <c r="K2145">
        <v>50</v>
      </c>
      <c r="L2145">
        <v>-5002</v>
      </c>
      <c r="M2145">
        <v>1</v>
      </c>
      <c r="N2145">
        <v>0</v>
      </c>
      <c r="O2145" s="1" t="s">
        <v>3647</v>
      </c>
      <c r="P2145">
        <v>0</v>
      </c>
      <c r="Q2145">
        <v>0</v>
      </c>
      <c r="R2145">
        <v>0</v>
      </c>
      <c r="S2145">
        <v>0</v>
      </c>
      <c r="T2145">
        <v>45.410769389999999</v>
      </c>
      <c r="U2145">
        <f t="shared" si="66"/>
        <v>0</v>
      </c>
      <c r="V2145">
        <f t="shared" si="67"/>
        <v>0</v>
      </c>
    </row>
    <row r="2146" spans="1:22" x14ac:dyDescent="0.2">
      <c r="A2146" t="s">
        <v>3543</v>
      </c>
      <c r="B2146" t="s">
        <v>47</v>
      </c>
      <c r="C2146" t="s">
        <v>76</v>
      </c>
      <c r="D2146" t="s">
        <v>77</v>
      </c>
      <c r="E2146">
        <v>13</v>
      </c>
      <c r="F2146" t="s">
        <v>91</v>
      </c>
      <c r="G2146">
        <v>69</v>
      </c>
      <c r="H2146">
        <v>58193</v>
      </c>
      <c r="I2146">
        <v>324656</v>
      </c>
      <c r="J2146">
        <v>73</v>
      </c>
      <c r="K2146">
        <v>51</v>
      </c>
      <c r="L2146">
        <v>266463</v>
      </c>
      <c r="M2146" s="1" t="s">
        <v>3648</v>
      </c>
      <c r="N2146" s="1" t="s">
        <v>3649</v>
      </c>
      <c r="O2146" s="1" t="s">
        <v>3650</v>
      </c>
      <c r="P2146">
        <v>0</v>
      </c>
      <c r="Q2146">
        <v>0</v>
      </c>
      <c r="R2146">
        <v>0</v>
      </c>
      <c r="S2146">
        <v>0</v>
      </c>
      <c r="T2146">
        <v>45.410769389999999</v>
      </c>
      <c r="U2146">
        <f t="shared" si="66"/>
        <v>0</v>
      </c>
      <c r="V2146">
        <f t="shared" si="67"/>
        <v>0</v>
      </c>
    </row>
    <row r="2147" spans="1:22" x14ac:dyDescent="0.2">
      <c r="A2147" t="s">
        <v>3543</v>
      </c>
      <c r="B2147" t="s">
        <v>47</v>
      </c>
      <c r="C2147" t="s">
        <v>76</v>
      </c>
      <c r="D2147" t="s">
        <v>77</v>
      </c>
      <c r="E2147">
        <v>21</v>
      </c>
      <c r="F2147" t="s">
        <v>212</v>
      </c>
      <c r="G2147">
        <v>97</v>
      </c>
      <c r="H2147">
        <v>32068</v>
      </c>
      <c r="I2147">
        <v>2146410</v>
      </c>
      <c r="J2147">
        <v>54</v>
      </c>
      <c r="K2147">
        <v>19</v>
      </c>
      <c r="L2147">
        <v>2114342</v>
      </c>
      <c r="M2147" s="1" t="s">
        <v>3651</v>
      </c>
      <c r="N2147">
        <v>0.98527963100843796</v>
      </c>
      <c r="O2147" s="1" t="s">
        <v>3652</v>
      </c>
      <c r="P2147">
        <v>0</v>
      </c>
      <c r="Q2147">
        <v>0</v>
      </c>
      <c r="R2147">
        <v>0</v>
      </c>
      <c r="S2147">
        <v>0</v>
      </c>
      <c r="T2147">
        <v>45.410769389999999</v>
      </c>
      <c r="U2147">
        <f t="shared" si="66"/>
        <v>0</v>
      </c>
      <c r="V2147">
        <f t="shared" si="67"/>
        <v>0</v>
      </c>
    </row>
    <row r="2148" spans="1:22" x14ac:dyDescent="0.2">
      <c r="A2148" t="s">
        <v>3543</v>
      </c>
      <c r="B2148" t="s">
        <v>47</v>
      </c>
      <c r="C2148" t="s">
        <v>76</v>
      </c>
      <c r="D2148" t="s">
        <v>77</v>
      </c>
      <c r="E2148">
        <v>18</v>
      </c>
      <c r="F2148" t="s">
        <v>147</v>
      </c>
      <c r="G2148">
        <v>92</v>
      </c>
      <c r="H2148">
        <v>5896</v>
      </c>
      <c r="I2148">
        <v>0</v>
      </c>
      <c r="J2148">
        <v>60</v>
      </c>
      <c r="K2148">
        <v>66</v>
      </c>
      <c r="L2148">
        <v>-5896</v>
      </c>
      <c r="M2148">
        <v>1</v>
      </c>
      <c r="N2148">
        <v>0</v>
      </c>
      <c r="O2148" s="1" t="s">
        <v>3653</v>
      </c>
      <c r="P2148">
        <v>0</v>
      </c>
      <c r="Q2148">
        <v>0</v>
      </c>
      <c r="R2148">
        <v>0</v>
      </c>
      <c r="S2148">
        <v>0</v>
      </c>
      <c r="T2148">
        <v>45.410769389999999</v>
      </c>
      <c r="U2148">
        <f t="shared" si="66"/>
        <v>0</v>
      </c>
      <c r="V2148">
        <f t="shared" si="67"/>
        <v>0</v>
      </c>
    </row>
    <row r="2149" spans="1:22" x14ac:dyDescent="0.2">
      <c r="A2149" t="s">
        <v>3543</v>
      </c>
      <c r="B2149" t="s">
        <v>47</v>
      </c>
      <c r="C2149" t="s">
        <v>76</v>
      </c>
      <c r="D2149" t="s">
        <v>77</v>
      </c>
      <c r="E2149">
        <v>18</v>
      </c>
      <c r="F2149" t="s">
        <v>147</v>
      </c>
      <c r="G2149">
        <v>91</v>
      </c>
      <c r="H2149">
        <v>6370</v>
      </c>
      <c r="I2149">
        <v>574</v>
      </c>
      <c r="J2149">
        <v>63</v>
      </c>
      <c r="K2149">
        <v>59</v>
      </c>
      <c r="L2149">
        <v>-5796</v>
      </c>
      <c r="M2149" s="1" t="s">
        <v>3654</v>
      </c>
      <c r="N2149">
        <v>8.2661290322580599E-2</v>
      </c>
      <c r="O2149" s="1" t="s">
        <v>3655</v>
      </c>
      <c r="P2149">
        <v>0</v>
      </c>
      <c r="Q2149">
        <v>0</v>
      </c>
      <c r="R2149">
        <v>0</v>
      </c>
      <c r="S2149">
        <v>0</v>
      </c>
      <c r="T2149">
        <v>45.410769389999999</v>
      </c>
      <c r="U2149">
        <f t="shared" si="66"/>
        <v>0</v>
      </c>
      <c r="V2149">
        <f t="shared" si="67"/>
        <v>0</v>
      </c>
    </row>
    <row r="2150" spans="1:22" x14ac:dyDescent="0.2">
      <c r="A2150" t="s">
        <v>3543</v>
      </c>
      <c r="B2150" t="s">
        <v>47</v>
      </c>
      <c r="C2150" t="s">
        <v>76</v>
      </c>
      <c r="D2150" t="s">
        <v>77</v>
      </c>
      <c r="E2150">
        <v>11</v>
      </c>
      <c r="F2150" t="s">
        <v>127</v>
      </c>
      <c r="G2150">
        <v>61</v>
      </c>
      <c r="H2150">
        <v>39000</v>
      </c>
      <c r="I2150">
        <v>11666</v>
      </c>
      <c r="J2150">
        <v>67</v>
      </c>
      <c r="K2150">
        <v>86</v>
      </c>
      <c r="L2150">
        <v>-27334</v>
      </c>
      <c r="M2150">
        <v>0.76974697035487305</v>
      </c>
      <c r="N2150" s="1" t="s">
        <v>3656</v>
      </c>
      <c r="O2150" s="1" t="s">
        <v>3657</v>
      </c>
      <c r="P2150">
        <v>0</v>
      </c>
      <c r="Q2150">
        <v>0</v>
      </c>
      <c r="R2150">
        <v>0</v>
      </c>
      <c r="S2150">
        <v>0</v>
      </c>
      <c r="T2150">
        <v>45.410769389999999</v>
      </c>
      <c r="U2150">
        <f t="shared" si="66"/>
        <v>0</v>
      </c>
      <c r="V2150">
        <f t="shared" si="67"/>
        <v>0</v>
      </c>
    </row>
    <row r="2151" spans="1:22" x14ac:dyDescent="0.2">
      <c r="A2151" t="s">
        <v>3543</v>
      </c>
      <c r="B2151" t="s">
        <v>47</v>
      </c>
      <c r="C2151" t="s">
        <v>76</v>
      </c>
      <c r="D2151" t="s">
        <v>77</v>
      </c>
      <c r="E2151">
        <v>11</v>
      </c>
      <c r="F2151" t="s">
        <v>127</v>
      </c>
      <c r="G2151">
        <v>63</v>
      </c>
      <c r="H2151">
        <v>28522</v>
      </c>
      <c r="I2151">
        <v>56140</v>
      </c>
      <c r="J2151">
        <v>87</v>
      </c>
      <c r="K2151">
        <v>71</v>
      </c>
      <c r="L2151">
        <v>27618</v>
      </c>
      <c r="M2151" s="1" t="s">
        <v>3658</v>
      </c>
      <c r="N2151">
        <v>0.66310741536935103</v>
      </c>
      <c r="O2151" s="1" t="s">
        <v>3659</v>
      </c>
      <c r="P2151">
        <v>0</v>
      </c>
      <c r="Q2151">
        <v>0</v>
      </c>
      <c r="R2151">
        <v>0</v>
      </c>
      <c r="S2151">
        <v>0</v>
      </c>
      <c r="T2151">
        <v>45.410769389999999</v>
      </c>
      <c r="U2151">
        <f t="shared" si="66"/>
        <v>0</v>
      </c>
      <c r="V2151">
        <f t="shared" si="67"/>
        <v>0</v>
      </c>
    </row>
    <row r="2152" spans="1:22" x14ac:dyDescent="0.2">
      <c r="A2152" t="s">
        <v>3543</v>
      </c>
      <c r="B2152" t="s">
        <v>47</v>
      </c>
      <c r="C2152" t="s">
        <v>76</v>
      </c>
      <c r="D2152" t="s">
        <v>77</v>
      </c>
      <c r="E2152" s="1" t="s">
        <v>155</v>
      </c>
      <c r="F2152" t="s">
        <v>156</v>
      </c>
      <c r="G2152" s="1" t="s">
        <v>155</v>
      </c>
      <c r="H2152">
        <v>6782</v>
      </c>
      <c r="I2152">
        <v>8160</v>
      </c>
      <c r="J2152">
        <v>62</v>
      </c>
      <c r="K2152">
        <v>55</v>
      </c>
      <c r="L2152">
        <v>1378</v>
      </c>
      <c r="M2152" s="1" t="s">
        <v>3660</v>
      </c>
      <c r="N2152" s="1" t="s">
        <v>3661</v>
      </c>
      <c r="O2152" s="1" t="s">
        <v>3662</v>
      </c>
      <c r="P2152">
        <v>0</v>
      </c>
      <c r="Q2152">
        <v>0</v>
      </c>
      <c r="R2152">
        <v>0</v>
      </c>
      <c r="S2152">
        <v>0</v>
      </c>
      <c r="T2152">
        <v>45.410769389999999</v>
      </c>
      <c r="U2152">
        <f t="shared" si="66"/>
        <v>0</v>
      </c>
      <c r="V2152">
        <f t="shared" si="67"/>
        <v>0</v>
      </c>
    </row>
    <row r="2153" spans="1:22" x14ac:dyDescent="0.2">
      <c r="A2153" t="s">
        <v>3543</v>
      </c>
      <c r="B2153" t="s">
        <v>47</v>
      </c>
      <c r="C2153" t="s">
        <v>76</v>
      </c>
      <c r="D2153" t="s">
        <v>77</v>
      </c>
      <c r="E2153">
        <v>15</v>
      </c>
      <c r="F2153" t="s">
        <v>88</v>
      </c>
      <c r="G2153">
        <v>83</v>
      </c>
      <c r="H2153">
        <v>29249</v>
      </c>
      <c r="I2153">
        <v>233621</v>
      </c>
      <c r="J2153">
        <v>81</v>
      </c>
      <c r="K2153">
        <v>59</v>
      </c>
      <c r="L2153">
        <v>204372</v>
      </c>
      <c r="M2153" s="1" t="s">
        <v>3663</v>
      </c>
      <c r="N2153" s="1" t="s">
        <v>3664</v>
      </c>
      <c r="O2153" s="1" t="s">
        <v>3665</v>
      </c>
      <c r="P2153">
        <v>0</v>
      </c>
      <c r="Q2153">
        <v>0</v>
      </c>
      <c r="R2153">
        <v>0</v>
      </c>
      <c r="S2153">
        <v>0</v>
      </c>
      <c r="T2153">
        <v>45.410769389999999</v>
      </c>
      <c r="U2153">
        <f t="shared" si="66"/>
        <v>0</v>
      </c>
      <c r="V2153">
        <f t="shared" si="67"/>
        <v>0</v>
      </c>
    </row>
    <row r="2154" spans="1:22" x14ac:dyDescent="0.2">
      <c r="A2154" t="s">
        <v>3543</v>
      </c>
      <c r="B2154" t="s">
        <v>47</v>
      </c>
      <c r="C2154" t="s">
        <v>76</v>
      </c>
      <c r="D2154" t="s">
        <v>77</v>
      </c>
      <c r="E2154">
        <v>12</v>
      </c>
      <c r="F2154" t="s">
        <v>194</v>
      </c>
      <c r="G2154">
        <v>65</v>
      </c>
      <c r="H2154">
        <v>3892</v>
      </c>
      <c r="I2154">
        <v>2177</v>
      </c>
      <c r="J2154">
        <v>60</v>
      </c>
      <c r="K2154">
        <v>67</v>
      </c>
      <c r="L2154">
        <v>-1715</v>
      </c>
      <c r="M2154" s="1" t="s">
        <v>3666</v>
      </c>
      <c r="N2154" s="1" t="s">
        <v>3667</v>
      </c>
      <c r="O2154" s="1" t="s">
        <v>3668</v>
      </c>
      <c r="P2154">
        <v>0</v>
      </c>
      <c r="Q2154">
        <v>0</v>
      </c>
      <c r="R2154">
        <v>0</v>
      </c>
      <c r="S2154">
        <v>0</v>
      </c>
      <c r="T2154">
        <v>45.410769389999999</v>
      </c>
      <c r="U2154">
        <f t="shared" si="66"/>
        <v>0</v>
      </c>
      <c r="V2154">
        <f t="shared" si="67"/>
        <v>0</v>
      </c>
    </row>
    <row r="2155" spans="1:22" x14ac:dyDescent="0.2">
      <c r="A2155" t="s">
        <v>3543</v>
      </c>
      <c r="B2155" t="s">
        <v>47</v>
      </c>
      <c r="C2155" t="s">
        <v>76</v>
      </c>
      <c r="D2155" t="s">
        <v>77</v>
      </c>
      <c r="E2155">
        <v>12</v>
      </c>
      <c r="F2155" t="s">
        <v>194</v>
      </c>
      <c r="G2155">
        <v>66</v>
      </c>
      <c r="H2155">
        <v>257</v>
      </c>
      <c r="I2155">
        <v>0</v>
      </c>
      <c r="J2155">
        <v>51</v>
      </c>
      <c r="K2155">
        <v>57</v>
      </c>
      <c r="L2155">
        <v>-257</v>
      </c>
      <c r="M2155">
        <v>1</v>
      </c>
      <c r="N2155">
        <v>0</v>
      </c>
      <c r="O2155" s="1" t="s">
        <v>3669</v>
      </c>
      <c r="P2155">
        <v>0</v>
      </c>
      <c r="Q2155">
        <v>0</v>
      </c>
      <c r="R2155">
        <v>0</v>
      </c>
      <c r="S2155">
        <v>0</v>
      </c>
      <c r="T2155">
        <v>45.410769389999999</v>
      </c>
      <c r="U2155">
        <f t="shared" si="66"/>
        <v>0</v>
      </c>
      <c r="V2155">
        <f t="shared" si="67"/>
        <v>0</v>
      </c>
    </row>
    <row r="2156" spans="1:22" x14ac:dyDescent="0.2">
      <c r="A2156" t="s">
        <v>3543</v>
      </c>
      <c r="B2156" t="s">
        <v>47</v>
      </c>
      <c r="C2156" t="s">
        <v>76</v>
      </c>
      <c r="D2156" t="s">
        <v>77</v>
      </c>
      <c r="E2156" s="1" t="s">
        <v>138</v>
      </c>
      <c r="F2156" t="s">
        <v>139</v>
      </c>
      <c r="G2156">
        <v>19</v>
      </c>
      <c r="H2156">
        <v>8152</v>
      </c>
      <c r="I2156">
        <v>6239</v>
      </c>
      <c r="J2156">
        <v>83</v>
      </c>
      <c r="K2156">
        <v>72</v>
      </c>
      <c r="L2156">
        <v>-1913</v>
      </c>
      <c r="M2156" s="1" t="s">
        <v>3670</v>
      </c>
      <c r="N2156" s="1" t="s">
        <v>3671</v>
      </c>
      <c r="O2156" s="1" t="s">
        <v>3672</v>
      </c>
      <c r="P2156">
        <v>0</v>
      </c>
      <c r="Q2156">
        <v>0</v>
      </c>
      <c r="R2156">
        <v>0</v>
      </c>
      <c r="S2156">
        <v>0</v>
      </c>
      <c r="T2156">
        <v>45.410769389999999</v>
      </c>
      <c r="U2156">
        <f t="shared" si="66"/>
        <v>0</v>
      </c>
      <c r="V2156">
        <f t="shared" si="67"/>
        <v>0</v>
      </c>
    </row>
    <row r="2157" spans="1:22" x14ac:dyDescent="0.2">
      <c r="A2157" t="s">
        <v>3543</v>
      </c>
      <c r="B2157" t="s">
        <v>47</v>
      </c>
      <c r="C2157" t="s">
        <v>76</v>
      </c>
      <c r="D2157" t="s">
        <v>77</v>
      </c>
      <c r="E2157">
        <v>11</v>
      </c>
      <c r="F2157" t="s">
        <v>127</v>
      </c>
      <c r="G2157">
        <v>53</v>
      </c>
      <c r="H2157">
        <v>302</v>
      </c>
      <c r="I2157">
        <v>0</v>
      </c>
      <c r="J2157">
        <v>70</v>
      </c>
      <c r="K2157">
        <v>49</v>
      </c>
      <c r="L2157">
        <v>-302</v>
      </c>
      <c r="M2157">
        <v>1</v>
      </c>
      <c r="N2157">
        <v>0</v>
      </c>
      <c r="O2157" s="1" t="s">
        <v>3673</v>
      </c>
      <c r="P2157">
        <v>0</v>
      </c>
      <c r="Q2157">
        <v>0</v>
      </c>
      <c r="R2157">
        <v>0</v>
      </c>
      <c r="S2157">
        <v>0</v>
      </c>
      <c r="T2157">
        <v>45.410769389999999</v>
      </c>
      <c r="U2157">
        <f t="shared" si="66"/>
        <v>0</v>
      </c>
      <c r="V2157">
        <f t="shared" si="67"/>
        <v>0</v>
      </c>
    </row>
    <row r="2158" spans="1:22" x14ac:dyDescent="0.2">
      <c r="A2158" t="s">
        <v>3543</v>
      </c>
      <c r="B2158" t="s">
        <v>47</v>
      </c>
      <c r="C2158" t="s">
        <v>76</v>
      </c>
      <c r="D2158" t="s">
        <v>77</v>
      </c>
      <c r="E2158" s="1" t="s">
        <v>138</v>
      </c>
      <c r="F2158" t="s">
        <v>139</v>
      </c>
      <c r="G2158">
        <v>20</v>
      </c>
      <c r="H2158">
        <v>3151</v>
      </c>
      <c r="I2158">
        <v>67514315</v>
      </c>
      <c r="J2158">
        <v>73</v>
      </c>
      <c r="K2158">
        <v>20</v>
      </c>
      <c r="L2158">
        <v>67511164</v>
      </c>
      <c r="M2158" s="1" t="s">
        <v>3674</v>
      </c>
      <c r="N2158" s="1" t="s">
        <v>3675</v>
      </c>
      <c r="O2158" s="1" t="s">
        <v>3676</v>
      </c>
      <c r="P2158">
        <v>0</v>
      </c>
      <c r="Q2158">
        <v>0</v>
      </c>
      <c r="R2158">
        <v>0</v>
      </c>
      <c r="S2158">
        <v>0</v>
      </c>
      <c r="T2158">
        <v>45.410769389999999</v>
      </c>
      <c r="U2158">
        <f t="shared" si="66"/>
        <v>0</v>
      </c>
      <c r="V2158">
        <f t="shared" si="67"/>
        <v>0</v>
      </c>
    </row>
    <row r="2159" spans="1:22" x14ac:dyDescent="0.2">
      <c r="A2159" t="s">
        <v>3543</v>
      </c>
      <c r="B2159" t="s">
        <v>47</v>
      </c>
      <c r="C2159" t="s">
        <v>76</v>
      </c>
      <c r="D2159" t="s">
        <v>77</v>
      </c>
      <c r="E2159">
        <v>11</v>
      </c>
      <c r="F2159" t="s">
        <v>127</v>
      </c>
      <c r="G2159">
        <v>59</v>
      </c>
      <c r="H2159">
        <v>53904</v>
      </c>
      <c r="I2159">
        <v>157453</v>
      </c>
      <c r="J2159">
        <v>45</v>
      </c>
      <c r="K2159">
        <v>49</v>
      </c>
      <c r="L2159">
        <v>103549</v>
      </c>
      <c r="M2159" s="1" t="s">
        <v>3677</v>
      </c>
      <c r="N2159" s="1" t="s">
        <v>3678</v>
      </c>
      <c r="O2159" s="1" t="s">
        <v>3679</v>
      </c>
      <c r="P2159">
        <v>0</v>
      </c>
      <c r="Q2159">
        <v>0</v>
      </c>
      <c r="R2159">
        <v>0</v>
      </c>
      <c r="S2159">
        <v>0</v>
      </c>
      <c r="T2159">
        <v>45.410769389999999</v>
      </c>
      <c r="U2159">
        <f t="shared" si="66"/>
        <v>0</v>
      </c>
      <c r="V2159">
        <f t="shared" si="67"/>
        <v>0</v>
      </c>
    </row>
    <row r="2160" spans="1:22" x14ac:dyDescent="0.2">
      <c r="A2160" t="s">
        <v>3543</v>
      </c>
      <c r="B2160" t="s">
        <v>47</v>
      </c>
      <c r="C2160" t="s">
        <v>76</v>
      </c>
      <c r="D2160" t="s">
        <v>77</v>
      </c>
      <c r="E2160">
        <v>12</v>
      </c>
      <c r="F2160" t="s">
        <v>194</v>
      </c>
      <c r="G2160">
        <v>67</v>
      </c>
      <c r="H2160">
        <v>1587</v>
      </c>
      <c r="I2160">
        <v>0</v>
      </c>
      <c r="J2160">
        <v>58</v>
      </c>
      <c r="K2160">
        <v>62</v>
      </c>
      <c r="L2160">
        <v>-1587</v>
      </c>
      <c r="M2160">
        <v>1</v>
      </c>
      <c r="N2160">
        <v>0</v>
      </c>
      <c r="O2160" s="1" t="s">
        <v>3680</v>
      </c>
      <c r="P2160">
        <v>0</v>
      </c>
      <c r="Q2160">
        <v>0</v>
      </c>
      <c r="R2160">
        <v>0</v>
      </c>
      <c r="S2160">
        <v>0</v>
      </c>
      <c r="T2160">
        <v>45.410769389999999</v>
      </c>
      <c r="U2160">
        <f t="shared" si="66"/>
        <v>0</v>
      </c>
      <c r="V2160">
        <f t="shared" si="67"/>
        <v>0</v>
      </c>
    </row>
    <row r="2161" spans="1:22" x14ac:dyDescent="0.2">
      <c r="A2161" t="s">
        <v>3543</v>
      </c>
      <c r="B2161" t="s">
        <v>47</v>
      </c>
      <c r="C2161" t="s">
        <v>76</v>
      </c>
      <c r="D2161" t="s">
        <v>77</v>
      </c>
      <c r="E2161" s="1" t="s">
        <v>89</v>
      </c>
      <c r="F2161" t="s">
        <v>90</v>
      </c>
      <c r="G2161">
        <v>32</v>
      </c>
      <c r="H2161">
        <v>44835</v>
      </c>
      <c r="I2161">
        <v>3955519</v>
      </c>
      <c r="J2161">
        <v>94</v>
      </c>
      <c r="K2161">
        <v>45</v>
      </c>
      <c r="L2161">
        <v>3910684</v>
      </c>
      <c r="M2161" s="1" t="s">
        <v>3681</v>
      </c>
      <c r="N2161">
        <v>0.98879224188659298</v>
      </c>
      <c r="O2161" s="1" t="s">
        <v>3682</v>
      </c>
      <c r="P2161">
        <v>0</v>
      </c>
      <c r="Q2161">
        <v>0</v>
      </c>
      <c r="R2161">
        <v>0</v>
      </c>
      <c r="S2161">
        <v>0</v>
      </c>
      <c r="T2161">
        <v>45.410769389999999</v>
      </c>
      <c r="U2161">
        <f t="shared" si="66"/>
        <v>0</v>
      </c>
      <c r="V2161">
        <f t="shared" si="67"/>
        <v>0</v>
      </c>
    </row>
    <row r="2162" spans="1:22" x14ac:dyDescent="0.2">
      <c r="A2162" t="s">
        <v>3543</v>
      </c>
      <c r="B2162" t="s">
        <v>47</v>
      </c>
      <c r="C2162" t="s">
        <v>76</v>
      </c>
      <c r="D2162" t="s">
        <v>77</v>
      </c>
      <c r="E2162">
        <v>15</v>
      </c>
      <c r="F2162" t="s">
        <v>88</v>
      </c>
      <c r="G2162">
        <v>78</v>
      </c>
      <c r="H2162">
        <v>10946409</v>
      </c>
      <c r="I2162">
        <v>4831</v>
      </c>
      <c r="J2162">
        <v>19</v>
      </c>
      <c r="K2162">
        <v>30</v>
      </c>
      <c r="L2162">
        <v>-10941578</v>
      </c>
      <c r="M2162" s="1" t="s">
        <v>3683</v>
      </c>
      <c r="N2162" s="1" t="s">
        <v>3684</v>
      </c>
      <c r="O2162">
        <v>2.7220679706102101E-3</v>
      </c>
      <c r="P2162">
        <v>0</v>
      </c>
      <c r="Q2162">
        <v>0</v>
      </c>
      <c r="R2162">
        <v>0</v>
      </c>
      <c r="S2162">
        <v>0</v>
      </c>
      <c r="T2162">
        <v>45.410769389999999</v>
      </c>
      <c r="U2162">
        <f t="shared" si="66"/>
        <v>0</v>
      </c>
      <c r="V2162">
        <f t="shared" si="67"/>
        <v>0</v>
      </c>
    </row>
    <row r="2163" spans="1:22" x14ac:dyDescent="0.2">
      <c r="A2163" t="s">
        <v>3543</v>
      </c>
      <c r="B2163" t="s">
        <v>47</v>
      </c>
      <c r="C2163" t="s">
        <v>76</v>
      </c>
      <c r="D2163" t="s">
        <v>77</v>
      </c>
      <c r="E2163" s="1" t="s">
        <v>89</v>
      </c>
      <c r="F2163" t="s">
        <v>90</v>
      </c>
      <c r="G2163">
        <v>35</v>
      </c>
      <c r="H2163">
        <v>45199</v>
      </c>
      <c r="I2163">
        <v>558127</v>
      </c>
      <c r="J2163">
        <v>48</v>
      </c>
      <c r="K2163">
        <v>52</v>
      </c>
      <c r="L2163">
        <v>512928</v>
      </c>
      <c r="M2163">
        <v>7.49163801990963E-2</v>
      </c>
      <c r="N2163" s="1" t="s">
        <v>3685</v>
      </c>
      <c r="O2163" s="1" t="s">
        <v>3686</v>
      </c>
      <c r="P2163">
        <v>0</v>
      </c>
      <c r="Q2163">
        <v>0</v>
      </c>
      <c r="R2163">
        <v>0</v>
      </c>
      <c r="S2163">
        <v>0</v>
      </c>
      <c r="T2163">
        <v>45.410769389999999</v>
      </c>
      <c r="U2163">
        <f t="shared" si="66"/>
        <v>0</v>
      </c>
      <c r="V2163">
        <f t="shared" si="67"/>
        <v>0</v>
      </c>
    </row>
    <row r="2164" spans="1:22" x14ac:dyDescent="0.2">
      <c r="A2164" t="s">
        <v>3543</v>
      </c>
      <c r="B2164" t="s">
        <v>47</v>
      </c>
      <c r="C2164" t="s">
        <v>76</v>
      </c>
      <c r="D2164" t="s">
        <v>77</v>
      </c>
      <c r="E2164">
        <v>11</v>
      </c>
      <c r="F2164" t="s">
        <v>127</v>
      </c>
      <c r="G2164">
        <v>58</v>
      </c>
      <c r="H2164">
        <v>1320</v>
      </c>
      <c r="I2164">
        <v>1145</v>
      </c>
      <c r="J2164">
        <v>57</v>
      </c>
      <c r="K2164">
        <v>58</v>
      </c>
      <c r="L2164">
        <v>-175</v>
      </c>
      <c r="M2164" s="1" t="s">
        <v>3687</v>
      </c>
      <c r="N2164" s="1" t="s">
        <v>3688</v>
      </c>
      <c r="O2164" s="1" t="s">
        <v>3689</v>
      </c>
      <c r="P2164">
        <v>0</v>
      </c>
      <c r="Q2164">
        <v>0</v>
      </c>
      <c r="R2164">
        <v>0</v>
      </c>
      <c r="S2164">
        <v>0</v>
      </c>
      <c r="T2164">
        <v>45.410769389999999</v>
      </c>
      <c r="U2164">
        <f t="shared" si="66"/>
        <v>0</v>
      </c>
      <c r="V2164">
        <f t="shared" si="67"/>
        <v>0</v>
      </c>
    </row>
    <row r="2165" spans="1:22" x14ac:dyDescent="0.2">
      <c r="A2165" t="s">
        <v>3543</v>
      </c>
      <c r="B2165" t="s">
        <v>47</v>
      </c>
      <c r="C2165" t="s">
        <v>76</v>
      </c>
      <c r="D2165" t="s">
        <v>77</v>
      </c>
      <c r="E2165" s="1" t="s">
        <v>138</v>
      </c>
      <c r="F2165" t="s">
        <v>139</v>
      </c>
      <c r="G2165">
        <v>23</v>
      </c>
      <c r="H2165">
        <v>39646</v>
      </c>
      <c r="I2165">
        <v>175502</v>
      </c>
      <c r="J2165">
        <v>76</v>
      </c>
      <c r="K2165">
        <v>51</v>
      </c>
      <c r="L2165">
        <v>135856</v>
      </c>
      <c r="M2165" s="1" t="s">
        <v>3690</v>
      </c>
      <c r="N2165" s="1" t="s">
        <v>3691</v>
      </c>
      <c r="O2165" s="1" t="s">
        <v>3692</v>
      </c>
      <c r="P2165">
        <v>0</v>
      </c>
      <c r="Q2165">
        <v>0</v>
      </c>
      <c r="R2165">
        <v>0</v>
      </c>
      <c r="S2165">
        <v>0</v>
      </c>
      <c r="T2165">
        <v>45.410769389999999</v>
      </c>
      <c r="U2165">
        <f t="shared" si="66"/>
        <v>0</v>
      </c>
      <c r="V2165">
        <f t="shared" si="67"/>
        <v>0</v>
      </c>
    </row>
    <row r="2166" spans="1:22" x14ac:dyDescent="0.2">
      <c r="A2166" t="s">
        <v>3543</v>
      </c>
      <c r="B2166" t="s">
        <v>47</v>
      </c>
      <c r="C2166" t="s">
        <v>76</v>
      </c>
      <c r="D2166" t="s">
        <v>77</v>
      </c>
      <c r="E2166" s="1" t="s">
        <v>155</v>
      </c>
      <c r="F2166" t="s">
        <v>156</v>
      </c>
      <c r="G2166" s="1" t="s">
        <v>138</v>
      </c>
      <c r="H2166">
        <v>3</v>
      </c>
      <c r="I2166">
        <v>160</v>
      </c>
      <c r="J2166">
        <v>74</v>
      </c>
      <c r="K2166">
        <v>70</v>
      </c>
      <c r="L2166">
        <v>157</v>
      </c>
      <c r="M2166" s="1" t="s">
        <v>3693</v>
      </c>
      <c r="N2166" s="1" t="s">
        <v>3694</v>
      </c>
      <c r="O2166" s="1" t="s">
        <v>3695</v>
      </c>
      <c r="P2166">
        <v>0</v>
      </c>
      <c r="Q2166">
        <v>0</v>
      </c>
      <c r="R2166">
        <v>0</v>
      </c>
      <c r="S2166">
        <v>0</v>
      </c>
      <c r="T2166">
        <v>45.410769389999999</v>
      </c>
      <c r="U2166">
        <f t="shared" si="66"/>
        <v>0</v>
      </c>
      <c r="V2166">
        <f t="shared" si="67"/>
        <v>0</v>
      </c>
    </row>
    <row r="2167" spans="1:22" x14ac:dyDescent="0.2">
      <c r="A2167" t="s">
        <v>3543</v>
      </c>
      <c r="B2167" t="s">
        <v>47</v>
      </c>
      <c r="C2167" t="s">
        <v>76</v>
      </c>
      <c r="D2167" t="s">
        <v>77</v>
      </c>
      <c r="E2167" s="1" t="s">
        <v>85</v>
      </c>
      <c r="F2167" t="s">
        <v>86</v>
      </c>
      <c r="G2167">
        <v>25</v>
      </c>
      <c r="H2167">
        <v>5641642</v>
      </c>
      <c r="I2167">
        <v>5649436</v>
      </c>
      <c r="J2167">
        <v>44</v>
      </c>
      <c r="K2167">
        <v>31</v>
      </c>
      <c r="L2167">
        <v>7794</v>
      </c>
      <c r="M2167" s="1" t="s">
        <v>3696</v>
      </c>
      <c r="N2167" s="1" t="s">
        <v>3697</v>
      </c>
      <c r="O2167">
        <v>2.80653896521869E-3</v>
      </c>
      <c r="P2167">
        <v>0</v>
      </c>
      <c r="Q2167">
        <v>0</v>
      </c>
      <c r="R2167">
        <v>0</v>
      </c>
      <c r="S2167">
        <v>0</v>
      </c>
      <c r="T2167">
        <v>45.410769389999999</v>
      </c>
      <c r="U2167">
        <f t="shared" si="66"/>
        <v>0</v>
      </c>
      <c r="V2167">
        <f t="shared" si="67"/>
        <v>0</v>
      </c>
    </row>
    <row r="2168" spans="1:22" x14ac:dyDescent="0.2">
      <c r="A2168" t="s">
        <v>3543</v>
      </c>
      <c r="B2168" t="s">
        <v>47</v>
      </c>
      <c r="C2168" t="s">
        <v>76</v>
      </c>
      <c r="D2168" t="s">
        <v>77</v>
      </c>
      <c r="E2168" s="1" t="s">
        <v>163</v>
      </c>
      <c r="F2168" t="s">
        <v>224</v>
      </c>
      <c r="G2168">
        <v>41</v>
      </c>
      <c r="H2168">
        <v>276229</v>
      </c>
      <c r="I2168">
        <v>198998</v>
      </c>
      <c r="J2168">
        <v>30</v>
      </c>
      <c r="K2168">
        <v>40</v>
      </c>
      <c r="L2168">
        <v>-77231</v>
      </c>
      <c r="M2168" s="1" t="s">
        <v>3698</v>
      </c>
      <c r="N2168" s="1" t="s">
        <v>3699</v>
      </c>
      <c r="O2168" s="1" t="s">
        <v>3700</v>
      </c>
      <c r="P2168">
        <v>0</v>
      </c>
      <c r="Q2168">
        <v>0</v>
      </c>
      <c r="R2168">
        <v>0</v>
      </c>
      <c r="S2168">
        <v>0</v>
      </c>
      <c r="T2168">
        <v>45.410769389999999</v>
      </c>
      <c r="U2168">
        <f t="shared" si="66"/>
        <v>0</v>
      </c>
      <c r="V2168">
        <f t="shared" si="67"/>
        <v>0</v>
      </c>
    </row>
    <row r="2169" spans="1:22" x14ac:dyDescent="0.2">
      <c r="A2169" t="s">
        <v>3543</v>
      </c>
      <c r="B2169" t="s">
        <v>47</v>
      </c>
      <c r="C2169" t="s">
        <v>76</v>
      </c>
      <c r="D2169" t="s">
        <v>77</v>
      </c>
      <c r="E2169" s="1" t="s">
        <v>155</v>
      </c>
      <c r="F2169" t="s">
        <v>156</v>
      </c>
      <c r="G2169" s="1" t="s">
        <v>85</v>
      </c>
      <c r="H2169">
        <v>3957</v>
      </c>
      <c r="I2169">
        <v>148118</v>
      </c>
      <c r="J2169">
        <v>65</v>
      </c>
      <c r="K2169">
        <v>36</v>
      </c>
      <c r="L2169">
        <v>144161</v>
      </c>
      <c r="M2169" s="1" t="s">
        <v>3701</v>
      </c>
      <c r="N2169" s="1" t="s">
        <v>3702</v>
      </c>
      <c r="O2169" s="1" t="s">
        <v>3703</v>
      </c>
      <c r="P2169">
        <v>0</v>
      </c>
      <c r="Q2169">
        <v>0</v>
      </c>
      <c r="R2169">
        <v>0</v>
      </c>
      <c r="S2169">
        <v>0</v>
      </c>
      <c r="T2169">
        <v>45.410769389999999</v>
      </c>
      <c r="U2169">
        <f t="shared" si="66"/>
        <v>0</v>
      </c>
      <c r="V2169">
        <f t="shared" si="67"/>
        <v>0</v>
      </c>
    </row>
    <row r="2170" spans="1:22" x14ac:dyDescent="0.2">
      <c r="A2170" t="s">
        <v>3543</v>
      </c>
      <c r="B2170" t="s">
        <v>47</v>
      </c>
      <c r="C2170" t="s">
        <v>76</v>
      </c>
      <c r="D2170" t="s">
        <v>77</v>
      </c>
      <c r="E2170" s="1" t="s">
        <v>138</v>
      </c>
      <c r="F2170" t="s">
        <v>139</v>
      </c>
      <c r="G2170">
        <v>18</v>
      </c>
      <c r="H2170">
        <v>23068</v>
      </c>
      <c r="I2170">
        <v>10625</v>
      </c>
      <c r="J2170">
        <v>79</v>
      </c>
      <c r="K2170">
        <v>72</v>
      </c>
      <c r="L2170">
        <v>-12443</v>
      </c>
      <c r="M2170" s="1" t="s">
        <v>3704</v>
      </c>
      <c r="N2170" s="1" t="s">
        <v>3705</v>
      </c>
      <c r="O2170" s="1" t="s">
        <v>3706</v>
      </c>
      <c r="P2170">
        <v>0</v>
      </c>
      <c r="Q2170">
        <v>0</v>
      </c>
      <c r="R2170">
        <v>0</v>
      </c>
      <c r="S2170">
        <v>0</v>
      </c>
      <c r="T2170">
        <v>45.410769389999999</v>
      </c>
      <c r="U2170">
        <f t="shared" si="66"/>
        <v>0</v>
      </c>
      <c r="V2170">
        <f t="shared" si="67"/>
        <v>0</v>
      </c>
    </row>
    <row r="2171" spans="1:22" x14ac:dyDescent="0.2">
      <c r="A2171" t="s">
        <v>3543</v>
      </c>
      <c r="B2171" t="s">
        <v>47</v>
      </c>
      <c r="C2171" t="s">
        <v>76</v>
      </c>
      <c r="D2171" t="s">
        <v>77</v>
      </c>
      <c r="E2171" s="1" t="s">
        <v>138</v>
      </c>
      <c r="F2171" t="s">
        <v>139</v>
      </c>
      <c r="G2171">
        <v>16</v>
      </c>
      <c r="H2171">
        <v>0</v>
      </c>
      <c r="I2171">
        <v>150</v>
      </c>
      <c r="J2171">
        <v>83</v>
      </c>
      <c r="K2171">
        <v>67</v>
      </c>
      <c r="L2171">
        <v>150</v>
      </c>
      <c r="M2171">
        <v>0</v>
      </c>
      <c r="N2171">
        <v>1</v>
      </c>
      <c r="O2171" s="1" t="s">
        <v>3707</v>
      </c>
      <c r="P2171">
        <v>0</v>
      </c>
      <c r="Q2171">
        <v>0</v>
      </c>
      <c r="R2171">
        <v>0</v>
      </c>
      <c r="S2171">
        <v>0</v>
      </c>
      <c r="T2171">
        <v>45.410769389999999</v>
      </c>
      <c r="U2171">
        <f t="shared" si="66"/>
        <v>0</v>
      </c>
      <c r="V2171">
        <f t="shared" si="67"/>
        <v>0</v>
      </c>
    </row>
    <row r="2172" spans="1:22" x14ac:dyDescent="0.2">
      <c r="A2172" t="s">
        <v>3543</v>
      </c>
      <c r="B2172" t="s">
        <v>47</v>
      </c>
      <c r="C2172" t="s">
        <v>76</v>
      </c>
      <c r="D2172" t="s">
        <v>77</v>
      </c>
      <c r="E2172" s="1" t="s">
        <v>138</v>
      </c>
      <c r="F2172" t="s">
        <v>139</v>
      </c>
      <c r="G2172">
        <v>17</v>
      </c>
      <c r="H2172">
        <v>193848</v>
      </c>
      <c r="I2172">
        <v>2934</v>
      </c>
      <c r="J2172">
        <v>69</v>
      </c>
      <c r="K2172">
        <v>77</v>
      </c>
      <c r="L2172">
        <v>-190914</v>
      </c>
      <c r="M2172" s="1" t="s">
        <v>3708</v>
      </c>
      <c r="N2172" s="1" t="s">
        <v>3709</v>
      </c>
      <c r="O2172" s="1" t="s">
        <v>3710</v>
      </c>
      <c r="P2172">
        <v>0</v>
      </c>
      <c r="Q2172">
        <v>0</v>
      </c>
      <c r="R2172">
        <v>0</v>
      </c>
      <c r="S2172">
        <v>0</v>
      </c>
      <c r="T2172">
        <v>45.410769389999999</v>
      </c>
      <c r="U2172">
        <f t="shared" si="66"/>
        <v>0</v>
      </c>
      <c r="V2172">
        <f t="shared" si="67"/>
        <v>0</v>
      </c>
    </row>
    <row r="2173" spans="1:22" x14ac:dyDescent="0.2">
      <c r="A2173" t="s">
        <v>3543</v>
      </c>
      <c r="B2173" t="s">
        <v>47</v>
      </c>
      <c r="C2173" t="s">
        <v>76</v>
      </c>
      <c r="D2173" t="s">
        <v>77</v>
      </c>
      <c r="E2173" s="1" t="s">
        <v>110</v>
      </c>
      <c r="F2173" t="s">
        <v>111</v>
      </c>
      <c r="G2173">
        <v>15</v>
      </c>
      <c r="H2173">
        <v>29</v>
      </c>
      <c r="I2173">
        <v>106345</v>
      </c>
      <c r="J2173">
        <v>107</v>
      </c>
      <c r="K2173">
        <v>57</v>
      </c>
      <c r="L2173">
        <v>106316</v>
      </c>
      <c r="M2173" s="1" t="s">
        <v>3711</v>
      </c>
      <c r="N2173">
        <v>0.99972737699061798</v>
      </c>
      <c r="O2173" s="1" t="s">
        <v>3712</v>
      </c>
      <c r="P2173">
        <v>0</v>
      </c>
      <c r="Q2173">
        <v>0</v>
      </c>
      <c r="R2173">
        <v>0</v>
      </c>
      <c r="S2173">
        <v>0</v>
      </c>
      <c r="T2173">
        <v>45.410769389999999</v>
      </c>
      <c r="U2173">
        <f t="shared" si="66"/>
        <v>0</v>
      </c>
      <c r="V2173">
        <f t="shared" si="67"/>
        <v>0</v>
      </c>
    </row>
    <row r="2174" spans="1:22" x14ac:dyDescent="0.2">
      <c r="A2174" t="s">
        <v>3543</v>
      </c>
      <c r="B2174" t="s">
        <v>47</v>
      </c>
      <c r="C2174" t="s">
        <v>76</v>
      </c>
      <c r="D2174" t="s">
        <v>77</v>
      </c>
      <c r="E2174" s="1" t="s">
        <v>163</v>
      </c>
      <c r="F2174" t="s">
        <v>224</v>
      </c>
      <c r="G2174">
        <v>43</v>
      </c>
      <c r="H2174">
        <v>0</v>
      </c>
      <c r="I2174">
        <v>145234</v>
      </c>
      <c r="J2174">
        <v>60</v>
      </c>
      <c r="K2174">
        <v>35</v>
      </c>
      <c r="L2174">
        <v>145234</v>
      </c>
      <c r="M2174">
        <v>0</v>
      </c>
      <c r="N2174">
        <v>1</v>
      </c>
      <c r="O2174" s="1" t="s">
        <v>3713</v>
      </c>
      <c r="P2174">
        <v>0</v>
      </c>
      <c r="Q2174">
        <v>0</v>
      </c>
      <c r="R2174">
        <v>0</v>
      </c>
      <c r="S2174">
        <v>0</v>
      </c>
      <c r="T2174">
        <v>45.410769389999999</v>
      </c>
      <c r="U2174">
        <f t="shared" si="66"/>
        <v>0</v>
      </c>
      <c r="V2174">
        <f t="shared" si="67"/>
        <v>0</v>
      </c>
    </row>
    <row r="2175" spans="1:22" x14ac:dyDescent="0.2">
      <c r="A2175" t="s">
        <v>3543</v>
      </c>
      <c r="B2175" t="s">
        <v>47</v>
      </c>
      <c r="C2175" t="s">
        <v>76</v>
      </c>
      <c r="D2175" t="s">
        <v>77</v>
      </c>
      <c r="E2175">
        <v>17</v>
      </c>
      <c r="F2175" t="s">
        <v>97</v>
      </c>
      <c r="G2175">
        <v>86</v>
      </c>
      <c r="H2175">
        <v>30644</v>
      </c>
      <c r="I2175">
        <v>555641</v>
      </c>
      <c r="J2175">
        <v>61</v>
      </c>
      <c r="K2175">
        <v>41</v>
      </c>
      <c r="L2175">
        <v>524997</v>
      </c>
      <c r="M2175">
        <v>5.2268094868536598E-2</v>
      </c>
      <c r="N2175" s="1" t="s">
        <v>3714</v>
      </c>
      <c r="O2175" s="1" t="s">
        <v>3715</v>
      </c>
      <c r="P2175">
        <v>0</v>
      </c>
      <c r="Q2175">
        <v>0</v>
      </c>
      <c r="R2175">
        <v>0</v>
      </c>
      <c r="S2175">
        <v>0</v>
      </c>
      <c r="T2175">
        <v>45.410769389999999</v>
      </c>
      <c r="U2175">
        <f t="shared" si="66"/>
        <v>0</v>
      </c>
      <c r="V2175">
        <f t="shared" si="67"/>
        <v>0</v>
      </c>
    </row>
    <row r="2176" spans="1:22" x14ac:dyDescent="0.2">
      <c r="A2176" t="s">
        <v>3543</v>
      </c>
      <c r="B2176" t="s">
        <v>47</v>
      </c>
      <c r="C2176" t="s">
        <v>76</v>
      </c>
      <c r="D2176" t="s">
        <v>77</v>
      </c>
      <c r="E2176" s="1" t="s">
        <v>82</v>
      </c>
      <c r="F2176" t="s">
        <v>83</v>
      </c>
      <c r="G2176" s="1" t="s">
        <v>89</v>
      </c>
      <c r="H2176">
        <v>150</v>
      </c>
      <c r="I2176">
        <v>377854</v>
      </c>
      <c r="J2176">
        <v>41</v>
      </c>
      <c r="K2176">
        <v>40</v>
      </c>
      <c r="L2176">
        <v>377704</v>
      </c>
      <c r="M2176" s="1" t="s">
        <v>3716</v>
      </c>
      <c r="N2176" s="1" t="s">
        <v>3717</v>
      </c>
      <c r="O2176" s="1" t="s">
        <v>3718</v>
      </c>
      <c r="P2176">
        <v>0</v>
      </c>
      <c r="Q2176">
        <v>0</v>
      </c>
      <c r="R2176">
        <v>0</v>
      </c>
      <c r="S2176">
        <v>0</v>
      </c>
      <c r="T2176">
        <v>45.410769389999999</v>
      </c>
      <c r="U2176">
        <f t="shared" si="66"/>
        <v>0</v>
      </c>
      <c r="V2176">
        <f t="shared" si="67"/>
        <v>0</v>
      </c>
    </row>
    <row r="2177" spans="1:22" x14ac:dyDescent="0.2">
      <c r="A2177" t="s">
        <v>3543</v>
      </c>
      <c r="B2177" t="s">
        <v>47</v>
      </c>
      <c r="C2177" t="s">
        <v>76</v>
      </c>
      <c r="D2177" t="s">
        <v>77</v>
      </c>
      <c r="E2177" s="1" t="s">
        <v>82</v>
      </c>
      <c r="F2177" t="s">
        <v>83</v>
      </c>
      <c r="G2177" s="1" t="s">
        <v>163</v>
      </c>
      <c r="H2177">
        <v>289058</v>
      </c>
      <c r="I2177">
        <v>815669488</v>
      </c>
      <c r="J2177">
        <v>35</v>
      </c>
      <c r="K2177">
        <v>7</v>
      </c>
      <c r="L2177">
        <v>815380430</v>
      </c>
      <c r="M2177" s="1" t="s">
        <v>3719</v>
      </c>
      <c r="N2177" s="1" t="s">
        <v>3720</v>
      </c>
      <c r="O2177" s="1" t="s">
        <v>3721</v>
      </c>
      <c r="P2177">
        <v>0</v>
      </c>
      <c r="Q2177">
        <v>0</v>
      </c>
      <c r="R2177">
        <v>0</v>
      </c>
      <c r="S2177">
        <v>1</v>
      </c>
      <c r="T2177">
        <v>45.410769389999999</v>
      </c>
      <c r="U2177">
        <f t="shared" si="66"/>
        <v>0</v>
      </c>
      <c r="V2177">
        <f t="shared" si="67"/>
        <v>1</v>
      </c>
    </row>
    <row r="2178" spans="1:22" x14ac:dyDescent="0.2">
      <c r="A2178" t="s">
        <v>3543</v>
      </c>
      <c r="B2178" t="s">
        <v>47</v>
      </c>
      <c r="C2178" t="s">
        <v>76</v>
      </c>
      <c r="D2178" t="s">
        <v>77</v>
      </c>
      <c r="E2178">
        <v>11</v>
      </c>
      <c r="F2178" t="s">
        <v>127</v>
      </c>
      <c r="G2178">
        <v>51</v>
      </c>
      <c r="H2178">
        <v>176</v>
      </c>
      <c r="I2178">
        <v>79025</v>
      </c>
      <c r="J2178">
        <v>55</v>
      </c>
      <c r="K2178">
        <v>37</v>
      </c>
      <c r="L2178">
        <v>78849</v>
      </c>
      <c r="M2178">
        <v>2.2221941642150901E-3</v>
      </c>
      <c r="N2178" s="1" t="s">
        <v>3722</v>
      </c>
      <c r="O2178" s="1" t="s">
        <v>3723</v>
      </c>
      <c r="P2178">
        <v>0</v>
      </c>
      <c r="Q2178">
        <v>0</v>
      </c>
      <c r="R2178">
        <v>0</v>
      </c>
      <c r="S2178">
        <v>0</v>
      </c>
      <c r="T2178">
        <v>45.410769389999999</v>
      </c>
      <c r="U2178">
        <f t="shared" si="66"/>
        <v>0</v>
      </c>
      <c r="V2178">
        <f t="shared" si="67"/>
        <v>0</v>
      </c>
    </row>
    <row r="2179" spans="1:22" x14ac:dyDescent="0.2">
      <c r="A2179" t="s">
        <v>3543</v>
      </c>
      <c r="B2179" t="s">
        <v>47</v>
      </c>
      <c r="C2179" t="s">
        <v>76</v>
      </c>
      <c r="D2179" t="s">
        <v>77</v>
      </c>
      <c r="E2179" s="1" t="s">
        <v>85</v>
      </c>
      <c r="F2179" t="s">
        <v>86</v>
      </c>
      <c r="G2179">
        <v>26</v>
      </c>
      <c r="H2179">
        <v>11</v>
      </c>
      <c r="I2179">
        <v>410183692</v>
      </c>
      <c r="J2179">
        <v>63</v>
      </c>
      <c r="K2179">
        <v>2</v>
      </c>
      <c r="L2179">
        <v>410183681</v>
      </c>
      <c r="M2179" s="1" t="s">
        <v>3724</v>
      </c>
      <c r="N2179" s="1" t="s">
        <v>3725</v>
      </c>
      <c r="O2179" s="1" t="s">
        <v>3726</v>
      </c>
      <c r="P2179">
        <v>0</v>
      </c>
      <c r="Q2179">
        <v>1</v>
      </c>
      <c r="R2179">
        <v>0</v>
      </c>
      <c r="S2179">
        <v>1</v>
      </c>
      <c r="T2179">
        <v>45.410769389999999</v>
      </c>
      <c r="U2179">
        <f t="shared" ref="U2179:U2242" si="68">IF(OR(P2179=1,Q2179=1),1,0)</f>
        <v>1</v>
      </c>
      <c r="V2179">
        <f t="shared" ref="V2179:V2242" si="69">IF(OR(R2179=1,S2179=1),1,0)</f>
        <v>1</v>
      </c>
    </row>
    <row r="2180" spans="1:22" x14ac:dyDescent="0.2">
      <c r="A2180" t="s">
        <v>3543</v>
      </c>
      <c r="B2180" t="s">
        <v>47</v>
      </c>
      <c r="C2180" t="s">
        <v>76</v>
      </c>
      <c r="D2180" t="s">
        <v>77</v>
      </c>
      <c r="E2180">
        <v>15</v>
      </c>
      <c r="F2180" t="s">
        <v>88</v>
      </c>
      <c r="G2180">
        <v>79</v>
      </c>
      <c r="H2180">
        <v>0</v>
      </c>
      <c r="I2180">
        <v>1739587</v>
      </c>
      <c r="J2180">
        <v>69</v>
      </c>
      <c r="K2180">
        <v>11</v>
      </c>
      <c r="L2180">
        <v>1739587</v>
      </c>
      <c r="M2180">
        <v>0</v>
      </c>
      <c r="N2180">
        <v>1</v>
      </c>
      <c r="O2180" s="1" t="s">
        <v>3727</v>
      </c>
      <c r="P2180">
        <v>0</v>
      </c>
      <c r="Q2180">
        <v>0</v>
      </c>
      <c r="R2180">
        <v>0</v>
      </c>
      <c r="S2180">
        <v>0</v>
      </c>
      <c r="T2180">
        <v>45.410769389999999</v>
      </c>
      <c r="U2180">
        <f t="shared" si="68"/>
        <v>0</v>
      </c>
      <c r="V2180">
        <f t="shared" si="69"/>
        <v>0</v>
      </c>
    </row>
    <row r="2181" spans="1:22" x14ac:dyDescent="0.2">
      <c r="A2181" t="s">
        <v>3728</v>
      </c>
      <c r="B2181" t="s">
        <v>48</v>
      </c>
      <c r="C2181" t="s">
        <v>76</v>
      </c>
      <c r="D2181" t="s">
        <v>77</v>
      </c>
      <c r="E2181">
        <v>15</v>
      </c>
      <c r="F2181" t="s">
        <v>88</v>
      </c>
      <c r="G2181">
        <v>72</v>
      </c>
      <c r="H2181">
        <v>161304571</v>
      </c>
      <c r="I2181">
        <v>0</v>
      </c>
      <c r="J2181">
        <v>62</v>
      </c>
      <c r="K2181">
        <v>74</v>
      </c>
      <c r="L2181">
        <v>-161304571</v>
      </c>
      <c r="M2181">
        <v>1</v>
      </c>
      <c r="N2181">
        <v>0</v>
      </c>
      <c r="O2181" s="1" t="s">
        <v>3729</v>
      </c>
      <c r="P2181">
        <v>0</v>
      </c>
      <c r="Q2181">
        <v>0</v>
      </c>
      <c r="R2181">
        <v>0</v>
      </c>
      <c r="S2181">
        <v>0</v>
      </c>
      <c r="T2181">
        <v>7.1877201389999996</v>
      </c>
      <c r="U2181">
        <f t="shared" si="68"/>
        <v>0</v>
      </c>
      <c r="V2181">
        <f t="shared" si="69"/>
        <v>0</v>
      </c>
    </row>
    <row r="2182" spans="1:22" x14ac:dyDescent="0.2">
      <c r="A2182" t="s">
        <v>3728</v>
      </c>
      <c r="B2182" t="s">
        <v>48</v>
      </c>
      <c r="C2182" t="s">
        <v>76</v>
      </c>
      <c r="D2182" t="s">
        <v>77</v>
      </c>
      <c r="E2182" s="1" t="s">
        <v>82</v>
      </c>
      <c r="F2182" t="s">
        <v>83</v>
      </c>
      <c r="G2182">
        <v>10</v>
      </c>
      <c r="H2182">
        <v>355773800</v>
      </c>
      <c r="I2182">
        <v>75</v>
      </c>
      <c r="J2182">
        <v>21</v>
      </c>
      <c r="K2182">
        <v>62</v>
      </c>
      <c r="L2182">
        <v>-355773725</v>
      </c>
      <c r="M2182" s="1" t="s">
        <v>3730</v>
      </c>
      <c r="N2182" s="1" t="s">
        <v>3731</v>
      </c>
      <c r="O2182" s="1" t="s">
        <v>3732</v>
      </c>
      <c r="P2182">
        <v>0</v>
      </c>
      <c r="Q2182">
        <v>0</v>
      </c>
      <c r="R2182">
        <v>0</v>
      </c>
      <c r="S2182">
        <v>0</v>
      </c>
      <c r="T2182">
        <v>7.1877201389999996</v>
      </c>
      <c r="U2182">
        <f t="shared" si="68"/>
        <v>0</v>
      </c>
      <c r="V2182">
        <f t="shared" si="69"/>
        <v>0</v>
      </c>
    </row>
    <row r="2183" spans="1:22" x14ac:dyDescent="0.2">
      <c r="A2183" t="s">
        <v>3728</v>
      </c>
      <c r="B2183" t="s">
        <v>48</v>
      </c>
      <c r="C2183" t="s">
        <v>76</v>
      </c>
      <c r="D2183" t="s">
        <v>77</v>
      </c>
      <c r="E2183" s="1" t="s">
        <v>85</v>
      </c>
      <c r="F2183" t="s">
        <v>86</v>
      </c>
      <c r="G2183">
        <v>25</v>
      </c>
      <c r="H2183">
        <v>79733233</v>
      </c>
      <c r="I2183">
        <v>0</v>
      </c>
      <c r="J2183">
        <v>16</v>
      </c>
      <c r="K2183">
        <v>95</v>
      </c>
      <c r="L2183">
        <v>-79733233</v>
      </c>
      <c r="M2183">
        <v>1</v>
      </c>
      <c r="N2183">
        <v>0</v>
      </c>
      <c r="O2183">
        <v>5.17924749428448E-2</v>
      </c>
      <c r="P2183">
        <v>0</v>
      </c>
      <c r="Q2183">
        <v>0</v>
      </c>
      <c r="R2183">
        <v>0</v>
      </c>
      <c r="S2183">
        <v>0</v>
      </c>
      <c r="T2183">
        <v>7.1877201389999996</v>
      </c>
      <c r="U2183">
        <f t="shared" si="68"/>
        <v>0</v>
      </c>
      <c r="V2183">
        <f t="shared" si="69"/>
        <v>0</v>
      </c>
    </row>
    <row r="2184" spans="1:22" x14ac:dyDescent="0.2">
      <c r="A2184" t="s">
        <v>3728</v>
      </c>
      <c r="B2184" t="s">
        <v>48</v>
      </c>
      <c r="C2184" t="s">
        <v>76</v>
      </c>
      <c r="D2184" t="s">
        <v>77</v>
      </c>
      <c r="E2184" s="1" t="s">
        <v>85</v>
      </c>
      <c r="F2184" t="s">
        <v>86</v>
      </c>
      <c r="G2184">
        <v>27</v>
      </c>
      <c r="H2184">
        <v>29074645</v>
      </c>
      <c r="I2184">
        <v>447209</v>
      </c>
      <c r="J2184">
        <v>95</v>
      </c>
      <c r="K2184">
        <v>61</v>
      </c>
      <c r="L2184">
        <v>-28627436</v>
      </c>
      <c r="M2184" s="1" t="s">
        <v>3733</v>
      </c>
      <c r="N2184" s="1" t="s">
        <v>3734</v>
      </c>
      <c r="O2184" s="1" t="s">
        <v>3735</v>
      </c>
      <c r="P2184">
        <v>0</v>
      </c>
      <c r="Q2184">
        <v>0</v>
      </c>
      <c r="R2184">
        <v>0</v>
      </c>
      <c r="S2184">
        <v>0</v>
      </c>
      <c r="T2184">
        <v>7.1877201389999996</v>
      </c>
      <c r="U2184">
        <f t="shared" si="68"/>
        <v>0</v>
      </c>
      <c r="V2184">
        <f t="shared" si="69"/>
        <v>0</v>
      </c>
    </row>
    <row r="2185" spans="1:22" x14ac:dyDescent="0.2">
      <c r="A2185" t="s">
        <v>3728</v>
      </c>
      <c r="B2185" t="s">
        <v>48</v>
      </c>
      <c r="C2185" t="s">
        <v>76</v>
      </c>
      <c r="D2185" t="s">
        <v>77</v>
      </c>
      <c r="E2185">
        <v>10</v>
      </c>
      <c r="F2185" t="s">
        <v>119</v>
      </c>
      <c r="G2185">
        <v>48</v>
      </c>
      <c r="H2185">
        <v>50425075</v>
      </c>
      <c r="I2185">
        <v>161325</v>
      </c>
      <c r="J2185">
        <v>41</v>
      </c>
      <c r="K2185">
        <v>65</v>
      </c>
      <c r="L2185">
        <v>-50263750</v>
      </c>
      <c r="M2185" s="1" t="s">
        <v>3736</v>
      </c>
      <c r="N2185">
        <v>3.18909825565764E-3</v>
      </c>
      <c r="O2185">
        <v>3.2859508587200097E-2</v>
      </c>
      <c r="P2185">
        <v>0</v>
      </c>
      <c r="Q2185">
        <v>0</v>
      </c>
      <c r="R2185">
        <v>0</v>
      </c>
      <c r="S2185">
        <v>0</v>
      </c>
      <c r="T2185">
        <v>7.1877201389999996</v>
      </c>
      <c r="U2185">
        <f t="shared" si="68"/>
        <v>0</v>
      </c>
      <c r="V2185">
        <f t="shared" si="69"/>
        <v>0</v>
      </c>
    </row>
    <row r="2186" spans="1:22" x14ac:dyDescent="0.2">
      <c r="A2186" t="s">
        <v>3728</v>
      </c>
      <c r="B2186" t="s">
        <v>48</v>
      </c>
      <c r="C2186" t="s">
        <v>76</v>
      </c>
      <c r="D2186" t="s">
        <v>77</v>
      </c>
      <c r="E2186" s="1" t="s">
        <v>99</v>
      </c>
      <c r="F2186" t="s">
        <v>100</v>
      </c>
      <c r="G2186">
        <v>40</v>
      </c>
      <c r="H2186">
        <v>31279604</v>
      </c>
      <c r="I2186">
        <v>25257092</v>
      </c>
      <c r="J2186">
        <v>53</v>
      </c>
      <c r="K2186">
        <v>36</v>
      </c>
      <c r="L2186">
        <v>-6022512</v>
      </c>
      <c r="M2186" s="1" t="s">
        <v>3737</v>
      </c>
      <c r="N2186" s="1" t="s">
        <v>3738</v>
      </c>
      <c r="O2186">
        <v>3.6724654209509301E-2</v>
      </c>
      <c r="P2186">
        <v>0</v>
      </c>
      <c r="Q2186">
        <v>0</v>
      </c>
      <c r="R2186">
        <v>0</v>
      </c>
      <c r="S2186">
        <v>0</v>
      </c>
      <c r="T2186">
        <v>7.1877201389999996</v>
      </c>
      <c r="U2186">
        <f t="shared" si="68"/>
        <v>0</v>
      </c>
      <c r="V2186">
        <f t="shared" si="69"/>
        <v>0</v>
      </c>
    </row>
    <row r="2187" spans="1:22" x14ac:dyDescent="0.2">
      <c r="A2187" t="s">
        <v>3728</v>
      </c>
      <c r="B2187" t="s">
        <v>48</v>
      </c>
      <c r="C2187" t="s">
        <v>76</v>
      </c>
      <c r="D2187" t="s">
        <v>77</v>
      </c>
      <c r="E2187" s="1" t="s">
        <v>82</v>
      </c>
      <c r="F2187" t="s">
        <v>83</v>
      </c>
      <c r="G2187" s="1" t="s">
        <v>93</v>
      </c>
      <c r="H2187">
        <v>11661745</v>
      </c>
      <c r="I2187">
        <v>584682164</v>
      </c>
      <c r="J2187">
        <v>14</v>
      </c>
      <c r="K2187">
        <v>3</v>
      </c>
      <c r="L2187">
        <v>573020419</v>
      </c>
      <c r="M2187">
        <v>1.95554022167433E-2</v>
      </c>
      <c r="N2187" s="1" t="s">
        <v>3739</v>
      </c>
      <c r="O2187" s="1" t="s">
        <v>3740</v>
      </c>
      <c r="P2187">
        <v>0</v>
      </c>
      <c r="Q2187">
        <v>1</v>
      </c>
      <c r="R2187">
        <v>0</v>
      </c>
      <c r="S2187">
        <v>1</v>
      </c>
      <c r="T2187">
        <v>7.1877201389999996</v>
      </c>
      <c r="U2187">
        <f t="shared" si="68"/>
        <v>1</v>
      </c>
      <c r="V2187">
        <f t="shared" si="69"/>
        <v>1</v>
      </c>
    </row>
    <row r="2188" spans="1:22" x14ac:dyDescent="0.2">
      <c r="A2188" t="s">
        <v>3728</v>
      </c>
      <c r="B2188" t="s">
        <v>48</v>
      </c>
      <c r="C2188" t="s">
        <v>76</v>
      </c>
      <c r="D2188" t="s">
        <v>77</v>
      </c>
      <c r="E2188" s="1" t="s">
        <v>89</v>
      </c>
      <c r="F2188" t="s">
        <v>90</v>
      </c>
      <c r="G2188">
        <v>30</v>
      </c>
      <c r="H2188">
        <v>27740290</v>
      </c>
      <c r="I2188">
        <v>685443</v>
      </c>
      <c r="J2188">
        <v>19</v>
      </c>
      <c r="K2188">
        <v>65</v>
      </c>
      <c r="L2188">
        <v>-27054847</v>
      </c>
      <c r="M2188" s="1" t="s">
        <v>3741</v>
      </c>
      <c r="N2188">
        <v>2.4113467891927299E-2</v>
      </c>
      <c r="O2188" s="1" t="s">
        <v>3742</v>
      </c>
      <c r="P2188">
        <v>0</v>
      </c>
      <c r="Q2188">
        <v>0</v>
      </c>
      <c r="R2188">
        <v>0</v>
      </c>
      <c r="S2188">
        <v>0</v>
      </c>
      <c r="T2188">
        <v>7.1877201389999996</v>
      </c>
      <c r="U2188">
        <f t="shared" si="68"/>
        <v>0</v>
      </c>
      <c r="V2188">
        <f t="shared" si="69"/>
        <v>0</v>
      </c>
    </row>
    <row r="2189" spans="1:22" x14ac:dyDescent="0.2">
      <c r="A2189" t="s">
        <v>3728</v>
      </c>
      <c r="B2189" t="s">
        <v>48</v>
      </c>
      <c r="C2189" t="s">
        <v>76</v>
      </c>
      <c r="D2189" t="s">
        <v>77</v>
      </c>
      <c r="E2189" s="1" t="s">
        <v>82</v>
      </c>
      <c r="F2189" t="s">
        <v>83</v>
      </c>
      <c r="G2189" s="1" t="s">
        <v>99</v>
      </c>
      <c r="H2189">
        <v>5016065</v>
      </c>
      <c r="I2189">
        <v>33387</v>
      </c>
      <c r="J2189">
        <v>42</v>
      </c>
      <c r="K2189">
        <v>68</v>
      </c>
      <c r="L2189">
        <v>-4982678</v>
      </c>
      <c r="M2189" s="1" t="s">
        <v>3743</v>
      </c>
      <c r="N2189">
        <v>6.6120046294132501E-3</v>
      </c>
      <c r="O2189">
        <v>3.27998259126276E-3</v>
      </c>
      <c r="P2189">
        <v>0</v>
      </c>
      <c r="Q2189">
        <v>0</v>
      </c>
      <c r="R2189">
        <v>0</v>
      </c>
      <c r="S2189">
        <v>0</v>
      </c>
      <c r="T2189">
        <v>7.1877201389999996</v>
      </c>
      <c r="U2189">
        <f t="shared" si="68"/>
        <v>0</v>
      </c>
      <c r="V2189">
        <f t="shared" si="69"/>
        <v>0</v>
      </c>
    </row>
    <row r="2190" spans="1:22" x14ac:dyDescent="0.2">
      <c r="A2190" t="s">
        <v>3728</v>
      </c>
      <c r="B2190" t="s">
        <v>48</v>
      </c>
      <c r="C2190" t="s">
        <v>76</v>
      </c>
      <c r="D2190" t="s">
        <v>77</v>
      </c>
      <c r="E2190">
        <v>16</v>
      </c>
      <c r="F2190" t="s">
        <v>95</v>
      </c>
      <c r="G2190">
        <v>84</v>
      </c>
      <c r="H2190">
        <v>3281943</v>
      </c>
      <c r="I2190">
        <v>791399</v>
      </c>
      <c r="J2190">
        <v>87</v>
      </c>
      <c r="K2190">
        <v>78</v>
      </c>
      <c r="L2190">
        <v>-2490544</v>
      </c>
      <c r="M2190" s="1" t="s">
        <v>3744</v>
      </c>
      <c r="N2190" s="1" t="s">
        <v>3745</v>
      </c>
      <c r="O2190">
        <v>2.6459288747094599E-3</v>
      </c>
      <c r="P2190">
        <v>0</v>
      </c>
      <c r="Q2190">
        <v>0</v>
      </c>
      <c r="R2190">
        <v>0</v>
      </c>
      <c r="S2190">
        <v>0</v>
      </c>
      <c r="T2190">
        <v>7.1877201389999996</v>
      </c>
      <c r="U2190">
        <f t="shared" si="68"/>
        <v>0</v>
      </c>
      <c r="V2190">
        <f t="shared" si="69"/>
        <v>0</v>
      </c>
    </row>
    <row r="2191" spans="1:22" x14ac:dyDescent="0.2">
      <c r="A2191" t="s">
        <v>3728</v>
      </c>
      <c r="B2191" t="s">
        <v>48</v>
      </c>
      <c r="C2191" t="s">
        <v>76</v>
      </c>
      <c r="D2191" t="s">
        <v>77</v>
      </c>
      <c r="E2191" s="1" t="s">
        <v>93</v>
      </c>
      <c r="F2191" t="s">
        <v>94</v>
      </c>
      <c r="G2191">
        <v>44</v>
      </c>
      <c r="H2191">
        <v>3088231</v>
      </c>
      <c r="I2191">
        <v>54145</v>
      </c>
      <c r="J2191">
        <v>84</v>
      </c>
      <c r="K2191">
        <v>66</v>
      </c>
      <c r="L2191">
        <v>-3034086</v>
      </c>
      <c r="M2191" s="1" t="s">
        <v>3746</v>
      </c>
      <c r="N2191" s="1" t="s">
        <v>3747</v>
      </c>
      <c r="O2191">
        <v>2.0411994361372102E-3</v>
      </c>
      <c r="P2191">
        <v>0</v>
      </c>
      <c r="Q2191">
        <v>0</v>
      </c>
      <c r="R2191">
        <v>0</v>
      </c>
      <c r="S2191">
        <v>0</v>
      </c>
      <c r="T2191">
        <v>7.1877201389999996</v>
      </c>
      <c r="U2191">
        <f t="shared" si="68"/>
        <v>0</v>
      </c>
      <c r="V2191">
        <f t="shared" si="69"/>
        <v>0</v>
      </c>
    </row>
    <row r="2192" spans="1:22" x14ac:dyDescent="0.2">
      <c r="A2192" t="s">
        <v>3728</v>
      </c>
      <c r="B2192" t="s">
        <v>48</v>
      </c>
      <c r="C2192" t="s">
        <v>76</v>
      </c>
      <c r="D2192" t="s">
        <v>77</v>
      </c>
      <c r="E2192" s="1" t="s">
        <v>138</v>
      </c>
      <c r="F2192" t="s">
        <v>139</v>
      </c>
      <c r="G2192">
        <v>17</v>
      </c>
      <c r="H2192">
        <v>305833</v>
      </c>
      <c r="I2192">
        <v>74940</v>
      </c>
      <c r="J2192">
        <v>62</v>
      </c>
      <c r="K2192">
        <v>67</v>
      </c>
      <c r="L2192">
        <v>-230893</v>
      </c>
      <c r="M2192" s="1" t="s">
        <v>3748</v>
      </c>
      <c r="N2192" s="1" t="s">
        <v>3749</v>
      </c>
      <c r="O2192" s="1" t="s">
        <v>3750</v>
      </c>
      <c r="P2192">
        <v>0</v>
      </c>
      <c r="Q2192">
        <v>0</v>
      </c>
      <c r="R2192">
        <v>0</v>
      </c>
      <c r="S2192">
        <v>0</v>
      </c>
      <c r="T2192">
        <v>7.1877201389999996</v>
      </c>
      <c r="U2192">
        <f t="shared" si="68"/>
        <v>0</v>
      </c>
      <c r="V2192">
        <f t="shared" si="69"/>
        <v>0</v>
      </c>
    </row>
    <row r="2193" spans="1:22" x14ac:dyDescent="0.2">
      <c r="A2193" t="s">
        <v>3728</v>
      </c>
      <c r="B2193" t="s">
        <v>48</v>
      </c>
      <c r="C2193" t="s">
        <v>76</v>
      </c>
      <c r="D2193" t="s">
        <v>77</v>
      </c>
      <c r="E2193" s="1" t="s">
        <v>99</v>
      </c>
      <c r="F2193" t="s">
        <v>100</v>
      </c>
      <c r="G2193">
        <v>39</v>
      </c>
      <c r="H2193">
        <v>1157640</v>
      </c>
      <c r="I2193">
        <v>26318</v>
      </c>
      <c r="J2193">
        <v>85</v>
      </c>
      <c r="K2193">
        <v>87</v>
      </c>
      <c r="L2193">
        <v>-1131322</v>
      </c>
      <c r="M2193" s="1" t="s">
        <v>3751</v>
      </c>
      <c r="N2193">
        <v>2.2228829063193099E-2</v>
      </c>
      <c r="O2193" s="1" t="s">
        <v>3752</v>
      </c>
      <c r="P2193">
        <v>0</v>
      </c>
      <c r="Q2193">
        <v>0</v>
      </c>
      <c r="R2193">
        <v>0</v>
      </c>
      <c r="S2193">
        <v>0</v>
      </c>
      <c r="T2193">
        <v>7.1877201389999996</v>
      </c>
      <c r="U2193">
        <f t="shared" si="68"/>
        <v>0</v>
      </c>
      <c r="V2193">
        <f t="shared" si="69"/>
        <v>0</v>
      </c>
    </row>
    <row r="2194" spans="1:22" x14ac:dyDescent="0.2">
      <c r="A2194" t="s">
        <v>3728</v>
      </c>
      <c r="B2194" t="s">
        <v>48</v>
      </c>
      <c r="C2194" t="s">
        <v>76</v>
      </c>
      <c r="D2194" t="s">
        <v>77</v>
      </c>
      <c r="E2194">
        <v>17</v>
      </c>
      <c r="F2194" t="s">
        <v>97</v>
      </c>
      <c r="G2194">
        <v>88</v>
      </c>
      <c r="H2194">
        <v>6396732</v>
      </c>
      <c r="I2194">
        <v>110</v>
      </c>
      <c r="J2194">
        <v>44</v>
      </c>
      <c r="K2194">
        <v>84</v>
      </c>
      <c r="L2194">
        <v>-6396622</v>
      </c>
      <c r="M2194" s="1" t="s">
        <v>3753</v>
      </c>
      <c r="N2194" s="1" t="s">
        <v>3754</v>
      </c>
      <c r="O2194">
        <v>4.15520939679365E-3</v>
      </c>
      <c r="P2194">
        <v>0</v>
      </c>
      <c r="Q2194">
        <v>0</v>
      </c>
      <c r="R2194">
        <v>0</v>
      </c>
      <c r="S2194">
        <v>0</v>
      </c>
      <c r="T2194">
        <v>7.1877201389999996</v>
      </c>
      <c r="U2194">
        <f t="shared" si="68"/>
        <v>0</v>
      </c>
      <c r="V2194">
        <f t="shared" si="69"/>
        <v>0</v>
      </c>
    </row>
    <row r="2195" spans="1:22" x14ac:dyDescent="0.2">
      <c r="A2195" t="s">
        <v>3728</v>
      </c>
      <c r="B2195" t="s">
        <v>48</v>
      </c>
      <c r="C2195" t="s">
        <v>76</v>
      </c>
      <c r="D2195" t="s">
        <v>77</v>
      </c>
      <c r="E2195" s="1" t="s">
        <v>89</v>
      </c>
      <c r="F2195" t="s">
        <v>90</v>
      </c>
      <c r="G2195">
        <v>28</v>
      </c>
      <c r="H2195">
        <v>10737359</v>
      </c>
      <c r="I2195">
        <v>0</v>
      </c>
      <c r="J2195">
        <v>73</v>
      </c>
      <c r="K2195">
        <v>85</v>
      </c>
      <c r="L2195">
        <v>-10737359</v>
      </c>
      <c r="M2195">
        <v>1</v>
      </c>
      <c r="N2195">
        <v>0</v>
      </c>
      <c r="O2195">
        <v>6.9746876683130302E-3</v>
      </c>
      <c r="P2195">
        <v>0</v>
      </c>
      <c r="Q2195">
        <v>0</v>
      </c>
      <c r="R2195">
        <v>0</v>
      </c>
      <c r="S2195">
        <v>0</v>
      </c>
      <c r="T2195">
        <v>7.1877201389999996</v>
      </c>
      <c r="U2195">
        <f t="shared" si="68"/>
        <v>0</v>
      </c>
      <c r="V2195">
        <f t="shared" si="69"/>
        <v>0</v>
      </c>
    </row>
    <row r="2196" spans="1:22" x14ac:dyDescent="0.2">
      <c r="A2196" t="s">
        <v>3728</v>
      </c>
      <c r="B2196" t="s">
        <v>48</v>
      </c>
      <c r="C2196" t="s">
        <v>76</v>
      </c>
      <c r="D2196" t="s">
        <v>77</v>
      </c>
      <c r="E2196">
        <v>10</v>
      </c>
      <c r="F2196" t="s">
        <v>119</v>
      </c>
      <c r="G2196">
        <v>47</v>
      </c>
      <c r="H2196">
        <v>328218</v>
      </c>
      <c r="I2196">
        <v>0</v>
      </c>
      <c r="J2196">
        <v>59</v>
      </c>
      <c r="K2196">
        <v>37</v>
      </c>
      <c r="L2196">
        <v>-328218</v>
      </c>
      <c r="M2196">
        <v>1</v>
      </c>
      <c r="N2196">
        <v>0</v>
      </c>
      <c r="O2196" s="1" t="s">
        <v>3755</v>
      </c>
      <c r="P2196">
        <v>0</v>
      </c>
      <c r="Q2196">
        <v>0</v>
      </c>
      <c r="R2196">
        <v>0</v>
      </c>
      <c r="S2196">
        <v>0</v>
      </c>
      <c r="T2196">
        <v>7.1877201389999996</v>
      </c>
      <c r="U2196">
        <f t="shared" si="68"/>
        <v>0</v>
      </c>
      <c r="V2196">
        <f t="shared" si="69"/>
        <v>0</v>
      </c>
    </row>
    <row r="2197" spans="1:22" x14ac:dyDescent="0.2">
      <c r="A2197" t="s">
        <v>3728</v>
      </c>
      <c r="B2197" t="s">
        <v>48</v>
      </c>
      <c r="C2197" t="s">
        <v>76</v>
      </c>
      <c r="D2197" t="s">
        <v>77</v>
      </c>
      <c r="E2197" s="1" t="s">
        <v>138</v>
      </c>
      <c r="F2197" t="s">
        <v>139</v>
      </c>
      <c r="G2197">
        <v>22</v>
      </c>
      <c r="H2197">
        <v>394859</v>
      </c>
      <c r="I2197">
        <v>11200</v>
      </c>
      <c r="J2197">
        <v>86</v>
      </c>
      <c r="K2197">
        <v>82</v>
      </c>
      <c r="L2197">
        <v>-383659</v>
      </c>
      <c r="M2197" s="1" t="s">
        <v>3756</v>
      </c>
      <c r="N2197">
        <v>2.7582198646009502E-2</v>
      </c>
      <c r="O2197" s="1" t="s">
        <v>3757</v>
      </c>
      <c r="P2197">
        <v>0</v>
      </c>
      <c r="Q2197">
        <v>0</v>
      </c>
      <c r="R2197">
        <v>0</v>
      </c>
      <c r="S2197">
        <v>0</v>
      </c>
      <c r="T2197">
        <v>7.1877201389999996</v>
      </c>
      <c r="U2197">
        <f t="shared" si="68"/>
        <v>0</v>
      </c>
      <c r="V2197">
        <f t="shared" si="69"/>
        <v>0</v>
      </c>
    </row>
    <row r="2198" spans="1:22" x14ac:dyDescent="0.2">
      <c r="A2198" t="s">
        <v>3728</v>
      </c>
      <c r="B2198" t="s">
        <v>48</v>
      </c>
      <c r="C2198" t="s">
        <v>76</v>
      </c>
      <c r="D2198" t="s">
        <v>77</v>
      </c>
      <c r="E2198">
        <v>16</v>
      </c>
      <c r="F2198" t="s">
        <v>95</v>
      </c>
      <c r="G2198">
        <v>85</v>
      </c>
      <c r="H2198">
        <v>888226</v>
      </c>
      <c r="I2198">
        <v>6005612</v>
      </c>
      <c r="J2198">
        <v>101</v>
      </c>
      <c r="K2198">
        <v>61</v>
      </c>
      <c r="L2198">
        <v>5117386</v>
      </c>
      <c r="M2198" s="1" t="s">
        <v>3758</v>
      </c>
      <c r="N2198" s="1" t="s">
        <v>3759</v>
      </c>
      <c r="O2198">
        <v>4.4780440782456604E-3</v>
      </c>
      <c r="P2198">
        <v>0</v>
      </c>
      <c r="Q2198">
        <v>0</v>
      </c>
      <c r="R2198">
        <v>0</v>
      </c>
      <c r="S2198">
        <v>0</v>
      </c>
      <c r="T2198">
        <v>7.1877201389999996</v>
      </c>
      <c r="U2198">
        <f t="shared" si="68"/>
        <v>0</v>
      </c>
      <c r="V2198">
        <f t="shared" si="69"/>
        <v>0</v>
      </c>
    </row>
    <row r="2199" spans="1:22" x14ac:dyDescent="0.2">
      <c r="A2199" t="s">
        <v>3728</v>
      </c>
      <c r="B2199" t="s">
        <v>48</v>
      </c>
      <c r="C2199" t="s">
        <v>76</v>
      </c>
      <c r="D2199" t="s">
        <v>77</v>
      </c>
      <c r="E2199" s="1" t="s">
        <v>89</v>
      </c>
      <c r="F2199" t="s">
        <v>90</v>
      </c>
      <c r="G2199">
        <v>33</v>
      </c>
      <c r="H2199">
        <v>322581</v>
      </c>
      <c r="I2199">
        <v>538357</v>
      </c>
      <c r="J2199">
        <v>84</v>
      </c>
      <c r="K2199">
        <v>57</v>
      </c>
      <c r="L2199">
        <v>215776</v>
      </c>
      <c r="M2199" s="1" t="s">
        <v>3760</v>
      </c>
      <c r="N2199" s="1" t="s">
        <v>3761</v>
      </c>
      <c r="O2199" s="1" t="s">
        <v>3762</v>
      </c>
      <c r="P2199">
        <v>0</v>
      </c>
      <c r="Q2199">
        <v>0</v>
      </c>
      <c r="R2199">
        <v>0</v>
      </c>
      <c r="S2199">
        <v>0</v>
      </c>
      <c r="T2199">
        <v>7.1877201389999996</v>
      </c>
      <c r="U2199">
        <f t="shared" si="68"/>
        <v>0</v>
      </c>
      <c r="V2199">
        <f t="shared" si="69"/>
        <v>0</v>
      </c>
    </row>
    <row r="2200" spans="1:22" x14ac:dyDescent="0.2">
      <c r="A2200" t="s">
        <v>3728</v>
      </c>
      <c r="B2200" t="s">
        <v>48</v>
      </c>
      <c r="C2200" t="s">
        <v>76</v>
      </c>
      <c r="D2200" t="s">
        <v>77</v>
      </c>
      <c r="E2200">
        <v>15</v>
      </c>
      <c r="F2200" t="s">
        <v>88</v>
      </c>
      <c r="G2200">
        <v>76</v>
      </c>
      <c r="H2200">
        <v>1926359</v>
      </c>
      <c r="I2200">
        <v>6318</v>
      </c>
      <c r="J2200">
        <v>81</v>
      </c>
      <c r="K2200">
        <v>76</v>
      </c>
      <c r="L2200">
        <v>-1920041</v>
      </c>
      <c r="M2200" s="1" t="s">
        <v>3763</v>
      </c>
      <c r="N2200">
        <v>3.2690408174775101E-3</v>
      </c>
      <c r="O2200">
        <v>1.25541284767811E-3</v>
      </c>
      <c r="P2200">
        <v>0</v>
      </c>
      <c r="Q2200">
        <v>0</v>
      </c>
      <c r="R2200">
        <v>0</v>
      </c>
      <c r="S2200">
        <v>0</v>
      </c>
      <c r="T2200">
        <v>7.1877201389999996</v>
      </c>
      <c r="U2200">
        <f t="shared" si="68"/>
        <v>0</v>
      </c>
      <c r="V2200">
        <f t="shared" si="69"/>
        <v>0</v>
      </c>
    </row>
    <row r="2201" spans="1:22" x14ac:dyDescent="0.2">
      <c r="A2201" t="s">
        <v>3728</v>
      </c>
      <c r="B2201" t="s">
        <v>48</v>
      </c>
      <c r="C2201" t="s">
        <v>76</v>
      </c>
      <c r="D2201" t="s">
        <v>77</v>
      </c>
      <c r="E2201">
        <v>13</v>
      </c>
      <c r="F2201" t="s">
        <v>91</v>
      </c>
      <c r="G2201">
        <v>68</v>
      </c>
      <c r="H2201">
        <v>118870</v>
      </c>
      <c r="I2201">
        <v>135</v>
      </c>
      <c r="J2201">
        <v>83</v>
      </c>
      <c r="K2201">
        <v>83</v>
      </c>
      <c r="L2201">
        <v>-118735</v>
      </c>
      <c r="M2201">
        <v>0.99886559388260998</v>
      </c>
      <c r="N2201">
        <v>1.1344061173900199E-3</v>
      </c>
      <c r="O2201" s="1" t="s">
        <v>3764</v>
      </c>
      <c r="P2201">
        <v>0</v>
      </c>
      <c r="Q2201">
        <v>0</v>
      </c>
      <c r="R2201">
        <v>0</v>
      </c>
      <c r="S2201">
        <v>0</v>
      </c>
      <c r="T2201">
        <v>7.1877201389999996</v>
      </c>
      <c r="U2201">
        <f t="shared" si="68"/>
        <v>0</v>
      </c>
      <c r="V2201">
        <f t="shared" si="69"/>
        <v>0</v>
      </c>
    </row>
    <row r="2202" spans="1:22" x14ac:dyDescent="0.2">
      <c r="A2202" t="s">
        <v>3728</v>
      </c>
      <c r="B2202" t="s">
        <v>48</v>
      </c>
      <c r="C2202" t="s">
        <v>76</v>
      </c>
      <c r="D2202" t="s">
        <v>77</v>
      </c>
      <c r="E2202" s="1" t="s">
        <v>89</v>
      </c>
      <c r="F2202" t="s">
        <v>90</v>
      </c>
      <c r="G2202">
        <v>34</v>
      </c>
      <c r="H2202">
        <v>205437</v>
      </c>
      <c r="I2202">
        <v>78951</v>
      </c>
      <c r="J2202">
        <v>74</v>
      </c>
      <c r="K2202">
        <v>63</v>
      </c>
      <c r="L2202">
        <v>-126486</v>
      </c>
      <c r="M2202" s="1" t="s">
        <v>3765</v>
      </c>
      <c r="N2202" s="1" t="s">
        <v>3766</v>
      </c>
      <c r="O2202" s="1" t="s">
        <v>3767</v>
      </c>
      <c r="P2202">
        <v>0</v>
      </c>
      <c r="Q2202">
        <v>0</v>
      </c>
      <c r="R2202">
        <v>0</v>
      </c>
      <c r="S2202">
        <v>0</v>
      </c>
      <c r="T2202">
        <v>7.1877201389999996</v>
      </c>
      <c r="U2202">
        <f t="shared" si="68"/>
        <v>0</v>
      </c>
      <c r="V2202">
        <f t="shared" si="69"/>
        <v>0</v>
      </c>
    </row>
    <row r="2203" spans="1:22" x14ac:dyDescent="0.2">
      <c r="A2203" t="s">
        <v>3728</v>
      </c>
      <c r="B2203" t="s">
        <v>48</v>
      </c>
      <c r="C2203" t="s">
        <v>76</v>
      </c>
      <c r="D2203" t="s">
        <v>77</v>
      </c>
      <c r="E2203">
        <v>18</v>
      </c>
      <c r="F2203" t="s">
        <v>147</v>
      </c>
      <c r="G2203">
        <v>90</v>
      </c>
      <c r="H2203">
        <v>404788</v>
      </c>
      <c r="I2203">
        <v>2</v>
      </c>
      <c r="J2203">
        <v>94</v>
      </c>
      <c r="K2203">
        <v>102</v>
      </c>
      <c r="L2203">
        <v>-404786</v>
      </c>
      <c r="M2203" s="1" t="s">
        <v>3768</v>
      </c>
      <c r="N2203" s="1" t="s">
        <v>3769</v>
      </c>
      <c r="O2203" s="1" t="s">
        <v>3770</v>
      </c>
      <c r="P2203">
        <v>0</v>
      </c>
      <c r="Q2203">
        <v>0</v>
      </c>
      <c r="R2203">
        <v>0</v>
      </c>
      <c r="S2203">
        <v>0</v>
      </c>
      <c r="T2203">
        <v>7.1877201389999996</v>
      </c>
      <c r="U2203">
        <f t="shared" si="68"/>
        <v>0</v>
      </c>
      <c r="V2203">
        <f t="shared" si="69"/>
        <v>0</v>
      </c>
    </row>
    <row r="2204" spans="1:22" x14ac:dyDescent="0.2">
      <c r="A2204" t="s">
        <v>3728</v>
      </c>
      <c r="B2204" t="s">
        <v>48</v>
      </c>
      <c r="C2204" t="s">
        <v>76</v>
      </c>
      <c r="D2204" t="s">
        <v>77</v>
      </c>
      <c r="E2204" s="1" t="s">
        <v>138</v>
      </c>
      <c r="F2204" t="s">
        <v>139</v>
      </c>
      <c r="G2204">
        <v>24</v>
      </c>
      <c r="H2204">
        <v>31972</v>
      </c>
      <c r="I2204">
        <v>0</v>
      </c>
      <c r="J2204">
        <v>66</v>
      </c>
      <c r="K2204">
        <v>80</v>
      </c>
      <c r="L2204">
        <v>-31972</v>
      </c>
      <c r="M2204">
        <v>1</v>
      </c>
      <c r="N2204">
        <v>0</v>
      </c>
      <c r="O2204" s="1" t="s">
        <v>3771</v>
      </c>
      <c r="P2204">
        <v>0</v>
      </c>
      <c r="Q2204">
        <v>0</v>
      </c>
      <c r="R2204">
        <v>0</v>
      </c>
      <c r="S2204">
        <v>0</v>
      </c>
      <c r="T2204">
        <v>7.1877201389999996</v>
      </c>
      <c r="U2204">
        <f t="shared" si="68"/>
        <v>0</v>
      </c>
      <c r="V2204">
        <f t="shared" si="69"/>
        <v>0</v>
      </c>
    </row>
    <row r="2205" spans="1:22" x14ac:dyDescent="0.2">
      <c r="A2205" t="s">
        <v>3728</v>
      </c>
      <c r="B2205" t="s">
        <v>48</v>
      </c>
      <c r="C2205" t="s">
        <v>76</v>
      </c>
      <c r="D2205" t="s">
        <v>77</v>
      </c>
      <c r="E2205" s="1" t="s">
        <v>89</v>
      </c>
      <c r="F2205" t="s">
        <v>90</v>
      </c>
      <c r="G2205">
        <v>38</v>
      </c>
      <c r="H2205">
        <v>74133</v>
      </c>
      <c r="I2205">
        <v>5039088</v>
      </c>
      <c r="J2205">
        <v>103</v>
      </c>
      <c r="K2205">
        <v>51</v>
      </c>
      <c r="L2205">
        <v>4964955</v>
      </c>
      <c r="M2205" s="1" t="s">
        <v>3772</v>
      </c>
      <c r="N2205" s="1" t="s">
        <v>3773</v>
      </c>
      <c r="O2205">
        <v>3.3214051475841701E-3</v>
      </c>
      <c r="P2205">
        <v>0</v>
      </c>
      <c r="Q2205">
        <v>0</v>
      </c>
      <c r="R2205">
        <v>0</v>
      </c>
      <c r="S2205">
        <v>0</v>
      </c>
      <c r="T2205">
        <v>7.1877201389999996</v>
      </c>
      <c r="U2205">
        <f t="shared" si="68"/>
        <v>0</v>
      </c>
      <c r="V2205">
        <f t="shared" si="69"/>
        <v>0</v>
      </c>
    </row>
    <row r="2206" spans="1:22" x14ac:dyDescent="0.2">
      <c r="A2206" t="s">
        <v>3728</v>
      </c>
      <c r="B2206" t="s">
        <v>48</v>
      </c>
      <c r="C2206" t="s">
        <v>76</v>
      </c>
      <c r="D2206" t="s">
        <v>77</v>
      </c>
      <c r="E2206">
        <v>15</v>
      </c>
      <c r="F2206" t="s">
        <v>88</v>
      </c>
      <c r="G2206">
        <v>82</v>
      </c>
      <c r="H2206">
        <v>16963</v>
      </c>
      <c r="I2206">
        <v>33842</v>
      </c>
      <c r="J2206">
        <v>111</v>
      </c>
      <c r="K2206">
        <v>71</v>
      </c>
      <c r="L2206">
        <v>16879</v>
      </c>
      <c r="M2206" s="1" t="s">
        <v>3774</v>
      </c>
      <c r="N2206" s="1" t="s">
        <v>3775</v>
      </c>
      <c r="O2206" s="1" t="s">
        <v>3776</v>
      </c>
      <c r="P2206">
        <v>0</v>
      </c>
      <c r="Q2206">
        <v>0</v>
      </c>
      <c r="R2206">
        <v>0</v>
      </c>
      <c r="S2206">
        <v>0</v>
      </c>
      <c r="T2206">
        <v>7.1877201389999996</v>
      </c>
      <c r="U2206">
        <f t="shared" si="68"/>
        <v>0</v>
      </c>
      <c r="V2206">
        <f t="shared" si="69"/>
        <v>0</v>
      </c>
    </row>
    <row r="2207" spans="1:22" x14ac:dyDescent="0.2">
      <c r="A2207" t="s">
        <v>3728</v>
      </c>
      <c r="B2207" t="s">
        <v>48</v>
      </c>
      <c r="C2207" t="s">
        <v>76</v>
      </c>
      <c r="D2207" t="s">
        <v>77</v>
      </c>
      <c r="E2207" s="1" t="s">
        <v>82</v>
      </c>
      <c r="F2207" t="s">
        <v>83</v>
      </c>
      <c r="G2207">
        <v>11</v>
      </c>
      <c r="H2207">
        <v>2880</v>
      </c>
      <c r="I2207">
        <v>305013</v>
      </c>
      <c r="J2207">
        <v>94</v>
      </c>
      <c r="K2207">
        <v>34</v>
      </c>
      <c r="L2207">
        <v>302133</v>
      </c>
      <c r="M2207">
        <v>9.3538989194298008E-3</v>
      </c>
      <c r="N2207" s="1" t="s">
        <v>3777</v>
      </c>
      <c r="O2207" s="1" t="s">
        <v>3778</v>
      </c>
      <c r="P2207">
        <v>0</v>
      </c>
      <c r="Q2207">
        <v>0</v>
      </c>
      <c r="R2207">
        <v>0</v>
      </c>
      <c r="S2207">
        <v>0</v>
      </c>
      <c r="T2207">
        <v>7.1877201389999996</v>
      </c>
      <c r="U2207">
        <f t="shared" si="68"/>
        <v>0</v>
      </c>
      <c r="V2207">
        <f t="shared" si="69"/>
        <v>0</v>
      </c>
    </row>
    <row r="2208" spans="1:22" x14ac:dyDescent="0.2">
      <c r="A2208" t="s">
        <v>3728</v>
      </c>
      <c r="B2208" t="s">
        <v>48</v>
      </c>
      <c r="C2208" t="s">
        <v>76</v>
      </c>
      <c r="D2208" t="s">
        <v>77</v>
      </c>
      <c r="E2208">
        <v>15</v>
      </c>
      <c r="F2208" t="s">
        <v>88</v>
      </c>
      <c r="G2208">
        <v>83</v>
      </c>
      <c r="H2208">
        <v>1530</v>
      </c>
      <c r="I2208">
        <v>10931</v>
      </c>
      <c r="J2208">
        <v>108</v>
      </c>
      <c r="K2208">
        <v>68</v>
      </c>
      <c r="L2208">
        <v>9401</v>
      </c>
      <c r="M2208" s="1" t="s">
        <v>3779</v>
      </c>
      <c r="N2208" s="1" t="s">
        <v>3780</v>
      </c>
      <c r="O2208" s="1" t="s">
        <v>3781</v>
      </c>
      <c r="P2208">
        <v>0</v>
      </c>
      <c r="Q2208">
        <v>0</v>
      </c>
      <c r="R2208">
        <v>0</v>
      </c>
      <c r="S2208">
        <v>0</v>
      </c>
      <c r="T2208">
        <v>7.1877201389999996</v>
      </c>
      <c r="U2208">
        <f t="shared" si="68"/>
        <v>0</v>
      </c>
      <c r="V2208">
        <f t="shared" si="69"/>
        <v>0</v>
      </c>
    </row>
    <row r="2209" spans="1:22" x14ac:dyDescent="0.2">
      <c r="A2209" t="s">
        <v>3728</v>
      </c>
      <c r="B2209" t="s">
        <v>48</v>
      </c>
      <c r="C2209" t="s">
        <v>76</v>
      </c>
      <c r="D2209" t="s">
        <v>77</v>
      </c>
      <c r="E2209">
        <v>20</v>
      </c>
      <c r="F2209" t="s">
        <v>104</v>
      </c>
      <c r="G2209">
        <v>95</v>
      </c>
      <c r="H2209">
        <v>2828</v>
      </c>
      <c r="I2209">
        <v>196989</v>
      </c>
      <c r="J2209">
        <v>110</v>
      </c>
      <c r="K2209">
        <v>59</v>
      </c>
      <c r="L2209">
        <v>194161</v>
      </c>
      <c r="M2209" s="1" t="s">
        <v>3782</v>
      </c>
      <c r="N2209" s="1" t="s">
        <v>3783</v>
      </c>
      <c r="O2209" s="1" t="s">
        <v>3784</v>
      </c>
      <c r="P2209">
        <v>0</v>
      </c>
      <c r="Q2209">
        <v>0</v>
      </c>
      <c r="R2209">
        <v>0</v>
      </c>
      <c r="S2209">
        <v>0</v>
      </c>
      <c r="T2209">
        <v>7.1877201389999996</v>
      </c>
      <c r="U2209">
        <f t="shared" si="68"/>
        <v>0</v>
      </c>
      <c r="V2209">
        <f t="shared" si="69"/>
        <v>0</v>
      </c>
    </row>
    <row r="2210" spans="1:22" x14ac:dyDescent="0.2">
      <c r="A2210" t="s">
        <v>3728</v>
      </c>
      <c r="B2210" t="s">
        <v>48</v>
      </c>
      <c r="C2210" t="s">
        <v>76</v>
      </c>
      <c r="D2210" t="s">
        <v>77</v>
      </c>
      <c r="E2210" s="1" t="s">
        <v>155</v>
      </c>
      <c r="F2210" t="s">
        <v>156</v>
      </c>
      <c r="G2210" s="1" t="s">
        <v>155</v>
      </c>
      <c r="H2210">
        <v>5154</v>
      </c>
      <c r="I2210">
        <v>0</v>
      </c>
      <c r="J2210">
        <v>66</v>
      </c>
      <c r="K2210">
        <v>76</v>
      </c>
      <c r="L2210">
        <v>-5154</v>
      </c>
      <c r="M2210">
        <v>1</v>
      </c>
      <c r="N2210">
        <v>0</v>
      </c>
      <c r="O2210" s="1" t="s">
        <v>3785</v>
      </c>
      <c r="P2210">
        <v>0</v>
      </c>
      <c r="Q2210">
        <v>0</v>
      </c>
      <c r="R2210">
        <v>0</v>
      </c>
      <c r="S2210">
        <v>0</v>
      </c>
      <c r="T2210">
        <v>7.1877201389999996</v>
      </c>
      <c r="U2210">
        <f t="shared" si="68"/>
        <v>0</v>
      </c>
      <c r="V2210">
        <f t="shared" si="69"/>
        <v>0</v>
      </c>
    </row>
    <row r="2211" spans="1:22" x14ac:dyDescent="0.2">
      <c r="A2211" t="s">
        <v>3728</v>
      </c>
      <c r="B2211" t="s">
        <v>48</v>
      </c>
      <c r="C2211" t="s">
        <v>76</v>
      </c>
      <c r="D2211" t="s">
        <v>77</v>
      </c>
      <c r="E2211">
        <v>17</v>
      </c>
      <c r="F2211" t="s">
        <v>97</v>
      </c>
      <c r="G2211">
        <v>87</v>
      </c>
      <c r="H2211">
        <v>580</v>
      </c>
      <c r="I2211">
        <v>145057</v>
      </c>
      <c r="J2211">
        <v>144</v>
      </c>
      <c r="K2211">
        <v>75</v>
      </c>
      <c r="L2211">
        <v>144477</v>
      </c>
      <c r="M2211">
        <v>3.9825044459855597E-3</v>
      </c>
      <c r="N2211" s="1" t="s">
        <v>3786</v>
      </c>
      <c r="O2211" s="1" t="s">
        <v>3787</v>
      </c>
      <c r="P2211">
        <v>0</v>
      </c>
      <c r="Q2211">
        <v>0</v>
      </c>
      <c r="R2211">
        <v>0</v>
      </c>
      <c r="S2211">
        <v>0</v>
      </c>
      <c r="T2211">
        <v>7.1877201389999996</v>
      </c>
      <c r="U2211">
        <f t="shared" si="68"/>
        <v>0</v>
      </c>
      <c r="V2211">
        <f t="shared" si="69"/>
        <v>0</v>
      </c>
    </row>
    <row r="2212" spans="1:22" x14ac:dyDescent="0.2">
      <c r="A2212" t="s">
        <v>3728</v>
      </c>
      <c r="B2212" t="s">
        <v>48</v>
      </c>
      <c r="C2212" t="s">
        <v>76</v>
      </c>
      <c r="D2212" t="s">
        <v>77</v>
      </c>
      <c r="E2212">
        <v>11</v>
      </c>
      <c r="F2212" t="s">
        <v>127</v>
      </c>
      <c r="G2212">
        <v>63</v>
      </c>
      <c r="H2212">
        <v>14596</v>
      </c>
      <c r="I2212">
        <v>234934</v>
      </c>
      <c r="J2212">
        <v>91</v>
      </c>
      <c r="K2212">
        <v>61</v>
      </c>
      <c r="L2212">
        <v>220338</v>
      </c>
      <c r="M2212" s="1" t="s">
        <v>3788</v>
      </c>
      <c r="N2212" s="1" t="s">
        <v>3789</v>
      </c>
      <c r="O2212" s="1" t="s">
        <v>3790</v>
      </c>
      <c r="P2212">
        <v>0</v>
      </c>
      <c r="Q2212">
        <v>0</v>
      </c>
      <c r="R2212">
        <v>0</v>
      </c>
      <c r="S2212">
        <v>0</v>
      </c>
      <c r="T2212">
        <v>7.1877201389999996</v>
      </c>
      <c r="U2212">
        <f t="shared" si="68"/>
        <v>0</v>
      </c>
      <c r="V2212">
        <f t="shared" si="69"/>
        <v>0</v>
      </c>
    </row>
    <row r="2213" spans="1:22" x14ac:dyDescent="0.2">
      <c r="A2213" t="s">
        <v>3728</v>
      </c>
      <c r="B2213" t="s">
        <v>48</v>
      </c>
      <c r="C2213" t="s">
        <v>76</v>
      </c>
      <c r="D2213" t="s">
        <v>77</v>
      </c>
      <c r="E2213">
        <v>15</v>
      </c>
      <c r="F2213" t="s">
        <v>88</v>
      </c>
      <c r="G2213">
        <v>73</v>
      </c>
      <c r="H2213">
        <v>47336</v>
      </c>
      <c r="I2213">
        <v>17788</v>
      </c>
      <c r="J2213">
        <v>113</v>
      </c>
      <c r="K2213">
        <v>82</v>
      </c>
      <c r="L2213">
        <v>-29548</v>
      </c>
      <c r="M2213" s="1" t="s">
        <v>3791</v>
      </c>
      <c r="N2213" s="1" t="s">
        <v>3792</v>
      </c>
      <c r="O2213" s="1" t="s">
        <v>3793</v>
      </c>
      <c r="P2213">
        <v>0</v>
      </c>
      <c r="Q2213">
        <v>0</v>
      </c>
      <c r="R2213">
        <v>0</v>
      </c>
      <c r="S2213">
        <v>0</v>
      </c>
      <c r="T2213">
        <v>7.1877201389999996</v>
      </c>
      <c r="U2213">
        <f t="shared" si="68"/>
        <v>0</v>
      </c>
      <c r="V2213">
        <f t="shared" si="69"/>
        <v>0</v>
      </c>
    </row>
    <row r="2214" spans="1:22" x14ac:dyDescent="0.2">
      <c r="A2214" t="s">
        <v>3728</v>
      </c>
      <c r="B2214" t="s">
        <v>48</v>
      </c>
      <c r="C2214" t="s">
        <v>76</v>
      </c>
      <c r="D2214" t="s">
        <v>77</v>
      </c>
      <c r="E2214" s="1" t="s">
        <v>89</v>
      </c>
      <c r="F2214" t="s">
        <v>90</v>
      </c>
      <c r="G2214">
        <v>29</v>
      </c>
      <c r="H2214">
        <v>113176</v>
      </c>
      <c r="I2214">
        <v>20</v>
      </c>
      <c r="J2214">
        <v>103</v>
      </c>
      <c r="K2214">
        <v>79</v>
      </c>
      <c r="L2214">
        <v>-113156</v>
      </c>
      <c r="M2214" s="1" t="s">
        <v>3794</v>
      </c>
      <c r="N2214" s="1" t="s">
        <v>3795</v>
      </c>
      <c r="O2214" s="1" t="s">
        <v>3796</v>
      </c>
      <c r="P2214">
        <v>0</v>
      </c>
      <c r="Q2214">
        <v>0</v>
      </c>
      <c r="R2214">
        <v>0</v>
      </c>
      <c r="S2214">
        <v>0</v>
      </c>
      <c r="T2214">
        <v>7.1877201389999996</v>
      </c>
      <c r="U2214">
        <f t="shared" si="68"/>
        <v>0</v>
      </c>
      <c r="V2214">
        <f t="shared" si="69"/>
        <v>0</v>
      </c>
    </row>
    <row r="2215" spans="1:22" x14ac:dyDescent="0.2">
      <c r="A2215" t="s">
        <v>3728</v>
      </c>
      <c r="B2215" t="s">
        <v>48</v>
      </c>
      <c r="C2215" t="s">
        <v>76</v>
      </c>
      <c r="D2215" t="s">
        <v>77</v>
      </c>
      <c r="E2215">
        <v>12</v>
      </c>
      <c r="F2215" t="s">
        <v>194</v>
      </c>
      <c r="G2215">
        <v>64</v>
      </c>
      <c r="H2215">
        <v>16</v>
      </c>
      <c r="I2215">
        <v>919627</v>
      </c>
      <c r="J2215">
        <v>121</v>
      </c>
      <c r="K2215">
        <v>53</v>
      </c>
      <c r="L2215">
        <v>919611</v>
      </c>
      <c r="M2215" s="1" t="s">
        <v>3797</v>
      </c>
      <c r="N2215" s="1" t="s">
        <v>3798</v>
      </c>
      <c r="O2215" s="1" t="s">
        <v>3799</v>
      </c>
      <c r="P2215">
        <v>0</v>
      </c>
      <c r="Q2215">
        <v>0</v>
      </c>
      <c r="R2215">
        <v>0</v>
      </c>
      <c r="S2215">
        <v>0</v>
      </c>
      <c r="T2215">
        <v>7.1877201389999996</v>
      </c>
      <c r="U2215">
        <f t="shared" si="68"/>
        <v>0</v>
      </c>
      <c r="V2215">
        <f t="shared" si="69"/>
        <v>0</v>
      </c>
    </row>
    <row r="2216" spans="1:22" x14ac:dyDescent="0.2">
      <c r="A2216" t="s">
        <v>3728</v>
      </c>
      <c r="B2216" t="s">
        <v>48</v>
      </c>
      <c r="C2216" t="s">
        <v>76</v>
      </c>
      <c r="D2216" t="s">
        <v>77</v>
      </c>
      <c r="E2216">
        <v>10</v>
      </c>
      <c r="F2216" t="s">
        <v>119</v>
      </c>
      <c r="G2216">
        <v>49</v>
      </c>
      <c r="H2216">
        <v>19164</v>
      </c>
      <c r="I2216">
        <v>28602</v>
      </c>
      <c r="J2216">
        <v>83</v>
      </c>
      <c r="K2216">
        <v>62</v>
      </c>
      <c r="L2216">
        <v>9438</v>
      </c>
      <c r="M2216" s="1" t="s">
        <v>3800</v>
      </c>
      <c r="N2216">
        <v>0.59879412134153998</v>
      </c>
      <c r="O2216" s="1" t="s">
        <v>3801</v>
      </c>
      <c r="P2216">
        <v>0</v>
      </c>
      <c r="Q2216">
        <v>0</v>
      </c>
      <c r="R2216">
        <v>0</v>
      </c>
      <c r="S2216">
        <v>0</v>
      </c>
      <c r="T2216">
        <v>7.1877201389999996</v>
      </c>
      <c r="U2216">
        <f t="shared" si="68"/>
        <v>0</v>
      </c>
      <c r="V2216">
        <f t="shared" si="69"/>
        <v>0</v>
      </c>
    </row>
    <row r="2217" spans="1:22" x14ac:dyDescent="0.2">
      <c r="A2217" t="s">
        <v>3728</v>
      </c>
      <c r="B2217" t="s">
        <v>48</v>
      </c>
      <c r="C2217" t="s">
        <v>76</v>
      </c>
      <c r="D2217" t="s">
        <v>77</v>
      </c>
      <c r="E2217">
        <v>20</v>
      </c>
      <c r="F2217" t="s">
        <v>104</v>
      </c>
      <c r="G2217">
        <v>96</v>
      </c>
      <c r="H2217">
        <v>286</v>
      </c>
      <c r="I2217">
        <v>96840</v>
      </c>
      <c r="J2217">
        <v>115</v>
      </c>
      <c r="K2217">
        <v>57</v>
      </c>
      <c r="L2217">
        <v>96554</v>
      </c>
      <c r="M2217">
        <v>2.9446286267322801E-3</v>
      </c>
      <c r="N2217" s="1" t="s">
        <v>3802</v>
      </c>
      <c r="O2217" s="1" t="s">
        <v>3803</v>
      </c>
      <c r="P2217">
        <v>0</v>
      </c>
      <c r="Q2217">
        <v>0</v>
      </c>
      <c r="R2217">
        <v>0</v>
      </c>
      <c r="S2217">
        <v>0</v>
      </c>
      <c r="T2217">
        <v>7.1877201389999996</v>
      </c>
      <c r="U2217">
        <f t="shared" si="68"/>
        <v>0</v>
      </c>
      <c r="V2217">
        <f t="shared" si="69"/>
        <v>0</v>
      </c>
    </row>
    <row r="2218" spans="1:22" x14ac:dyDescent="0.2">
      <c r="A2218" t="s">
        <v>3728</v>
      </c>
      <c r="B2218" t="s">
        <v>48</v>
      </c>
      <c r="C2218" t="s">
        <v>76</v>
      </c>
      <c r="D2218" t="s">
        <v>77</v>
      </c>
      <c r="E2218" s="1" t="s">
        <v>155</v>
      </c>
      <c r="F2218" t="s">
        <v>156</v>
      </c>
      <c r="G2218" s="1" t="s">
        <v>85</v>
      </c>
      <c r="H2218">
        <v>23036</v>
      </c>
      <c r="I2218">
        <v>1</v>
      </c>
      <c r="J2218">
        <v>55</v>
      </c>
      <c r="K2218">
        <v>71</v>
      </c>
      <c r="L2218">
        <v>-23035</v>
      </c>
      <c r="M2218" s="1" t="s">
        <v>3804</v>
      </c>
      <c r="N2218" s="1" t="s">
        <v>3805</v>
      </c>
      <c r="O2218" s="1" t="s">
        <v>3806</v>
      </c>
      <c r="P2218">
        <v>0</v>
      </c>
      <c r="Q2218">
        <v>0</v>
      </c>
      <c r="R2218">
        <v>0</v>
      </c>
      <c r="S2218">
        <v>0</v>
      </c>
      <c r="T2218">
        <v>7.1877201389999996</v>
      </c>
      <c r="U2218">
        <f t="shared" si="68"/>
        <v>0</v>
      </c>
      <c r="V2218">
        <f t="shared" si="69"/>
        <v>0</v>
      </c>
    </row>
    <row r="2219" spans="1:22" x14ac:dyDescent="0.2">
      <c r="A2219" t="s">
        <v>3728</v>
      </c>
      <c r="B2219" t="s">
        <v>48</v>
      </c>
      <c r="C2219" t="s">
        <v>76</v>
      </c>
      <c r="D2219" t="s">
        <v>77</v>
      </c>
      <c r="E2219">
        <v>11</v>
      </c>
      <c r="F2219" t="s">
        <v>127</v>
      </c>
      <c r="G2219">
        <v>61</v>
      </c>
      <c r="H2219">
        <v>1456</v>
      </c>
      <c r="I2219">
        <v>51154098</v>
      </c>
      <c r="J2219">
        <v>103</v>
      </c>
      <c r="K2219">
        <v>25</v>
      </c>
      <c r="L2219">
        <v>51152642</v>
      </c>
      <c r="M2219" s="1" t="s">
        <v>3807</v>
      </c>
      <c r="N2219" s="1" t="s">
        <v>3808</v>
      </c>
      <c r="O2219">
        <v>3.3229215084409597E-2</v>
      </c>
      <c r="P2219">
        <v>0</v>
      </c>
      <c r="Q2219">
        <v>0</v>
      </c>
      <c r="R2219">
        <v>0</v>
      </c>
      <c r="S2219">
        <v>0</v>
      </c>
      <c r="T2219">
        <v>7.1877201389999996</v>
      </c>
      <c r="U2219">
        <f t="shared" si="68"/>
        <v>0</v>
      </c>
      <c r="V2219">
        <f t="shared" si="69"/>
        <v>0</v>
      </c>
    </row>
    <row r="2220" spans="1:22" x14ac:dyDescent="0.2">
      <c r="A2220" t="s">
        <v>3728</v>
      </c>
      <c r="B2220" t="s">
        <v>48</v>
      </c>
      <c r="C2220" t="s">
        <v>76</v>
      </c>
      <c r="D2220" t="s">
        <v>77</v>
      </c>
      <c r="E2220" s="1" t="s">
        <v>138</v>
      </c>
      <c r="F2220" t="s">
        <v>139</v>
      </c>
      <c r="G2220">
        <v>19</v>
      </c>
      <c r="H2220">
        <v>110831</v>
      </c>
      <c r="I2220">
        <v>157</v>
      </c>
      <c r="J2220">
        <v>51</v>
      </c>
      <c r="K2220">
        <v>79</v>
      </c>
      <c r="L2220">
        <v>-110674</v>
      </c>
      <c r="M2220" s="1" t="s">
        <v>3809</v>
      </c>
      <c r="N2220">
        <v>1.41456734061339E-3</v>
      </c>
      <c r="O2220" s="1" t="s">
        <v>3810</v>
      </c>
      <c r="P2220">
        <v>0</v>
      </c>
      <c r="Q2220">
        <v>0</v>
      </c>
      <c r="R2220">
        <v>0</v>
      </c>
      <c r="S2220">
        <v>0</v>
      </c>
      <c r="T2220">
        <v>7.1877201389999996</v>
      </c>
      <c r="U2220">
        <f t="shared" si="68"/>
        <v>0</v>
      </c>
      <c r="V2220">
        <f t="shared" si="69"/>
        <v>0</v>
      </c>
    </row>
    <row r="2221" spans="1:22" x14ac:dyDescent="0.2">
      <c r="A2221" t="s">
        <v>3728</v>
      </c>
      <c r="B2221" t="s">
        <v>48</v>
      </c>
      <c r="C2221" t="s">
        <v>76</v>
      </c>
      <c r="D2221" t="s">
        <v>77</v>
      </c>
      <c r="E2221" s="1" t="s">
        <v>138</v>
      </c>
      <c r="F2221" t="s">
        <v>139</v>
      </c>
      <c r="G2221">
        <v>20</v>
      </c>
      <c r="H2221">
        <v>0</v>
      </c>
      <c r="I2221">
        <v>521648</v>
      </c>
      <c r="J2221">
        <v>88</v>
      </c>
      <c r="K2221">
        <v>68</v>
      </c>
      <c r="L2221">
        <v>521648</v>
      </c>
      <c r="M2221">
        <v>0</v>
      </c>
      <c r="N2221">
        <v>1</v>
      </c>
      <c r="O2221" s="1" t="s">
        <v>3811</v>
      </c>
      <c r="P2221">
        <v>0</v>
      </c>
      <c r="Q2221">
        <v>0</v>
      </c>
      <c r="R2221">
        <v>0</v>
      </c>
      <c r="S2221">
        <v>0</v>
      </c>
      <c r="T2221">
        <v>7.1877201389999996</v>
      </c>
      <c r="U2221">
        <f t="shared" si="68"/>
        <v>0</v>
      </c>
      <c r="V2221">
        <f t="shared" si="69"/>
        <v>0</v>
      </c>
    </row>
    <row r="2222" spans="1:22" x14ac:dyDescent="0.2">
      <c r="A2222" t="s">
        <v>3728</v>
      </c>
      <c r="B2222" t="s">
        <v>48</v>
      </c>
      <c r="C2222" t="s">
        <v>76</v>
      </c>
      <c r="D2222" t="s">
        <v>77</v>
      </c>
      <c r="E2222" s="1" t="s">
        <v>155</v>
      </c>
      <c r="F2222" t="s">
        <v>156</v>
      </c>
      <c r="G2222" s="1" t="s">
        <v>110</v>
      </c>
      <c r="H2222">
        <v>4133</v>
      </c>
      <c r="I2222">
        <v>8961039</v>
      </c>
      <c r="J2222">
        <v>95</v>
      </c>
      <c r="K2222">
        <v>26</v>
      </c>
      <c r="L2222">
        <v>8956906</v>
      </c>
      <c r="M2222" s="1" t="s">
        <v>3812</v>
      </c>
      <c r="N2222" s="1" t="s">
        <v>3813</v>
      </c>
      <c r="O2222">
        <v>5.8235246295392801E-3</v>
      </c>
      <c r="P2222">
        <v>0</v>
      </c>
      <c r="Q2222">
        <v>0</v>
      </c>
      <c r="R2222">
        <v>0</v>
      </c>
      <c r="S2222">
        <v>0</v>
      </c>
      <c r="T2222">
        <v>7.1877201389999996</v>
      </c>
      <c r="U2222">
        <f t="shared" si="68"/>
        <v>0</v>
      </c>
      <c r="V2222">
        <f t="shared" si="69"/>
        <v>0</v>
      </c>
    </row>
    <row r="2223" spans="1:22" x14ac:dyDescent="0.2">
      <c r="A2223" t="s">
        <v>3728</v>
      </c>
      <c r="B2223" t="s">
        <v>48</v>
      </c>
      <c r="C2223" t="s">
        <v>76</v>
      </c>
      <c r="D2223" t="s">
        <v>77</v>
      </c>
      <c r="E2223" s="1" t="s">
        <v>82</v>
      </c>
      <c r="F2223" t="s">
        <v>83</v>
      </c>
      <c r="G2223" s="1" t="s">
        <v>163</v>
      </c>
      <c r="H2223">
        <v>86</v>
      </c>
      <c r="I2223">
        <v>358874</v>
      </c>
      <c r="J2223">
        <v>71</v>
      </c>
      <c r="K2223">
        <v>75</v>
      </c>
      <c r="L2223">
        <v>358788</v>
      </c>
      <c r="M2223" s="1" t="s">
        <v>3814</v>
      </c>
      <c r="N2223" s="1" t="s">
        <v>3815</v>
      </c>
      <c r="O2223" s="1" t="s">
        <v>3816</v>
      </c>
      <c r="P2223">
        <v>0</v>
      </c>
      <c r="Q2223">
        <v>0</v>
      </c>
      <c r="R2223">
        <v>0</v>
      </c>
      <c r="S2223">
        <v>0</v>
      </c>
      <c r="T2223">
        <v>7.1877201389999996</v>
      </c>
      <c r="U2223">
        <f t="shared" si="68"/>
        <v>0</v>
      </c>
      <c r="V2223">
        <f t="shared" si="69"/>
        <v>0</v>
      </c>
    </row>
    <row r="2224" spans="1:22" x14ac:dyDescent="0.2">
      <c r="A2224" t="s">
        <v>3728</v>
      </c>
      <c r="B2224" t="s">
        <v>48</v>
      </c>
      <c r="C2224" t="s">
        <v>76</v>
      </c>
      <c r="D2224" t="s">
        <v>77</v>
      </c>
      <c r="E2224">
        <v>11</v>
      </c>
      <c r="F2224" t="s">
        <v>127</v>
      </c>
      <c r="G2224">
        <v>62</v>
      </c>
      <c r="H2224">
        <v>814</v>
      </c>
      <c r="I2224">
        <v>9430783</v>
      </c>
      <c r="J2224">
        <v>111</v>
      </c>
      <c r="K2224">
        <v>39</v>
      </c>
      <c r="L2224">
        <v>9429969</v>
      </c>
      <c r="M2224" s="1" t="s">
        <v>3817</v>
      </c>
      <c r="N2224" s="1" t="s">
        <v>3818</v>
      </c>
      <c r="O2224">
        <v>6.1265012456413297E-3</v>
      </c>
      <c r="P2224">
        <v>0</v>
      </c>
      <c r="Q2224">
        <v>0</v>
      </c>
      <c r="R2224">
        <v>0</v>
      </c>
      <c r="S2224">
        <v>0</v>
      </c>
      <c r="T2224">
        <v>7.1877201389999996</v>
      </c>
      <c r="U2224">
        <f t="shared" si="68"/>
        <v>0</v>
      </c>
      <c r="V2224">
        <f t="shared" si="69"/>
        <v>0</v>
      </c>
    </row>
    <row r="2225" spans="1:22" x14ac:dyDescent="0.2">
      <c r="A2225" t="s">
        <v>3728</v>
      </c>
      <c r="B2225" t="s">
        <v>48</v>
      </c>
      <c r="C2225" t="s">
        <v>76</v>
      </c>
      <c r="D2225" t="s">
        <v>77</v>
      </c>
      <c r="E2225">
        <v>15</v>
      </c>
      <c r="F2225" t="s">
        <v>88</v>
      </c>
      <c r="G2225">
        <v>74</v>
      </c>
      <c r="H2225">
        <v>7691551</v>
      </c>
      <c r="I2225">
        <v>316</v>
      </c>
      <c r="J2225">
        <v>44</v>
      </c>
      <c r="K2225">
        <v>81</v>
      </c>
      <c r="L2225">
        <v>-7691235</v>
      </c>
      <c r="M2225">
        <v>0.999958917646392</v>
      </c>
      <c r="N2225" s="1" t="s">
        <v>3819</v>
      </c>
      <c r="O2225">
        <v>4.9964213649933802E-3</v>
      </c>
      <c r="P2225">
        <v>0</v>
      </c>
      <c r="Q2225">
        <v>0</v>
      </c>
      <c r="R2225">
        <v>0</v>
      </c>
      <c r="S2225">
        <v>0</v>
      </c>
      <c r="T2225">
        <v>7.1877201389999996</v>
      </c>
      <c r="U2225">
        <f t="shared" si="68"/>
        <v>0</v>
      </c>
      <c r="V2225">
        <f t="shared" si="69"/>
        <v>0</v>
      </c>
    </row>
    <row r="2226" spans="1:22" x14ac:dyDescent="0.2">
      <c r="A2226" t="s">
        <v>3728</v>
      </c>
      <c r="B2226" t="s">
        <v>48</v>
      </c>
      <c r="C2226" t="s">
        <v>76</v>
      </c>
      <c r="D2226" t="s">
        <v>77</v>
      </c>
      <c r="E2226">
        <v>11</v>
      </c>
      <c r="F2226" t="s">
        <v>127</v>
      </c>
      <c r="G2226">
        <v>56</v>
      </c>
      <c r="H2226">
        <v>13304</v>
      </c>
      <c r="I2226">
        <v>588485</v>
      </c>
      <c r="J2226">
        <v>74</v>
      </c>
      <c r="K2226">
        <v>50</v>
      </c>
      <c r="L2226">
        <v>575181</v>
      </c>
      <c r="M2226">
        <v>2.2107416386806598E-2</v>
      </c>
      <c r="N2226" s="1" t="s">
        <v>3820</v>
      </c>
      <c r="O2226" s="1" t="s">
        <v>3821</v>
      </c>
      <c r="P2226">
        <v>0</v>
      </c>
      <c r="Q2226">
        <v>0</v>
      </c>
      <c r="R2226">
        <v>0</v>
      </c>
      <c r="S2226">
        <v>0</v>
      </c>
      <c r="T2226">
        <v>7.1877201389999996</v>
      </c>
      <c r="U2226">
        <f t="shared" si="68"/>
        <v>0</v>
      </c>
      <c r="V2226">
        <f t="shared" si="69"/>
        <v>0</v>
      </c>
    </row>
    <row r="2227" spans="1:22" x14ac:dyDescent="0.2">
      <c r="A2227" t="s">
        <v>3728</v>
      </c>
      <c r="B2227" t="s">
        <v>48</v>
      </c>
      <c r="C2227" t="s">
        <v>76</v>
      </c>
      <c r="D2227" t="s">
        <v>77</v>
      </c>
      <c r="E2227">
        <v>20</v>
      </c>
      <c r="F2227" t="s">
        <v>104</v>
      </c>
      <c r="G2227">
        <v>94</v>
      </c>
      <c r="H2227">
        <v>106135</v>
      </c>
      <c r="I2227">
        <v>598017</v>
      </c>
      <c r="J2227">
        <v>84</v>
      </c>
      <c r="K2227">
        <v>58</v>
      </c>
      <c r="L2227">
        <v>491882</v>
      </c>
      <c r="M2227" s="1" t="s">
        <v>3822</v>
      </c>
      <c r="N2227" s="1" t="s">
        <v>3823</v>
      </c>
      <c r="O2227" s="1" t="s">
        <v>3824</v>
      </c>
      <c r="P2227">
        <v>0</v>
      </c>
      <c r="Q2227">
        <v>0</v>
      </c>
      <c r="R2227">
        <v>0</v>
      </c>
      <c r="S2227">
        <v>0</v>
      </c>
      <c r="T2227">
        <v>7.1877201389999996</v>
      </c>
      <c r="U2227">
        <f t="shared" si="68"/>
        <v>0</v>
      </c>
      <c r="V2227">
        <f t="shared" si="69"/>
        <v>0</v>
      </c>
    </row>
    <row r="2228" spans="1:22" x14ac:dyDescent="0.2">
      <c r="A2228" t="s">
        <v>3728</v>
      </c>
      <c r="B2228" t="s">
        <v>48</v>
      </c>
      <c r="C2228" t="s">
        <v>76</v>
      </c>
      <c r="D2228" t="s">
        <v>77</v>
      </c>
      <c r="E2228">
        <v>11</v>
      </c>
      <c r="F2228" t="s">
        <v>127</v>
      </c>
      <c r="G2228">
        <v>54</v>
      </c>
      <c r="H2228">
        <v>0</v>
      </c>
      <c r="I2228">
        <v>1371</v>
      </c>
      <c r="J2228">
        <v>84</v>
      </c>
      <c r="K2228">
        <v>64</v>
      </c>
      <c r="L2228">
        <v>1371</v>
      </c>
      <c r="M2228">
        <v>0</v>
      </c>
      <c r="N2228">
        <v>1</v>
      </c>
      <c r="O2228" s="1" t="s">
        <v>3825</v>
      </c>
      <c r="P2228">
        <v>0</v>
      </c>
      <c r="Q2228">
        <v>0</v>
      </c>
      <c r="R2228">
        <v>0</v>
      </c>
      <c r="S2228">
        <v>0</v>
      </c>
      <c r="T2228">
        <v>7.1877201389999996</v>
      </c>
      <c r="U2228">
        <f t="shared" si="68"/>
        <v>0</v>
      </c>
      <c r="V2228">
        <f t="shared" si="69"/>
        <v>0</v>
      </c>
    </row>
    <row r="2229" spans="1:22" x14ac:dyDescent="0.2">
      <c r="A2229" t="s">
        <v>3728</v>
      </c>
      <c r="B2229" t="s">
        <v>48</v>
      </c>
      <c r="C2229" t="s">
        <v>76</v>
      </c>
      <c r="D2229" t="s">
        <v>77</v>
      </c>
      <c r="E2229" s="1" t="s">
        <v>82</v>
      </c>
      <c r="F2229" t="s">
        <v>83</v>
      </c>
      <c r="G2229" s="1" t="s">
        <v>89</v>
      </c>
      <c r="H2229">
        <v>0</v>
      </c>
      <c r="I2229">
        <v>47934</v>
      </c>
      <c r="J2229">
        <v>49</v>
      </c>
      <c r="K2229">
        <v>58</v>
      </c>
      <c r="L2229">
        <v>47934</v>
      </c>
      <c r="M2229">
        <v>0</v>
      </c>
      <c r="N2229">
        <v>1</v>
      </c>
      <c r="O2229" s="1" t="s">
        <v>3826</v>
      </c>
      <c r="P2229">
        <v>0</v>
      </c>
      <c r="Q2229">
        <v>0</v>
      </c>
      <c r="R2229">
        <v>0</v>
      </c>
      <c r="S2229">
        <v>0</v>
      </c>
      <c r="T2229">
        <v>7.1877201389999996</v>
      </c>
      <c r="U2229">
        <f t="shared" si="68"/>
        <v>0</v>
      </c>
      <c r="V2229">
        <f t="shared" si="69"/>
        <v>0</v>
      </c>
    </row>
    <row r="2230" spans="1:22" x14ac:dyDescent="0.2">
      <c r="A2230" t="s">
        <v>3728</v>
      </c>
      <c r="B2230" t="s">
        <v>48</v>
      </c>
      <c r="C2230" t="s">
        <v>76</v>
      </c>
      <c r="D2230" t="s">
        <v>77</v>
      </c>
      <c r="E2230">
        <v>99</v>
      </c>
      <c r="F2230" t="s">
        <v>78</v>
      </c>
      <c r="G2230">
        <v>99</v>
      </c>
      <c r="H2230">
        <v>303995</v>
      </c>
      <c r="I2230">
        <v>9720</v>
      </c>
      <c r="J2230">
        <v>69</v>
      </c>
      <c r="K2230">
        <v>84</v>
      </c>
      <c r="L2230">
        <v>-294275</v>
      </c>
      <c r="M2230" s="1" t="s">
        <v>3827</v>
      </c>
      <c r="N2230">
        <v>3.0983536011985401E-2</v>
      </c>
      <c r="O2230" s="1" t="s">
        <v>3828</v>
      </c>
      <c r="P2230">
        <v>0</v>
      </c>
      <c r="Q2230">
        <v>0</v>
      </c>
      <c r="R2230">
        <v>0</v>
      </c>
      <c r="S2230">
        <v>0</v>
      </c>
      <c r="T2230">
        <v>7.1877201389999996</v>
      </c>
      <c r="U2230">
        <f t="shared" si="68"/>
        <v>0</v>
      </c>
      <c r="V2230">
        <f t="shared" si="69"/>
        <v>0</v>
      </c>
    </row>
    <row r="2231" spans="1:22" x14ac:dyDescent="0.2">
      <c r="A2231" t="s">
        <v>3728</v>
      </c>
      <c r="B2231" t="s">
        <v>48</v>
      </c>
      <c r="C2231" t="s">
        <v>76</v>
      </c>
      <c r="D2231" t="s">
        <v>77</v>
      </c>
      <c r="E2231" s="1" t="s">
        <v>82</v>
      </c>
      <c r="F2231" t="s">
        <v>83</v>
      </c>
      <c r="G2231">
        <v>14</v>
      </c>
      <c r="H2231">
        <v>0</v>
      </c>
      <c r="I2231">
        <v>268893</v>
      </c>
      <c r="J2231">
        <v>41</v>
      </c>
      <c r="K2231">
        <v>10</v>
      </c>
      <c r="L2231">
        <v>268893</v>
      </c>
      <c r="M2231">
        <v>0</v>
      </c>
      <c r="N2231">
        <v>1</v>
      </c>
      <c r="O2231" s="1" t="s">
        <v>3829</v>
      </c>
      <c r="P2231">
        <v>0</v>
      </c>
      <c r="Q2231">
        <v>0</v>
      </c>
      <c r="R2231">
        <v>0</v>
      </c>
      <c r="S2231">
        <v>1</v>
      </c>
      <c r="T2231">
        <v>7.1877201389999996</v>
      </c>
      <c r="U2231">
        <f t="shared" si="68"/>
        <v>0</v>
      </c>
      <c r="V2231">
        <f t="shared" si="69"/>
        <v>1</v>
      </c>
    </row>
    <row r="2232" spans="1:22" x14ac:dyDescent="0.2">
      <c r="A2232" t="s">
        <v>3728</v>
      </c>
      <c r="B2232" t="s">
        <v>48</v>
      </c>
      <c r="C2232" t="s">
        <v>76</v>
      </c>
      <c r="D2232" t="s">
        <v>77</v>
      </c>
      <c r="E2232">
        <v>13</v>
      </c>
      <c r="F2232" t="s">
        <v>91</v>
      </c>
      <c r="G2232">
        <v>69</v>
      </c>
      <c r="H2232">
        <v>149</v>
      </c>
      <c r="I2232">
        <v>310888</v>
      </c>
      <c r="J2232">
        <v>112</v>
      </c>
      <c r="K2232">
        <v>53</v>
      </c>
      <c r="L2232">
        <v>310739</v>
      </c>
      <c r="M2232" s="1" t="s">
        <v>3830</v>
      </c>
      <c r="N2232" s="1" t="s">
        <v>3831</v>
      </c>
      <c r="O2232" s="1" t="s">
        <v>3832</v>
      </c>
      <c r="P2232">
        <v>0</v>
      </c>
      <c r="Q2232">
        <v>0</v>
      </c>
      <c r="R2232">
        <v>0</v>
      </c>
      <c r="S2232">
        <v>0</v>
      </c>
      <c r="T2232">
        <v>7.1877201389999996</v>
      </c>
      <c r="U2232">
        <f t="shared" si="68"/>
        <v>0</v>
      </c>
      <c r="V2232">
        <f t="shared" si="69"/>
        <v>0</v>
      </c>
    </row>
    <row r="2233" spans="1:22" x14ac:dyDescent="0.2">
      <c r="A2233" t="s">
        <v>3728</v>
      </c>
      <c r="B2233" t="s">
        <v>48</v>
      </c>
      <c r="C2233" t="s">
        <v>76</v>
      </c>
      <c r="D2233" t="s">
        <v>77</v>
      </c>
      <c r="E2233" s="1" t="s">
        <v>138</v>
      </c>
      <c r="F2233" t="s">
        <v>139</v>
      </c>
      <c r="G2233">
        <v>23</v>
      </c>
      <c r="H2233">
        <v>0</v>
      </c>
      <c r="I2233">
        <v>42192</v>
      </c>
      <c r="J2233">
        <v>95</v>
      </c>
      <c r="K2233">
        <v>54</v>
      </c>
      <c r="L2233">
        <v>42192</v>
      </c>
      <c r="M2233">
        <v>0</v>
      </c>
      <c r="N2233">
        <v>1</v>
      </c>
      <c r="O2233" s="1" t="s">
        <v>3833</v>
      </c>
      <c r="P2233">
        <v>0</v>
      </c>
      <c r="Q2233">
        <v>0</v>
      </c>
      <c r="R2233">
        <v>0</v>
      </c>
      <c r="S2233">
        <v>0</v>
      </c>
      <c r="T2233">
        <v>7.1877201389999996</v>
      </c>
      <c r="U2233">
        <f t="shared" si="68"/>
        <v>0</v>
      </c>
      <c r="V2233">
        <f t="shared" si="69"/>
        <v>0</v>
      </c>
    </row>
    <row r="2234" spans="1:22" x14ac:dyDescent="0.2">
      <c r="A2234" t="s">
        <v>3728</v>
      </c>
      <c r="B2234" t="s">
        <v>48</v>
      </c>
      <c r="C2234" t="s">
        <v>76</v>
      </c>
      <c r="D2234" t="s">
        <v>77</v>
      </c>
      <c r="E2234" s="1" t="s">
        <v>82</v>
      </c>
      <c r="F2234" t="s">
        <v>83</v>
      </c>
      <c r="G2234">
        <v>12</v>
      </c>
      <c r="H2234">
        <v>83</v>
      </c>
      <c r="I2234">
        <v>815364</v>
      </c>
      <c r="J2234">
        <v>98</v>
      </c>
      <c r="K2234">
        <v>48</v>
      </c>
      <c r="L2234">
        <v>815281</v>
      </c>
      <c r="M2234" s="1" t="s">
        <v>3834</v>
      </c>
      <c r="N2234">
        <v>0.99989821533465695</v>
      </c>
      <c r="O2234" s="1" t="s">
        <v>3835</v>
      </c>
      <c r="P2234">
        <v>0</v>
      </c>
      <c r="Q2234">
        <v>0</v>
      </c>
      <c r="R2234">
        <v>0</v>
      </c>
      <c r="S2234">
        <v>0</v>
      </c>
      <c r="T2234">
        <v>7.1877201389999996</v>
      </c>
      <c r="U2234">
        <f t="shared" si="68"/>
        <v>0</v>
      </c>
      <c r="V2234">
        <f t="shared" si="69"/>
        <v>0</v>
      </c>
    </row>
    <row r="2235" spans="1:22" x14ac:dyDescent="0.2">
      <c r="A2235" t="s">
        <v>3728</v>
      </c>
      <c r="B2235" t="s">
        <v>48</v>
      </c>
      <c r="C2235" t="s">
        <v>76</v>
      </c>
      <c r="D2235" t="s">
        <v>77</v>
      </c>
      <c r="E2235" s="1" t="s">
        <v>138</v>
      </c>
      <c r="F2235" t="s">
        <v>139</v>
      </c>
      <c r="G2235">
        <v>21</v>
      </c>
      <c r="H2235">
        <v>3552</v>
      </c>
      <c r="I2235">
        <v>1149051</v>
      </c>
      <c r="J2235">
        <v>111</v>
      </c>
      <c r="K2235">
        <v>58</v>
      </c>
      <c r="L2235">
        <v>1145499</v>
      </c>
      <c r="M2235">
        <v>3.0817202453923801E-3</v>
      </c>
      <c r="N2235" s="1" t="s">
        <v>3836</v>
      </c>
      <c r="O2235" s="1" t="s">
        <v>3837</v>
      </c>
      <c r="P2235">
        <v>0</v>
      </c>
      <c r="Q2235">
        <v>0</v>
      </c>
      <c r="R2235">
        <v>0</v>
      </c>
      <c r="S2235">
        <v>0</v>
      </c>
      <c r="T2235">
        <v>7.1877201389999996</v>
      </c>
      <c r="U2235">
        <f t="shared" si="68"/>
        <v>0</v>
      </c>
      <c r="V2235">
        <f t="shared" si="69"/>
        <v>0</v>
      </c>
    </row>
    <row r="2236" spans="1:22" x14ac:dyDescent="0.2">
      <c r="A2236" t="s">
        <v>3728</v>
      </c>
      <c r="B2236" t="s">
        <v>48</v>
      </c>
      <c r="C2236" t="s">
        <v>76</v>
      </c>
      <c r="D2236" t="s">
        <v>77</v>
      </c>
      <c r="E2236">
        <v>12</v>
      </c>
      <c r="F2236" t="s">
        <v>194</v>
      </c>
      <c r="G2236">
        <v>67</v>
      </c>
      <c r="H2236">
        <v>0</v>
      </c>
      <c r="I2236">
        <v>497391</v>
      </c>
      <c r="J2236">
        <v>82</v>
      </c>
      <c r="K2236">
        <v>17</v>
      </c>
      <c r="L2236">
        <v>497391</v>
      </c>
      <c r="M2236">
        <v>0</v>
      </c>
      <c r="N2236">
        <v>1</v>
      </c>
      <c r="O2236" s="1" t="s">
        <v>3838</v>
      </c>
      <c r="P2236">
        <v>0</v>
      </c>
      <c r="Q2236">
        <v>0</v>
      </c>
      <c r="R2236">
        <v>0</v>
      </c>
      <c r="S2236">
        <v>0</v>
      </c>
      <c r="T2236">
        <v>7.1877201389999996</v>
      </c>
      <c r="U2236">
        <f t="shared" si="68"/>
        <v>0</v>
      </c>
      <c r="V2236">
        <f t="shared" si="69"/>
        <v>0</v>
      </c>
    </row>
    <row r="2237" spans="1:22" x14ac:dyDescent="0.2">
      <c r="A2237" t="s">
        <v>3728</v>
      </c>
      <c r="B2237" t="s">
        <v>48</v>
      </c>
      <c r="C2237" t="s">
        <v>76</v>
      </c>
      <c r="D2237" t="s">
        <v>77</v>
      </c>
      <c r="E2237" s="1" t="s">
        <v>110</v>
      </c>
      <c r="F2237" t="s">
        <v>111</v>
      </c>
      <c r="G2237">
        <v>15</v>
      </c>
      <c r="H2237">
        <v>46942</v>
      </c>
      <c r="I2237">
        <v>1480563</v>
      </c>
      <c r="J2237">
        <v>85</v>
      </c>
      <c r="K2237">
        <v>40</v>
      </c>
      <c r="L2237">
        <v>1433621</v>
      </c>
      <c r="M2237">
        <v>3.0731159636138601E-2</v>
      </c>
      <c r="N2237" s="1" t="s">
        <v>3839</v>
      </c>
      <c r="O2237" s="1" t="s">
        <v>3840</v>
      </c>
      <c r="P2237">
        <v>0</v>
      </c>
      <c r="Q2237">
        <v>0</v>
      </c>
      <c r="R2237">
        <v>0</v>
      </c>
      <c r="S2237">
        <v>0</v>
      </c>
      <c r="T2237">
        <v>7.1877201389999996</v>
      </c>
      <c r="U2237">
        <f t="shared" si="68"/>
        <v>0</v>
      </c>
      <c r="V2237">
        <f t="shared" si="69"/>
        <v>0</v>
      </c>
    </row>
    <row r="2238" spans="1:22" x14ac:dyDescent="0.2">
      <c r="A2238" t="s">
        <v>3728</v>
      </c>
      <c r="B2238" t="s">
        <v>48</v>
      </c>
      <c r="C2238" t="s">
        <v>76</v>
      </c>
      <c r="D2238" t="s">
        <v>77</v>
      </c>
      <c r="E2238">
        <v>11</v>
      </c>
      <c r="F2238" t="s">
        <v>127</v>
      </c>
      <c r="G2238">
        <v>53</v>
      </c>
      <c r="H2238">
        <v>17</v>
      </c>
      <c r="I2238">
        <v>16706916</v>
      </c>
      <c r="J2238">
        <v>74</v>
      </c>
      <c r="K2238">
        <v>2</v>
      </c>
      <c r="L2238">
        <v>16706899</v>
      </c>
      <c r="M2238" s="1" t="s">
        <v>3841</v>
      </c>
      <c r="N2238" s="1" t="s">
        <v>3842</v>
      </c>
      <c r="O2238" s="1" t="s">
        <v>3843</v>
      </c>
      <c r="P2238">
        <v>0</v>
      </c>
      <c r="Q2238">
        <v>1</v>
      </c>
      <c r="R2238">
        <v>0</v>
      </c>
      <c r="S2238">
        <v>1</v>
      </c>
      <c r="T2238">
        <v>7.1877201389999996</v>
      </c>
      <c r="U2238">
        <f t="shared" si="68"/>
        <v>1</v>
      </c>
      <c r="V2238">
        <f t="shared" si="69"/>
        <v>1</v>
      </c>
    </row>
    <row r="2239" spans="1:22" x14ac:dyDescent="0.2">
      <c r="A2239" t="s">
        <v>3728</v>
      </c>
      <c r="B2239" t="s">
        <v>48</v>
      </c>
      <c r="C2239" t="s">
        <v>76</v>
      </c>
      <c r="D2239" t="s">
        <v>77</v>
      </c>
      <c r="E2239">
        <v>12</v>
      </c>
      <c r="F2239" t="s">
        <v>194</v>
      </c>
      <c r="G2239">
        <v>65</v>
      </c>
      <c r="H2239">
        <v>34</v>
      </c>
      <c r="I2239">
        <v>3447788</v>
      </c>
      <c r="J2239">
        <v>100</v>
      </c>
      <c r="K2239">
        <v>20</v>
      </c>
      <c r="L2239">
        <v>3447754</v>
      </c>
      <c r="M2239" s="1" t="s">
        <v>3844</v>
      </c>
      <c r="N2239">
        <v>0.999990138702056</v>
      </c>
      <c r="O2239">
        <v>2.2396086026310901E-3</v>
      </c>
      <c r="P2239">
        <v>0</v>
      </c>
      <c r="Q2239">
        <v>0</v>
      </c>
      <c r="R2239">
        <v>0</v>
      </c>
      <c r="S2239">
        <v>0</v>
      </c>
      <c r="T2239">
        <v>7.1877201389999996</v>
      </c>
      <c r="U2239">
        <f t="shared" si="68"/>
        <v>0</v>
      </c>
      <c r="V2239">
        <f t="shared" si="69"/>
        <v>0</v>
      </c>
    </row>
    <row r="2240" spans="1:22" x14ac:dyDescent="0.2">
      <c r="A2240" t="s">
        <v>3845</v>
      </c>
      <c r="B2240" t="s">
        <v>49</v>
      </c>
      <c r="C2240" t="s">
        <v>76</v>
      </c>
      <c r="D2240" t="s">
        <v>77</v>
      </c>
      <c r="E2240" s="1" t="s">
        <v>85</v>
      </c>
      <c r="F2240" t="s">
        <v>86</v>
      </c>
      <c r="G2240">
        <v>27</v>
      </c>
      <c r="H2240">
        <v>1042934581</v>
      </c>
      <c r="I2240">
        <v>0</v>
      </c>
      <c r="J2240">
        <v>56</v>
      </c>
      <c r="K2240">
        <v>91</v>
      </c>
      <c r="L2240">
        <v>-1042934581</v>
      </c>
      <c r="M2240">
        <v>1</v>
      </c>
      <c r="N2240">
        <v>0</v>
      </c>
      <c r="O2240" s="1" t="s">
        <v>3846</v>
      </c>
      <c r="P2240">
        <v>0</v>
      </c>
      <c r="Q2240">
        <v>0</v>
      </c>
      <c r="R2240">
        <v>0</v>
      </c>
      <c r="S2240">
        <v>0</v>
      </c>
      <c r="T2240">
        <v>12.720721579999999</v>
      </c>
      <c r="U2240">
        <f t="shared" si="68"/>
        <v>0</v>
      </c>
      <c r="V2240">
        <f t="shared" si="69"/>
        <v>0</v>
      </c>
    </row>
    <row r="2241" spans="1:22" x14ac:dyDescent="0.2">
      <c r="A2241" t="s">
        <v>3845</v>
      </c>
      <c r="B2241" t="s">
        <v>49</v>
      </c>
      <c r="C2241" t="s">
        <v>76</v>
      </c>
      <c r="D2241" t="s">
        <v>77</v>
      </c>
      <c r="E2241" s="1" t="s">
        <v>85</v>
      </c>
      <c r="F2241" t="s">
        <v>86</v>
      </c>
      <c r="G2241">
        <v>25</v>
      </c>
      <c r="H2241">
        <v>106426157</v>
      </c>
      <c r="I2241">
        <v>36580</v>
      </c>
      <c r="J2241">
        <v>12</v>
      </c>
      <c r="K2241">
        <v>73</v>
      </c>
      <c r="L2241">
        <v>-106389577</v>
      </c>
      <c r="M2241" s="1" t="s">
        <v>3847</v>
      </c>
      <c r="N2241" s="1" t="s">
        <v>3848</v>
      </c>
      <c r="O2241">
        <v>4.70106234632039E-2</v>
      </c>
      <c r="P2241">
        <v>0</v>
      </c>
      <c r="Q2241">
        <v>0</v>
      </c>
      <c r="R2241">
        <v>0</v>
      </c>
      <c r="S2241">
        <v>0</v>
      </c>
      <c r="T2241">
        <v>12.720721579999999</v>
      </c>
      <c r="U2241">
        <f t="shared" si="68"/>
        <v>0</v>
      </c>
      <c r="V2241">
        <f t="shared" si="69"/>
        <v>0</v>
      </c>
    </row>
    <row r="2242" spans="1:22" x14ac:dyDescent="0.2">
      <c r="A2242" t="s">
        <v>3845</v>
      </c>
      <c r="B2242" t="s">
        <v>49</v>
      </c>
      <c r="C2242" t="s">
        <v>76</v>
      </c>
      <c r="D2242" t="s">
        <v>77</v>
      </c>
      <c r="E2242" s="1" t="s">
        <v>89</v>
      </c>
      <c r="F2242" t="s">
        <v>90</v>
      </c>
      <c r="G2242">
        <v>28</v>
      </c>
      <c r="H2242">
        <v>208101448</v>
      </c>
      <c r="I2242">
        <v>28494368</v>
      </c>
      <c r="J2242">
        <v>23</v>
      </c>
      <c r="K2242">
        <v>25</v>
      </c>
      <c r="L2242">
        <v>-179607080</v>
      </c>
      <c r="M2242" s="1" t="s">
        <v>3849</v>
      </c>
      <c r="N2242" s="1" t="s">
        <v>3850</v>
      </c>
      <c r="O2242" s="1" t="s">
        <v>3851</v>
      </c>
      <c r="P2242">
        <v>0</v>
      </c>
      <c r="Q2242">
        <v>0</v>
      </c>
      <c r="R2242">
        <v>0</v>
      </c>
      <c r="S2242">
        <v>0</v>
      </c>
      <c r="T2242">
        <v>12.720721579999999</v>
      </c>
      <c r="U2242">
        <f t="shared" si="68"/>
        <v>0</v>
      </c>
      <c r="V2242">
        <f t="shared" si="69"/>
        <v>0</v>
      </c>
    </row>
    <row r="2243" spans="1:22" x14ac:dyDescent="0.2">
      <c r="A2243" t="s">
        <v>3845</v>
      </c>
      <c r="B2243" t="s">
        <v>49</v>
      </c>
      <c r="C2243" t="s">
        <v>76</v>
      </c>
      <c r="D2243" t="s">
        <v>77</v>
      </c>
      <c r="E2243" s="1" t="s">
        <v>110</v>
      </c>
      <c r="F2243" t="s">
        <v>111</v>
      </c>
      <c r="G2243">
        <v>15</v>
      </c>
      <c r="H2243">
        <v>130043227</v>
      </c>
      <c r="I2243">
        <v>1742636</v>
      </c>
      <c r="J2243">
        <v>20</v>
      </c>
      <c r="K2243">
        <v>39</v>
      </c>
      <c r="L2243">
        <v>-128300591</v>
      </c>
      <c r="M2243" s="1" t="s">
        <v>3852</v>
      </c>
      <c r="N2243" s="1" t="s">
        <v>3853</v>
      </c>
      <c r="O2243">
        <v>5.8192525928263301E-2</v>
      </c>
      <c r="P2243">
        <v>0</v>
      </c>
      <c r="Q2243">
        <v>0</v>
      </c>
      <c r="R2243">
        <v>0</v>
      </c>
      <c r="S2243">
        <v>0</v>
      </c>
      <c r="T2243">
        <v>12.720721579999999</v>
      </c>
      <c r="U2243">
        <f t="shared" ref="U2243:U2306" si="70">IF(OR(P2243=1,Q2243=1),1,0)</f>
        <v>0</v>
      </c>
      <c r="V2243">
        <f t="shared" ref="V2243:V2306" si="71">IF(OR(R2243=1,S2243=1),1,0)</f>
        <v>0</v>
      </c>
    </row>
    <row r="2244" spans="1:22" x14ac:dyDescent="0.2">
      <c r="A2244" t="s">
        <v>3845</v>
      </c>
      <c r="B2244" t="s">
        <v>49</v>
      </c>
      <c r="C2244" t="s">
        <v>76</v>
      </c>
      <c r="D2244" t="s">
        <v>77</v>
      </c>
      <c r="E2244" s="1" t="s">
        <v>82</v>
      </c>
      <c r="F2244" t="s">
        <v>83</v>
      </c>
      <c r="G2244">
        <v>10</v>
      </c>
      <c r="H2244">
        <v>176142818</v>
      </c>
      <c r="I2244">
        <v>0</v>
      </c>
      <c r="J2244">
        <v>40</v>
      </c>
      <c r="K2244">
        <v>65</v>
      </c>
      <c r="L2244">
        <v>-176142818</v>
      </c>
      <c r="M2244">
        <v>1</v>
      </c>
      <c r="N2244">
        <v>0</v>
      </c>
      <c r="O2244">
        <v>7.7779173503172802E-2</v>
      </c>
      <c r="P2244">
        <v>0</v>
      </c>
      <c r="Q2244">
        <v>0</v>
      </c>
      <c r="R2244">
        <v>0</v>
      </c>
      <c r="S2244">
        <v>0</v>
      </c>
      <c r="T2244">
        <v>12.720721579999999</v>
      </c>
      <c r="U2244">
        <f t="shared" si="70"/>
        <v>0</v>
      </c>
      <c r="V2244">
        <f t="shared" si="71"/>
        <v>0</v>
      </c>
    </row>
    <row r="2245" spans="1:22" x14ac:dyDescent="0.2">
      <c r="A2245" t="s">
        <v>3845</v>
      </c>
      <c r="B2245" t="s">
        <v>49</v>
      </c>
      <c r="C2245" t="s">
        <v>76</v>
      </c>
      <c r="D2245" t="s">
        <v>77</v>
      </c>
      <c r="E2245" s="1" t="s">
        <v>89</v>
      </c>
      <c r="F2245" t="s">
        <v>90</v>
      </c>
      <c r="G2245">
        <v>31</v>
      </c>
      <c r="H2245">
        <v>18228126</v>
      </c>
      <c r="I2245">
        <v>0</v>
      </c>
      <c r="J2245">
        <v>92</v>
      </c>
      <c r="K2245">
        <v>51</v>
      </c>
      <c r="L2245">
        <v>-18228126</v>
      </c>
      <c r="M2245">
        <v>1</v>
      </c>
      <c r="N2245">
        <v>0</v>
      </c>
      <c r="O2245">
        <v>8.0489717996432598E-3</v>
      </c>
      <c r="P2245">
        <v>0</v>
      </c>
      <c r="Q2245">
        <v>0</v>
      </c>
      <c r="R2245">
        <v>0</v>
      </c>
      <c r="S2245">
        <v>0</v>
      </c>
      <c r="T2245">
        <v>12.720721579999999</v>
      </c>
      <c r="U2245">
        <f t="shared" si="70"/>
        <v>0</v>
      </c>
      <c r="V2245">
        <f t="shared" si="71"/>
        <v>0</v>
      </c>
    </row>
    <row r="2246" spans="1:22" x14ac:dyDescent="0.2">
      <c r="A2246" t="s">
        <v>3845</v>
      </c>
      <c r="B2246" t="s">
        <v>49</v>
      </c>
      <c r="C2246" t="s">
        <v>76</v>
      </c>
      <c r="D2246" t="s">
        <v>77</v>
      </c>
      <c r="E2246">
        <v>15</v>
      </c>
      <c r="F2246" t="s">
        <v>88</v>
      </c>
      <c r="G2246">
        <v>72</v>
      </c>
      <c r="H2246">
        <v>353632209</v>
      </c>
      <c r="I2246">
        <v>0</v>
      </c>
      <c r="J2246">
        <v>39</v>
      </c>
      <c r="K2246">
        <v>74</v>
      </c>
      <c r="L2246">
        <v>-353632209</v>
      </c>
      <c r="M2246">
        <v>1</v>
      </c>
      <c r="N2246">
        <v>0</v>
      </c>
      <c r="O2246" s="1" t="s">
        <v>3854</v>
      </c>
      <c r="P2246">
        <v>0</v>
      </c>
      <c r="Q2246">
        <v>0</v>
      </c>
      <c r="R2246">
        <v>0</v>
      </c>
      <c r="S2246">
        <v>0</v>
      </c>
      <c r="T2246">
        <v>12.720721579999999</v>
      </c>
      <c r="U2246">
        <f t="shared" si="70"/>
        <v>0</v>
      </c>
      <c r="V2246">
        <f t="shared" si="71"/>
        <v>0</v>
      </c>
    </row>
    <row r="2247" spans="1:22" x14ac:dyDescent="0.2">
      <c r="A2247" t="s">
        <v>3845</v>
      </c>
      <c r="B2247" t="s">
        <v>49</v>
      </c>
      <c r="C2247" t="s">
        <v>76</v>
      </c>
      <c r="D2247" t="s">
        <v>77</v>
      </c>
      <c r="E2247">
        <v>10</v>
      </c>
      <c r="F2247" t="s">
        <v>119</v>
      </c>
      <c r="G2247">
        <v>47</v>
      </c>
      <c r="H2247">
        <v>29288348</v>
      </c>
      <c r="I2247">
        <v>0</v>
      </c>
      <c r="J2247">
        <v>20</v>
      </c>
      <c r="K2247">
        <v>37</v>
      </c>
      <c r="L2247">
        <v>-29288348</v>
      </c>
      <c r="M2247">
        <v>1</v>
      </c>
      <c r="N2247">
        <v>0</v>
      </c>
      <c r="O2247" s="1" t="s">
        <v>3855</v>
      </c>
      <c r="P2247">
        <v>0</v>
      </c>
      <c r="Q2247">
        <v>0</v>
      </c>
      <c r="R2247">
        <v>0</v>
      </c>
      <c r="S2247">
        <v>0</v>
      </c>
      <c r="T2247">
        <v>12.720721579999999</v>
      </c>
      <c r="U2247">
        <f t="shared" si="70"/>
        <v>0</v>
      </c>
      <c r="V2247">
        <f t="shared" si="71"/>
        <v>0</v>
      </c>
    </row>
    <row r="2248" spans="1:22" x14ac:dyDescent="0.2">
      <c r="A2248" t="s">
        <v>3845</v>
      </c>
      <c r="B2248" t="s">
        <v>49</v>
      </c>
      <c r="C2248" t="s">
        <v>76</v>
      </c>
      <c r="D2248" t="s">
        <v>77</v>
      </c>
      <c r="E2248" s="1" t="s">
        <v>93</v>
      </c>
      <c r="F2248" t="s">
        <v>94</v>
      </c>
      <c r="G2248">
        <v>44</v>
      </c>
      <c r="H2248">
        <v>8467277</v>
      </c>
      <c r="I2248">
        <v>190504</v>
      </c>
      <c r="J2248">
        <v>73</v>
      </c>
      <c r="K2248">
        <v>59</v>
      </c>
      <c r="L2248">
        <v>-8276773</v>
      </c>
      <c r="M2248" s="1" t="s">
        <v>3856</v>
      </c>
      <c r="N2248">
        <v>2.2003790578671301E-2</v>
      </c>
      <c r="O2248">
        <v>3.8230060027282702E-3</v>
      </c>
      <c r="P2248">
        <v>0</v>
      </c>
      <c r="Q2248">
        <v>0</v>
      </c>
      <c r="R2248">
        <v>0</v>
      </c>
      <c r="S2248">
        <v>0</v>
      </c>
      <c r="T2248">
        <v>12.720721579999999</v>
      </c>
      <c r="U2248">
        <f t="shared" si="70"/>
        <v>0</v>
      </c>
      <c r="V2248">
        <f t="shared" si="71"/>
        <v>0</v>
      </c>
    </row>
    <row r="2249" spans="1:22" x14ac:dyDescent="0.2">
      <c r="A2249" t="s">
        <v>3845</v>
      </c>
      <c r="B2249" t="s">
        <v>49</v>
      </c>
      <c r="C2249" t="s">
        <v>76</v>
      </c>
      <c r="D2249" t="s">
        <v>77</v>
      </c>
      <c r="E2249">
        <v>18</v>
      </c>
      <c r="F2249" t="s">
        <v>147</v>
      </c>
      <c r="G2249">
        <v>90</v>
      </c>
      <c r="H2249">
        <v>3896933</v>
      </c>
      <c r="I2249">
        <v>719709</v>
      </c>
      <c r="J2249">
        <v>67</v>
      </c>
      <c r="K2249">
        <v>70</v>
      </c>
      <c r="L2249">
        <v>-3177224</v>
      </c>
      <c r="M2249" s="1" t="s">
        <v>3857</v>
      </c>
      <c r="N2249" s="1" t="s">
        <v>3858</v>
      </c>
      <c r="O2249">
        <v>2.0385650871103602E-3</v>
      </c>
      <c r="P2249">
        <v>0</v>
      </c>
      <c r="Q2249">
        <v>0</v>
      </c>
      <c r="R2249">
        <v>0</v>
      </c>
      <c r="S2249">
        <v>0</v>
      </c>
      <c r="T2249">
        <v>12.720721579999999</v>
      </c>
      <c r="U2249">
        <f t="shared" si="70"/>
        <v>0</v>
      </c>
      <c r="V2249">
        <f t="shared" si="71"/>
        <v>0</v>
      </c>
    </row>
    <row r="2250" spans="1:22" x14ac:dyDescent="0.2">
      <c r="A2250" t="s">
        <v>3845</v>
      </c>
      <c r="B2250" t="s">
        <v>49</v>
      </c>
      <c r="C2250" t="s">
        <v>76</v>
      </c>
      <c r="D2250" t="s">
        <v>77</v>
      </c>
      <c r="E2250">
        <v>15</v>
      </c>
      <c r="F2250" t="s">
        <v>88</v>
      </c>
      <c r="G2250">
        <v>76</v>
      </c>
      <c r="H2250">
        <v>27226155</v>
      </c>
      <c r="I2250">
        <v>78900</v>
      </c>
      <c r="J2250">
        <v>50</v>
      </c>
      <c r="K2250">
        <v>65</v>
      </c>
      <c r="L2250">
        <v>-27147255</v>
      </c>
      <c r="M2250" s="1" t="s">
        <v>3859</v>
      </c>
      <c r="N2250">
        <v>2.8895748424604801E-3</v>
      </c>
      <c r="O2250" s="1" t="s">
        <v>3860</v>
      </c>
      <c r="P2250">
        <v>0</v>
      </c>
      <c r="Q2250">
        <v>0</v>
      </c>
      <c r="R2250">
        <v>0</v>
      </c>
      <c r="S2250">
        <v>0</v>
      </c>
      <c r="T2250">
        <v>12.720721579999999</v>
      </c>
      <c r="U2250">
        <f t="shared" si="70"/>
        <v>0</v>
      </c>
      <c r="V2250">
        <f t="shared" si="71"/>
        <v>0</v>
      </c>
    </row>
    <row r="2251" spans="1:22" x14ac:dyDescent="0.2">
      <c r="A2251" t="s">
        <v>3845</v>
      </c>
      <c r="B2251" t="s">
        <v>49</v>
      </c>
      <c r="C2251" t="s">
        <v>76</v>
      </c>
      <c r="D2251" t="s">
        <v>77</v>
      </c>
      <c r="E2251" s="1" t="s">
        <v>89</v>
      </c>
      <c r="F2251" t="s">
        <v>90</v>
      </c>
      <c r="G2251">
        <v>29</v>
      </c>
      <c r="H2251">
        <v>10318547</v>
      </c>
      <c r="I2251">
        <v>456</v>
      </c>
      <c r="J2251">
        <v>59</v>
      </c>
      <c r="K2251">
        <v>74</v>
      </c>
      <c r="L2251">
        <v>-10318091</v>
      </c>
      <c r="M2251" s="1" t="s">
        <v>3861</v>
      </c>
      <c r="N2251" s="1" t="s">
        <v>3862</v>
      </c>
      <c r="O2251">
        <v>4.5565498146893499E-3</v>
      </c>
      <c r="P2251">
        <v>0</v>
      </c>
      <c r="Q2251">
        <v>0</v>
      </c>
      <c r="R2251">
        <v>0</v>
      </c>
      <c r="S2251">
        <v>0</v>
      </c>
      <c r="T2251">
        <v>12.720721579999999</v>
      </c>
      <c r="U2251">
        <f t="shared" si="70"/>
        <v>0</v>
      </c>
      <c r="V2251">
        <f t="shared" si="71"/>
        <v>0</v>
      </c>
    </row>
    <row r="2252" spans="1:22" x14ac:dyDescent="0.2">
      <c r="A2252" t="s">
        <v>3845</v>
      </c>
      <c r="B2252" t="s">
        <v>49</v>
      </c>
      <c r="C2252" t="s">
        <v>76</v>
      </c>
      <c r="D2252" t="s">
        <v>77</v>
      </c>
      <c r="E2252" s="1" t="s">
        <v>138</v>
      </c>
      <c r="F2252" t="s">
        <v>139</v>
      </c>
      <c r="G2252">
        <v>22</v>
      </c>
      <c r="H2252">
        <v>1247169</v>
      </c>
      <c r="I2252">
        <v>102840</v>
      </c>
      <c r="J2252">
        <v>64</v>
      </c>
      <c r="K2252">
        <v>69</v>
      </c>
      <c r="L2252">
        <v>-1144329</v>
      </c>
      <c r="M2252" s="1" t="s">
        <v>3863</v>
      </c>
      <c r="N2252">
        <v>7.6177269929311495E-2</v>
      </c>
      <c r="O2252" s="1" t="s">
        <v>3864</v>
      </c>
      <c r="P2252">
        <v>0</v>
      </c>
      <c r="Q2252">
        <v>0</v>
      </c>
      <c r="R2252">
        <v>0</v>
      </c>
      <c r="S2252">
        <v>0</v>
      </c>
      <c r="T2252">
        <v>12.720721579999999</v>
      </c>
      <c r="U2252">
        <f t="shared" si="70"/>
        <v>0</v>
      </c>
      <c r="V2252">
        <f t="shared" si="71"/>
        <v>0</v>
      </c>
    </row>
    <row r="2253" spans="1:22" x14ac:dyDescent="0.2">
      <c r="A2253" t="s">
        <v>3845</v>
      </c>
      <c r="B2253" t="s">
        <v>49</v>
      </c>
      <c r="C2253" t="s">
        <v>76</v>
      </c>
      <c r="D2253" t="s">
        <v>77</v>
      </c>
      <c r="E2253">
        <v>10</v>
      </c>
      <c r="F2253" t="s">
        <v>119</v>
      </c>
      <c r="G2253">
        <v>48</v>
      </c>
      <c r="H2253">
        <v>13845240</v>
      </c>
      <c r="I2253">
        <v>131166</v>
      </c>
      <c r="J2253">
        <v>69</v>
      </c>
      <c r="K2253">
        <v>66</v>
      </c>
      <c r="L2253">
        <v>-13714074</v>
      </c>
      <c r="M2253" s="1" t="s">
        <v>3865</v>
      </c>
      <c r="N2253">
        <v>9.3848160964986205E-3</v>
      </c>
      <c r="O2253">
        <v>6.1715448836794796E-3</v>
      </c>
      <c r="P2253">
        <v>0</v>
      </c>
      <c r="Q2253">
        <v>0</v>
      </c>
      <c r="R2253">
        <v>0</v>
      </c>
      <c r="S2253">
        <v>0</v>
      </c>
      <c r="T2253">
        <v>12.720721579999999</v>
      </c>
      <c r="U2253">
        <f t="shared" si="70"/>
        <v>0</v>
      </c>
      <c r="V2253">
        <f t="shared" si="71"/>
        <v>0</v>
      </c>
    </row>
    <row r="2254" spans="1:22" x14ac:dyDescent="0.2">
      <c r="A2254" t="s">
        <v>3845</v>
      </c>
      <c r="B2254" t="s">
        <v>49</v>
      </c>
      <c r="C2254" t="s">
        <v>76</v>
      </c>
      <c r="D2254" t="s">
        <v>77</v>
      </c>
      <c r="E2254" s="1" t="s">
        <v>99</v>
      </c>
      <c r="F2254" t="s">
        <v>100</v>
      </c>
      <c r="G2254">
        <v>39</v>
      </c>
      <c r="H2254">
        <v>1252358</v>
      </c>
      <c r="I2254">
        <v>675478</v>
      </c>
      <c r="J2254">
        <v>84</v>
      </c>
      <c r="K2254">
        <v>72</v>
      </c>
      <c r="L2254">
        <v>-576880</v>
      </c>
      <c r="M2254" s="1" t="s">
        <v>3866</v>
      </c>
      <c r="N2254" s="1" t="s">
        <v>3867</v>
      </c>
      <c r="O2254" s="1" t="s">
        <v>3868</v>
      </c>
      <c r="P2254">
        <v>0</v>
      </c>
      <c r="Q2254">
        <v>0</v>
      </c>
      <c r="R2254">
        <v>0</v>
      </c>
      <c r="S2254">
        <v>0</v>
      </c>
      <c r="T2254">
        <v>12.720721579999999</v>
      </c>
      <c r="U2254">
        <f t="shared" si="70"/>
        <v>0</v>
      </c>
      <c r="V2254">
        <f t="shared" si="71"/>
        <v>0</v>
      </c>
    </row>
    <row r="2255" spans="1:22" x14ac:dyDescent="0.2">
      <c r="A2255" t="s">
        <v>3845</v>
      </c>
      <c r="B2255" t="s">
        <v>49</v>
      </c>
      <c r="C2255" t="s">
        <v>76</v>
      </c>
      <c r="D2255" t="s">
        <v>77</v>
      </c>
      <c r="E2255">
        <v>15</v>
      </c>
      <c r="F2255" t="s">
        <v>88</v>
      </c>
      <c r="G2255">
        <v>78</v>
      </c>
      <c r="H2255">
        <v>5159243</v>
      </c>
      <c r="I2255">
        <v>0</v>
      </c>
      <c r="J2255">
        <v>24</v>
      </c>
      <c r="K2255">
        <v>44</v>
      </c>
      <c r="L2255">
        <v>-5159243</v>
      </c>
      <c r="M2255">
        <v>1</v>
      </c>
      <c r="N2255">
        <v>0</v>
      </c>
      <c r="O2255">
        <v>2.2781607618088001E-3</v>
      </c>
      <c r="P2255">
        <v>0</v>
      </c>
      <c r="Q2255">
        <v>0</v>
      </c>
      <c r="R2255">
        <v>0</v>
      </c>
      <c r="S2255">
        <v>0</v>
      </c>
      <c r="T2255">
        <v>12.720721579999999</v>
      </c>
      <c r="U2255">
        <f t="shared" si="70"/>
        <v>0</v>
      </c>
      <c r="V2255">
        <f t="shared" si="71"/>
        <v>0</v>
      </c>
    </row>
    <row r="2256" spans="1:22" x14ac:dyDescent="0.2">
      <c r="A2256" t="s">
        <v>3845</v>
      </c>
      <c r="B2256" t="s">
        <v>49</v>
      </c>
      <c r="C2256" t="s">
        <v>76</v>
      </c>
      <c r="D2256" t="s">
        <v>77</v>
      </c>
      <c r="E2256" s="1" t="s">
        <v>99</v>
      </c>
      <c r="F2256" t="s">
        <v>100</v>
      </c>
      <c r="G2256">
        <v>40</v>
      </c>
      <c r="H2256">
        <v>1918438</v>
      </c>
      <c r="I2256">
        <v>32301</v>
      </c>
      <c r="J2256">
        <v>79</v>
      </c>
      <c r="K2256">
        <v>79</v>
      </c>
      <c r="L2256">
        <v>-1886137</v>
      </c>
      <c r="M2256" s="1" t="s">
        <v>3869</v>
      </c>
      <c r="N2256">
        <v>1.6558340198252999E-2</v>
      </c>
      <c r="O2256" s="1" t="s">
        <v>3870</v>
      </c>
      <c r="P2256">
        <v>0</v>
      </c>
      <c r="Q2256">
        <v>0</v>
      </c>
      <c r="R2256">
        <v>0</v>
      </c>
      <c r="S2256">
        <v>0</v>
      </c>
      <c r="T2256">
        <v>12.720721579999999</v>
      </c>
      <c r="U2256">
        <f t="shared" si="70"/>
        <v>0</v>
      </c>
      <c r="V2256">
        <f t="shared" si="71"/>
        <v>0</v>
      </c>
    </row>
    <row r="2257" spans="1:22" x14ac:dyDescent="0.2">
      <c r="A2257" t="s">
        <v>3845</v>
      </c>
      <c r="B2257" t="s">
        <v>49</v>
      </c>
      <c r="C2257" t="s">
        <v>76</v>
      </c>
      <c r="D2257" t="s">
        <v>77</v>
      </c>
      <c r="E2257" s="1" t="s">
        <v>89</v>
      </c>
      <c r="F2257" t="s">
        <v>90</v>
      </c>
      <c r="G2257">
        <v>38</v>
      </c>
      <c r="H2257">
        <v>938598</v>
      </c>
      <c r="I2257">
        <v>42801</v>
      </c>
      <c r="J2257">
        <v>79</v>
      </c>
      <c r="K2257">
        <v>75</v>
      </c>
      <c r="L2257">
        <v>-895797</v>
      </c>
      <c r="M2257" s="1" t="s">
        <v>3871</v>
      </c>
      <c r="N2257">
        <v>4.3612231110893698E-2</v>
      </c>
      <c r="O2257" s="1" t="s">
        <v>3872</v>
      </c>
      <c r="P2257">
        <v>0</v>
      </c>
      <c r="Q2257">
        <v>0</v>
      </c>
      <c r="R2257">
        <v>0</v>
      </c>
      <c r="S2257">
        <v>0</v>
      </c>
      <c r="T2257">
        <v>12.720721579999999</v>
      </c>
      <c r="U2257">
        <f t="shared" si="70"/>
        <v>0</v>
      </c>
      <c r="V2257">
        <f t="shared" si="71"/>
        <v>0</v>
      </c>
    </row>
    <row r="2258" spans="1:22" x14ac:dyDescent="0.2">
      <c r="A2258" t="s">
        <v>3845</v>
      </c>
      <c r="B2258" t="s">
        <v>49</v>
      </c>
      <c r="C2258" t="s">
        <v>76</v>
      </c>
      <c r="D2258" t="s">
        <v>77</v>
      </c>
      <c r="E2258" s="1" t="s">
        <v>82</v>
      </c>
      <c r="F2258" t="s">
        <v>83</v>
      </c>
      <c r="G2258" s="1" t="s">
        <v>99</v>
      </c>
      <c r="H2258">
        <v>781367</v>
      </c>
      <c r="I2258">
        <v>7894346</v>
      </c>
      <c r="J2258">
        <v>63</v>
      </c>
      <c r="K2258">
        <v>26</v>
      </c>
      <c r="L2258">
        <v>7112979</v>
      </c>
      <c r="M2258">
        <v>9.0063721563864496E-2</v>
      </c>
      <c r="N2258" s="1" t="s">
        <v>3873</v>
      </c>
      <c r="O2258">
        <v>3.8309242145242099E-3</v>
      </c>
      <c r="P2258">
        <v>0</v>
      </c>
      <c r="Q2258">
        <v>0</v>
      </c>
      <c r="R2258">
        <v>0</v>
      </c>
      <c r="S2258">
        <v>0</v>
      </c>
      <c r="T2258">
        <v>12.720721579999999</v>
      </c>
      <c r="U2258">
        <f t="shared" si="70"/>
        <v>0</v>
      </c>
      <c r="V2258">
        <f t="shared" si="71"/>
        <v>0</v>
      </c>
    </row>
    <row r="2259" spans="1:22" x14ac:dyDescent="0.2">
      <c r="A2259" t="s">
        <v>3845</v>
      </c>
      <c r="B2259" t="s">
        <v>49</v>
      </c>
      <c r="C2259" t="s">
        <v>76</v>
      </c>
      <c r="D2259" t="s">
        <v>77</v>
      </c>
      <c r="E2259" s="1" t="s">
        <v>89</v>
      </c>
      <c r="F2259" t="s">
        <v>90</v>
      </c>
      <c r="G2259">
        <v>32</v>
      </c>
      <c r="H2259">
        <v>1034767</v>
      </c>
      <c r="I2259">
        <v>212289</v>
      </c>
      <c r="J2259">
        <v>48</v>
      </c>
      <c r="K2259">
        <v>65</v>
      </c>
      <c r="L2259">
        <v>-822478</v>
      </c>
      <c r="M2259" s="1" t="s">
        <v>3874</v>
      </c>
      <c r="N2259" s="1" t="s">
        <v>3875</v>
      </c>
      <c r="O2259" s="1" t="s">
        <v>3876</v>
      </c>
      <c r="P2259">
        <v>0</v>
      </c>
      <c r="Q2259">
        <v>0</v>
      </c>
      <c r="R2259">
        <v>0</v>
      </c>
      <c r="S2259">
        <v>0</v>
      </c>
      <c r="T2259">
        <v>12.720721579999999</v>
      </c>
      <c r="U2259">
        <f t="shared" si="70"/>
        <v>0</v>
      </c>
      <c r="V2259">
        <f t="shared" si="71"/>
        <v>0</v>
      </c>
    </row>
    <row r="2260" spans="1:22" x14ac:dyDescent="0.2">
      <c r="A2260" t="s">
        <v>3845</v>
      </c>
      <c r="B2260" t="s">
        <v>49</v>
      </c>
      <c r="C2260" t="s">
        <v>76</v>
      </c>
      <c r="D2260" t="s">
        <v>77</v>
      </c>
      <c r="E2260" s="1" t="s">
        <v>89</v>
      </c>
      <c r="F2260" t="s">
        <v>90</v>
      </c>
      <c r="G2260">
        <v>33</v>
      </c>
      <c r="H2260">
        <v>342573</v>
      </c>
      <c r="I2260">
        <v>37112</v>
      </c>
      <c r="J2260">
        <v>82</v>
      </c>
      <c r="K2260">
        <v>77</v>
      </c>
      <c r="L2260">
        <v>-305461</v>
      </c>
      <c r="M2260">
        <v>0.90225581732225402</v>
      </c>
      <c r="N2260">
        <v>9.7744182677745997E-2</v>
      </c>
      <c r="O2260" s="1" t="s">
        <v>3877</v>
      </c>
      <c r="P2260">
        <v>0</v>
      </c>
      <c r="Q2260">
        <v>0</v>
      </c>
      <c r="R2260">
        <v>0</v>
      </c>
      <c r="S2260">
        <v>0</v>
      </c>
      <c r="T2260">
        <v>12.720721579999999</v>
      </c>
      <c r="U2260">
        <f t="shared" si="70"/>
        <v>0</v>
      </c>
      <c r="V2260">
        <f t="shared" si="71"/>
        <v>0</v>
      </c>
    </row>
    <row r="2261" spans="1:22" x14ac:dyDescent="0.2">
      <c r="A2261" t="s">
        <v>3845</v>
      </c>
      <c r="B2261" t="s">
        <v>49</v>
      </c>
      <c r="C2261" t="s">
        <v>76</v>
      </c>
      <c r="D2261" t="s">
        <v>77</v>
      </c>
      <c r="E2261">
        <v>15</v>
      </c>
      <c r="F2261" t="s">
        <v>88</v>
      </c>
      <c r="G2261">
        <v>82</v>
      </c>
      <c r="H2261">
        <v>529796</v>
      </c>
      <c r="I2261">
        <v>19720</v>
      </c>
      <c r="J2261">
        <v>72</v>
      </c>
      <c r="K2261">
        <v>74</v>
      </c>
      <c r="L2261">
        <v>-510076</v>
      </c>
      <c r="M2261" s="1" t="s">
        <v>3878</v>
      </c>
      <c r="N2261">
        <v>3.58861252447608E-2</v>
      </c>
      <c r="O2261" s="1" t="s">
        <v>3879</v>
      </c>
      <c r="P2261">
        <v>0</v>
      </c>
      <c r="Q2261">
        <v>0</v>
      </c>
      <c r="R2261">
        <v>0</v>
      </c>
      <c r="S2261">
        <v>0</v>
      </c>
      <c r="T2261">
        <v>12.720721579999999</v>
      </c>
      <c r="U2261">
        <f t="shared" si="70"/>
        <v>0</v>
      </c>
      <c r="V2261">
        <f t="shared" si="71"/>
        <v>0</v>
      </c>
    </row>
    <row r="2262" spans="1:22" x14ac:dyDescent="0.2">
      <c r="A2262" t="s">
        <v>3845</v>
      </c>
      <c r="B2262" t="s">
        <v>49</v>
      </c>
      <c r="C2262" t="s">
        <v>76</v>
      </c>
      <c r="D2262" t="s">
        <v>77</v>
      </c>
      <c r="E2262">
        <v>16</v>
      </c>
      <c r="F2262" t="s">
        <v>95</v>
      </c>
      <c r="G2262">
        <v>85</v>
      </c>
      <c r="H2262">
        <v>1598987</v>
      </c>
      <c r="I2262">
        <v>392223</v>
      </c>
      <c r="J2262">
        <v>93</v>
      </c>
      <c r="K2262">
        <v>82</v>
      </c>
      <c r="L2262">
        <v>-1206764</v>
      </c>
      <c r="M2262" s="1" t="s">
        <v>3880</v>
      </c>
      <c r="N2262" s="1" t="s">
        <v>3881</v>
      </c>
      <c r="O2262" s="1" t="s">
        <v>3882</v>
      </c>
      <c r="P2262">
        <v>0</v>
      </c>
      <c r="Q2262">
        <v>0</v>
      </c>
      <c r="R2262">
        <v>0</v>
      </c>
      <c r="S2262">
        <v>0</v>
      </c>
      <c r="T2262">
        <v>12.720721579999999</v>
      </c>
      <c r="U2262">
        <f t="shared" si="70"/>
        <v>0</v>
      </c>
      <c r="V2262">
        <f t="shared" si="71"/>
        <v>0</v>
      </c>
    </row>
    <row r="2263" spans="1:22" x14ac:dyDescent="0.2">
      <c r="A2263" t="s">
        <v>3845</v>
      </c>
      <c r="B2263" t="s">
        <v>49</v>
      </c>
      <c r="C2263" t="s">
        <v>76</v>
      </c>
      <c r="D2263" t="s">
        <v>77</v>
      </c>
      <c r="E2263">
        <v>15</v>
      </c>
      <c r="F2263" t="s">
        <v>88</v>
      </c>
      <c r="G2263">
        <v>81</v>
      </c>
      <c r="H2263">
        <v>1199882</v>
      </c>
      <c r="I2263">
        <v>0</v>
      </c>
      <c r="J2263">
        <v>37</v>
      </c>
      <c r="K2263">
        <v>59</v>
      </c>
      <c r="L2263">
        <v>-1199882</v>
      </c>
      <c r="M2263">
        <v>1</v>
      </c>
      <c r="N2263">
        <v>0</v>
      </c>
      <c r="O2263" s="1" t="s">
        <v>3883</v>
      </c>
      <c r="P2263">
        <v>0</v>
      </c>
      <c r="Q2263">
        <v>0</v>
      </c>
      <c r="R2263">
        <v>0</v>
      </c>
      <c r="S2263">
        <v>0</v>
      </c>
      <c r="T2263">
        <v>12.720721579999999</v>
      </c>
      <c r="U2263">
        <f t="shared" si="70"/>
        <v>0</v>
      </c>
      <c r="V2263">
        <f t="shared" si="71"/>
        <v>0</v>
      </c>
    </row>
    <row r="2264" spans="1:22" x14ac:dyDescent="0.2">
      <c r="A2264" t="s">
        <v>3845</v>
      </c>
      <c r="B2264" t="s">
        <v>49</v>
      </c>
      <c r="C2264" t="s">
        <v>76</v>
      </c>
      <c r="D2264" t="s">
        <v>77</v>
      </c>
      <c r="E2264">
        <v>16</v>
      </c>
      <c r="F2264" t="s">
        <v>95</v>
      </c>
      <c r="G2264">
        <v>84</v>
      </c>
      <c r="H2264">
        <v>4087760</v>
      </c>
      <c r="I2264">
        <v>516772</v>
      </c>
      <c r="J2264">
        <v>82</v>
      </c>
      <c r="K2264">
        <v>83</v>
      </c>
      <c r="L2264">
        <v>-3570988</v>
      </c>
      <c r="M2264" s="1" t="s">
        <v>3884</v>
      </c>
      <c r="N2264" s="1" t="s">
        <v>3885</v>
      </c>
      <c r="O2264">
        <v>2.0332176888921498E-3</v>
      </c>
      <c r="P2264">
        <v>0</v>
      </c>
      <c r="Q2264">
        <v>0</v>
      </c>
      <c r="R2264">
        <v>0</v>
      </c>
      <c r="S2264">
        <v>0</v>
      </c>
      <c r="T2264">
        <v>12.720721579999999</v>
      </c>
      <c r="U2264">
        <f t="shared" si="70"/>
        <v>0</v>
      </c>
      <c r="V2264">
        <f t="shared" si="71"/>
        <v>0</v>
      </c>
    </row>
    <row r="2265" spans="1:22" x14ac:dyDescent="0.2">
      <c r="A2265" t="s">
        <v>3845</v>
      </c>
      <c r="B2265" t="s">
        <v>49</v>
      </c>
      <c r="C2265" t="s">
        <v>76</v>
      </c>
      <c r="D2265" t="s">
        <v>77</v>
      </c>
      <c r="E2265">
        <v>20</v>
      </c>
      <c r="F2265" t="s">
        <v>104</v>
      </c>
      <c r="G2265">
        <v>94</v>
      </c>
      <c r="H2265">
        <v>34407</v>
      </c>
      <c r="I2265">
        <v>9577</v>
      </c>
      <c r="J2265">
        <v>100</v>
      </c>
      <c r="K2265">
        <v>80</v>
      </c>
      <c r="L2265">
        <v>-24830</v>
      </c>
      <c r="M2265" s="1" t="s">
        <v>3886</v>
      </c>
      <c r="N2265" s="1" t="s">
        <v>3887</v>
      </c>
      <c r="O2265" s="1" t="s">
        <v>3888</v>
      </c>
      <c r="P2265">
        <v>0</v>
      </c>
      <c r="Q2265">
        <v>0</v>
      </c>
      <c r="R2265">
        <v>0</v>
      </c>
      <c r="S2265">
        <v>0</v>
      </c>
      <c r="T2265">
        <v>12.720721579999999</v>
      </c>
      <c r="U2265">
        <f t="shared" si="70"/>
        <v>0</v>
      </c>
      <c r="V2265">
        <f t="shared" si="71"/>
        <v>0</v>
      </c>
    </row>
    <row r="2266" spans="1:22" x14ac:dyDescent="0.2">
      <c r="A2266" t="s">
        <v>3845</v>
      </c>
      <c r="B2266" t="s">
        <v>49</v>
      </c>
      <c r="C2266" t="s">
        <v>76</v>
      </c>
      <c r="D2266" t="s">
        <v>77</v>
      </c>
      <c r="E2266">
        <v>11</v>
      </c>
      <c r="F2266" t="s">
        <v>127</v>
      </c>
      <c r="G2266">
        <v>63</v>
      </c>
      <c r="H2266">
        <v>31783</v>
      </c>
      <c r="I2266">
        <v>33576</v>
      </c>
      <c r="J2266">
        <v>85</v>
      </c>
      <c r="K2266">
        <v>74</v>
      </c>
      <c r="L2266">
        <v>1793</v>
      </c>
      <c r="M2266" s="1" t="s">
        <v>3889</v>
      </c>
      <c r="N2266">
        <v>0.51371655013081596</v>
      </c>
      <c r="O2266" s="1" t="s">
        <v>3890</v>
      </c>
      <c r="P2266">
        <v>0</v>
      </c>
      <c r="Q2266">
        <v>0</v>
      </c>
      <c r="R2266">
        <v>0</v>
      </c>
      <c r="S2266">
        <v>0</v>
      </c>
      <c r="T2266">
        <v>12.720721579999999</v>
      </c>
      <c r="U2266">
        <f t="shared" si="70"/>
        <v>0</v>
      </c>
      <c r="V2266">
        <f t="shared" si="71"/>
        <v>0</v>
      </c>
    </row>
    <row r="2267" spans="1:22" x14ac:dyDescent="0.2">
      <c r="A2267" t="s">
        <v>3845</v>
      </c>
      <c r="B2267" t="s">
        <v>49</v>
      </c>
      <c r="C2267" t="s">
        <v>76</v>
      </c>
      <c r="D2267" t="s">
        <v>77</v>
      </c>
      <c r="E2267" s="1" t="s">
        <v>89</v>
      </c>
      <c r="F2267" t="s">
        <v>90</v>
      </c>
      <c r="G2267">
        <v>30</v>
      </c>
      <c r="H2267">
        <v>151282</v>
      </c>
      <c r="I2267">
        <v>0</v>
      </c>
      <c r="J2267">
        <v>91</v>
      </c>
      <c r="K2267">
        <v>91</v>
      </c>
      <c r="L2267">
        <v>-151282</v>
      </c>
      <c r="M2267">
        <v>1</v>
      </c>
      <c r="N2267">
        <v>0</v>
      </c>
      <c r="O2267" s="1" t="s">
        <v>3891</v>
      </c>
      <c r="P2267">
        <v>0</v>
      </c>
      <c r="Q2267">
        <v>0</v>
      </c>
      <c r="R2267">
        <v>0</v>
      </c>
      <c r="S2267">
        <v>0</v>
      </c>
      <c r="T2267">
        <v>12.720721579999999</v>
      </c>
      <c r="U2267">
        <f t="shared" si="70"/>
        <v>0</v>
      </c>
      <c r="V2267">
        <f t="shared" si="71"/>
        <v>0</v>
      </c>
    </row>
    <row r="2268" spans="1:22" x14ac:dyDescent="0.2">
      <c r="A2268" t="s">
        <v>3845</v>
      </c>
      <c r="B2268" t="s">
        <v>49</v>
      </c>
      <c r="C2268" t="s">
        <v>76</v>
      </c>
      <c r="D2268" t="s">
        <v>77</v>
      </c>
      <c r="E2268">
        <v>19</v>
      </c>
      <c r="F2268" t="s">
        <v>838</v>
      </c>
      <c r="G2268">
        <v>93</v>
      </c>
      <c r="H2268">
        <v>65102</v>
      </c>
      <c r="I2268">
        <v>0</v>
      </c>
      <c r="J2268">
        <v>58</v>
      </c>
      <c r="K2268">
        <v>36</v>
      </c>
      <c r="L2268">
        <v>-65102</v>
      </c>
      <c r="M2268">
        <v>1</v>
      </c>
      <c r="N2268">
        <v>0</v>
      </c>
      <c r="O2268" s="1" t="s">
        <v>3892</v>
      </c>
      <c r="P2268">
        <v>0</v>
      </c>
      <c r="Q2268">
        <v>0</v>
      </c>
      <c r="R2268">
        <v>0</v>
      </c>
      <c r="S2268">
        <v>0</v>
      </c>
      <c r="T2268">
        <v>12.720721579999999</v>
      </c>
      <c r="U2268">
        <f t="shared" si="70"/>
        <v>0</v>
      </c>
      <c r="V2268">
        <f t="shared" si="71"/>
        <v>0</v>
      </c>
    </row>
    <row r="2269" spans="1:22" x14ac:dyDescent="0.2">
      <c r="A2269" t="s">
        <v>3845</v>
      </c>
      <c r="B2269" t="s">
        <v>49</v>
      </c>
      <c r="C2269" t="s">
        <v>76</v>
      </c>
      <c r="D2269" t="s">
        <v>77</v>
      </c>
      <c r="E2269">
        <v>17</v>
      </c>
      <c r="F2269" t="s">
        <v>97</v>
      </c>
      <c r="G2269">
        <v>86</v>
      </c>
      <c r="H2269">
        <v>13322</v>
      </c>
      <c r="I2269">
        <v>0</v>
      </c>
      <c r="J2269">
        <v>66</v>
      </c>
      <c r="K2269">
        <v>64</v>
      </c>
      <c r="L2269">
        <v>-13322</v>
      </c>
      <c r="M2269">
        <v>1</v>
      </c>
      <c r="N2269">
        <v>0</v>
      </c>
      <c r="O2269" s="1" t="s">
        <v>3893</v>
      </c>
      <c r="P2269">
        <v>0</v>
      </c>
      <c r="Q2269">
        <v>0</v>
      </c>
      <c r="R2269">
        <v>0</v>
      </c>
      <c r="S2269">
        <v>0</v>
      </c>
      <c r="T2269">
        <v>12.720721579999999</v>
      </c>
      <c r="U2269">
        <f t="shared" si="70"/>
        <v>0</v>
      </c>
      <c r="V2269">
        <f t="shared" si="71"/>
        <v>0</v>
      </c>
    </row>
    <row r="2270" spans="1:22" x14ac:dyDescent="0.2">
      <c r="A2270" t="s">
        <v>3845</v>
      </c>
      <c r="B2270" t="s">
        <v>49</v>
      </c>
      <c r="C2270" t="s">
        <v>76</v>
      </c>
      <c r="D2270" t="s">
        <v>77</v>
      </c>
      <c r="E2270">
        <v>17</v>
      </c>
      <c r="F2270" t="s">
        <v>97</v>
      </c>
      <c r="G2270">
        <v>87</v>
      </c>
      <c r="H2270">
        <v>3819591</v>
      </c>
      <c r="I2270">
        <v>320389</v>
      </c>
      <c r="J2270">
        <v>68</v>
      </c>
      <c r="K2270">
        <v>70</v>
      </c>
      <c r="L2270">
        <v>-3499202</v>
      </c>
      <c r="M2270">
        <v>0.92261097879699905</v>
      </c>
      <c r="N2270">
        <v>7.7389021203000896E-2</v>
      </c>
      <c r="O2270">
        <v>1.8280860177885001E-3</v>
      </c>
      <c r="P2270">
        <v>0</v>
      </c>
      <c r="Q2270">
        <v>0</v>
      </c>
      <c r="R2270">
        <v>0</v>
      </c>
      <c r="S2270">
        <v>0</v>
      </c>
      <c r="T2270">
        <v>12.720721579999999</v>
      </c>
      <c r="U2270">
        <f t="shared" si="70"/>
        <v>0</v>
      </c>
      <c r="V2270">
        <f t="shared" si="71"/>
        <v>0</v>
      </c>
    </row>
    <row r="2271" spans="1:22" x14ac:dyDescent="0.2">
      <c r="A2271" t="s">
        <v>3845</v>
      </c>
      <c r="B2271" t="s">
        <v>49</v>
      </c>
      <c r="C2271" t="s">
        <v>76</v>
      </c>
      <c r="D2271" t="s">
        <v>77</v>
      </c>
      <c r="E2271" s="1" t="s">
        <v>82</v>
      </c>
      <c r="F2271" t="s">
        <v>83</v>
      </c>
      <c r="G2271" s="1" t="s">
        <v>93</v>
      </c>
      <c r="H2271">
        <v>10436</v>
      </c>
      <c r="I2271">
        <v>13510</v>
      </c>
      <c r="J2271">
        <v>82</v>
      </c>
      <c r="K2271">
        <v>93</v>
      </c>
      <c r="L2271">
        <v>3074</v>
      </c>
      <c r="M2271" s="1" t="s">
        <v>3894</v>
      </c>
      <c r="N2271" s="1" t="s">
        <v>3895</v>
      </c>
      <c r="O2271" s="1" t="s">
        <v>3896</v>
      </c>
      <c r="P2271">
        <v>0</v>
      </c>
      <c r="Q2271">
        <v>0</v>
      </c>
      <c r="R2271">
        <v>0</v>
      </c>
      <c r="S2271">
        <v>0</v>
      </c>
      <c r="T2271">
        <v>12.720721579999999</v>
      </c>
      <c r="U2271">
        <f t="shared" si="70"/>
        <v>0</v>
      </c>
      <c r="V2271">
        <f t="shared" si="71"/>
        <v>0</v>
      </c>
    </row>
    <row r="2272" spans="1:22" x14ac:dyDescent="0.2">
      <c r="A2272" t="s">
        <v>3845</v>
      </c>
      <c r="B2272" t="s">
        <v>49</v>
      </c>
      <c r="C2272" t="s">
        <v>76</v>
      </c>
      <c r="D2272" t="s">
        <v>77</v>
      </c>
      <c r="E2272">
        <v>15</v>
      </c>
      <c r="F2272" t="s">
        <v>88</v>
      </c>
      <c r="G2272">
        <v>73</v>
      </c>
      <c r="H2272">
        <v>531685</v>
      </c>
      <c r="I2272">
        <v>39023</v>
      </c>
      <c r="J2272">
        <v>90</v>
      </c>
      <c r="K2272">
        <v>79</v>
      </c>
      <c r="L2272">
        <v>-492662</v>
      </c>
      <c r="M2272" s="1" t="s">
        <v>3897</v>
      </c>
      <c r="N2272">
        <v>6.8376472732115195E-2</v>
      </c>
      <c r="O2272" s="1" t="s">
        <v>3898</v>
      </c>
      <c r="P2272">
        <v>0</v>
      </c>
      <c r="Q2272">
        <v>0</v>
      </c>
      <c r="R2272">
        <v>0</v>
      </c>
      <c r="S2272">
        <v>0</v>
      </c>
      <c r="T2272">
        <v>12.720721579999999</v>
      </c>
      <c r="U2272">
        <f t="shared" si="70"/>
        <v>0</v>
      </c>
      <c r="V2272">
        <f t="shared" si="71"/>
        <v>0</v>
      </c>
    </row>
    <row r="2273" spans="1:22" x14ac:dyDescent="0.2">
      <c r="A2273" t="s">
        <v>3845</v>
      </c>
      <c r="B2273" t="s">
        <v>49</v>
      </c>
      <c r="C2273" t="s">
        <v>76</v>
      </c>
      <c r="D2273" t="s">
        <v>77</v>
      </c>
      <c r="E2273">
        <v>13</v>
      </c>
      <c r="F2273" t="s">
        <v>91</v>
      </c>
      <c r="G2273">
        <v>70</v>
      </c>
      <c r="H2273">
        <v>83100</v>
      </c>
      <c r="I2273">
        <v>397</v>
      </c>
      <c r="J2273">
        <v>91</v>
      </c>
      <c r="K2273">
        <v>80</v>
      </c>
      <c r="L2273">
        <v>-82703</v>
      </c>
      <c r="M2273" s="1" t="s">
        <v>3899</v>
      </c>
      <c r="N2273">
        <v>4.7546618441381104E-3</v>
      </c>
      <c r="O2273" s="1" t="s">
        <v>3900</v>
      </c>
      <c r="P2273">
        <v>0</v>
      </c>
      <c r="Q2273">
        <v>0</v>
      </c>
      <c r="R2273">
        <v>0</v>
      </c>
      <c r="S2273">
        <v>0</v>
      </c>
      <c r="T2273">
        <v>12.720721579999999</v>
      </c>
      <c r="U2273">
        <f t="shared" si="70"/>
        <v>0</v>
      </c>
      <c r="V2273">
        <f t="shared" si="71"/>
        <v>0</v>
      </c>
    </row>
    <row r="2274" spans="1:22" x14ac:dyDescent="0.2">
      <c r="A2274" t="s">
        <v>3845</v>
      </c>
      <c r="B2274" t="s">
        <v>49</v>
      </c>
      <c r="C2274" t="s">
        <v>76</v>
      </c>
      <c r="D2274" t="s">
        <v>77</v>
      </c>
      <c r="E2274">
        <v>11</v>
      </c>
      <c r="F2274" t="s">
        <v>127</v>
      </c>
      <c r="G2274">
        <v>56</v>
      </c>
      <c r="H2274">
        <v>786</v>
      </c>
      <c r="I2274">
        <v>253598</v>
      </c>
      <c r="J2274">
        <v>91</v>
      </c>
      <c r="K2274">
        <v>54</v>
      </c>
      <c r="L2274">
        <v>252812</v>
      </c>
      <c r="M2274">
        <v>3.0898169696207301E-3</v>
      </c>
      <c r="N2274" s="1" t="s">
        <v>3901</v>
      </c>
      <c r="O2274" s="1" t="s">
        <v>3902</v>
      </c>
      <c r="P2274">
        <v>0</v>
      </c>
      <c r="Q2274">
        <v>0</v>
      </c>
      <c r="R2274">
        <v>0</v>
      </c>
      <c r="S2274">
        <v>0</v>
      </c>
      <c r="T2274">
        <v>12.720721579999999</v>
      </c>
      <c r="U2274">
        <f t="shared" si="70"/>
        <v>0</v>
      </c>
      <c r="V2274">
        <f t="shared" si="71"/>
        <v>0</v>
      </c>
    </row>
    <row r="2275" spans="1:22" x14ac:dyDescent="0.2">
      <c r="A2275" t="s">
        <v>3845</v>
      </c>
      <c r="B2275" t="s">
        <v>49</v>
      </c>
      <c r="C2275" t="s">
        <v>76</v>
      </c>
      <c r="D2275" t="s">
        <v>77</v>
      </c>
      <c r="E2275">
        <v>11</v>
      </c>
      <c r="F2275" t="s">
        <v>127</v>
      </c>
      <c r="G2275">
        <v>61</v>
      </c>
      <c r="H2275">
        <v>1854</v>
      </c>
      <c r="I2275">
        <v>967473</v>
      </c>
      <c r="J2275">
        <v>101</v>
      </c>
      <c r="K2275">
        <v>59</v>
      </c>
      <c r="L2275">
        <v>965619</v>
      </c>
      <c r="M2275">
        <v>1.91266724232379E-3</v>
      </c>
      <c r="N2275" s="1" t="s">
        <v>3903</v>
      </c>
      <c r="O2275" s="1" t="s">
        <v>3904</v>
      </c>
      <c r="P2275">
        <v>0</v>
      </c>
      <c r="Q2275">
        <v>0</v>
      </c>
      <c r="R2275">
        <v>0</v>
      </c>
      <c r="S2275">
        <v>0</v>
      </c>
      <c r="T2275">
        <v>12.720721579999999</v>
      </c>
      <c r="U2275">
        <f t="shared" si="70"/>
        <v>0</v>
      </c>
      <c r="V2275">
        <f t="shared" si="71"/>
        <v>0</v>
      </c>
    </row>
    <row r="2276" spans="1:22" x14ac:dyDescent="0.2">
      <c r="A2276" t="s">
        <v>3845</v>
      </c>
      <c r="B2276" t="s">
        <v>49</v>
      </c>
      <c r="C2276" t="s">
        <v>76</v>
      </c>
      <c r="D2276" t="s">
        <v>77</v>
      </c>
      <c r="E2276" s="1" t="s">
        <v>89</v>
      </c>
      <c r="F2276" t="s">
        <v>90</v>
      </c>
      <c r="G2276">
        <v>34</v>
      </c>
      <c r="H2276">
        <v>63710</v>
      </c>
      <c r="I2276">
        <v>3106</v>
      </c>
      <c r="J2276">
        <v>89</v>
      </c>
      <c r="K2276">
        <v>80</v>
      </c>
      <c r="L2276">
        <v>-60604</v>
      </c>
      <c r="M2276" s="1" t="s">
        <v>3905</v>
      </c>
      <c r="N2276">
        <v>4.6485871647509502E-2</v>
      </c>
      <c r="O2276" s="1" t="s">
        <v>3906</v>
      </c>
      <c r="P2276">
        <v>0</v>
      </c>
      <c r="Q2276">
        <v>0</v>
      </c>
      <c r="R2276">
        <v>0</v>
      </c>
      <c r="S2276">
        <v>0</v>
      </c>
      <c r="T2276">
        <v>12.720721579999999</v>
      </c>
      <c r="U2276">
        <f t="shared" si="70"/>
        <v>0</v>
      </c>
      <c r="V2276">
        <f t="shared" si="71"/>
        <v>0</v>
      </c>
    </row>
    <row r="2277" spans="1:22" x14ac:dyDescent="0.2">
      <c r="A2277" t="s">
        <v>3845</v>
      </c>
      <c r="B2277" t="s">
        <v>49</v>
      </c>
      <c r="C2277" t="s">
        <v>76</v>
      </c>
      <c r="D2277" t="s">
        <v>77</v>
      </c>
      <c r="E2277">
        <v>15</v>
      </c>
      <c r="F2277" t="s">
        <v>88</v>
      </c>
      <c r="G2277">
        <v>83</v>
      </c>
      <c r="H2277">
        <v>1813</v>
      </c>
      <c r="I2277">
        <v>0</v>
      </c>
      <c r="J2277">
        <v>105</v>
      </c>
      <c r="K2277">
        <v>85</v>
      </c>
      <c r="L2277">
        <v>-1813</v>
      </c>
      <c r="M2277">
        <v>1</v>
      </c>
      <c r="N2277">
        <v>0</v>
      </c>
      <c r="O2277" s="1" t="s">
        <v>3907</v>
      </c>
      <c r="P2277">
        <v>0</v>
      </c>
      <c r="Q2277">
        <v>0</v>
      </c>
      <c r="R2277">
        <v>0</v>
      </c>
      <c r="S2277">
        <v>0</v>
      </c>
      <c r="T2277">
        <v>12.720721579999999</v>
      </c>
      <c r="U2277">
        <f t="shared" si="70"/>
        <v>0</v>
      </c>
      <c r="V2277">
        <f t="shared" si="71"/>
        <v>0</v>
      </c>
    </row>
    <row r="2278" spans="1:22" x14ac:dyDescent="0.2">
      <c r="A2278" t="s">
        <v>3845</v>
      </c>
      <c r="B2278" t="s">
        <v>49</v>
      </c>
      <c r="C2278" t="s">
        <v>76</v>
      </c>
      <c r="D2278" t="s">
        <v>77</v>
      </c>
      <c r="E2278" s="1" t="s">
        <v>155</v>
      </c>
      <c r="F2278" t="s">
        <v>156</v>
      </c>
      <c r="G2278" s="1" t="s">
        <v>110</v>
      </c>
      <c r="H2278">
        <v>656355</v>
      </c>
      <c r="I2278">
        <v>5529425</v>
      </c>
      <c r="J2278">
        <v>65</v>
      </c>
      <c r="K2278">
        <v>30</v>
      </c>
      <c r="L2278">
        <v>4873070</v>
      </c>
      <c r="M2278" s="1" t="s">
        <v>3908</v>
      </c>
      <c r="N2278" s="1" t="s">
        <v>3909</v>
      </c>
      <c r="O2278">
        <v>2.7314474773104599E-3</v>
      </c>
      <c r="P2278">
        <v>0</v>
      </c>
      <c r="Q2278">
        <v>0</v>
      </c>
      <c r="R2278">
        <v>0</v>
      </c>
      <c r="S2278">
        <v>0</v>
      </c>
      <c r="T2278">
        <v>12.720721579999999</v>
      </c>
      <c r="U2278">
        <f t="shared" si="70"/>
        <v>0</v>
      </c>
      <c r="V2278">
        <f t="shared" si="71"/>
        <v>0</v>
      </c>
    </row>
    <row r="2279" spans="1:22" x14ac:dyDescent="0.2">
      <c r="A2279" t="s">
        <v>3845</v>
      </c>
      <c r="B2279" t="s">
        <v>49</v>
      </c>
      <c r="C2279" t="s">
        <v>76</v>
      </c>
      <c r="D2279" t="s">
        <v>77</v>
      </c>
      <c r="E2279">
        <v>10</v>
      </c>
      <c r="F2279" t="s">
        <v>119</v>
      </c>
      <c r="G2279">
        <v>49</v>
      </c>
      <c r="H2279">
        <v>1910</v>
      </c>
      <c r="I2279">
        <v>68</v>
      </c>
      <c r="J2279">
        <v>111</v>
      </c>
      <c r="K2279">
        <v>102</v>
      </c>
      <c r="L2279">
        <v>-1842</v>
      </c>
      <c r="M2279" s="1" t="s">
        <v>3910</v>
      </c>
      <c r="N2279" s="1" t="s">
        <v>3911</v>
      </c>
      <c r="O2279" s="1" t="s">
        <v>3912</v>
      </c>
      <c r="P2279">
        <v>0</v>
      </c>
      <c r="Q2279">
        <v>0</v>
      </c>
      <c r="R2279">
        <v>0</v>
      </c>
      <c r="S2279">
        <v>0</v>
      </c>
      <c r="T2279">
        <v>12.720721579999999</v>
      </c>
      <c r="U2279">
        <f t="shared" si="70"/>
        <v>0</v>
      </c>
      <c r="V2279">
        <f t="shared" si="71"/>
        <v>0</v>
      </c>
    </row>
    <row r="2280" spans="1:22" x14ac:dyDescent="0.2">
      <c r="A2280" t="s">
        <v>3845</v>
      </c>
      <c r="B2280" t="s">
        <v>49</v>
      </c>
      <c r="C2280" t="s">
        <v>76</v>
      </c>
      <c r="D2280" t="s">
        <v>77</v>
      </c>
      <c r="E2280" s="1" t="s">
        <v>82</v>
      </c>
      <c r="F2280" t="s">
        <v>83</v>
      </c>
      <c r="G2280" s="1" t="s">
        <v>163</v>
      </c>
      <c r="H2280">
        <v>0</v>
      </c>
      <c r="I2280">
        <v>27548051</v>
      </c>
      <c r="J2280">
        <v>74</v>
      </c>
      <c r="K2280">
        <v>38</v>
      </c>
      <c r="L2280">
        <v>27548051</v>
      </c>
      <c r="M2280">
        <v>0</v>
      </c>
      <c r="N2280">
        <v>1</v>
      </c>
      <c r="O2280" s="1" t="s">
        <v>3913</v>
      </c>
      <c r="P2280">
        <v>0</v>
      </c>
      <c r="Q2280">
        <v>0</v>
      </c>
      <c r="R2280">
        <v>0</v>
      </c>
      <c r="S2280">
        <v>0</v>
      </c>
      <c r="T2280">
        <v>12.720721579999999</v>
      </c>
      <c r="U2280">
        <f t="shared" si="70"/>
        <v>0</v>
      </c>
      <c r="V2280">
        <f t="shared" si="71"/>
        <v>0</v>
      </c>
    </row>
    <row r="2281" spans="1:22" x14ac:dyDescent="0.2">
      <c r="A2281" t="s">
        <v>3845</v>
      </c>
      <c r="B2281" t="s">
        <v>49</v>
      </c>
      <c r="C2281" t="s">
        <v>76</v>
      </c>
      <c r="D2281" t="s">
        <v>77</v>
      </c>
      <c r="E2281" s="1" t="s">
        <v>93</v>
      </c>
      <c r="F2281" t="s">
        <v>94</v>
      </c>
      <c r="G2281">
        <v>46</v>
      </c>
      <c r="H2281">
        <v>0</v>
      </c>
      <c r="I2281">
        <v>793</v>
      </c>
      <c r="J2281">
        <v>47</v>
      </c>
      <c r="K2281">
        <v>46</v>
      </c>
      <c r="L2281">
        <v>793</v>
      </c>
      <c r="M2281">
        <v>0</v>
      </c>
      <c r="N2281">
        <v>1</v>
      </c>
      <c r="O2281" s="1" t="s">
        <v>3914</v>
      </c>
      <c r="P2281">
        <v>0</v>
      </c>
      <c r="Q2281">
        <v>0</v>
      </c>
      <c r="R2281">
        <v>0</v>
      </c>
      <c r="S2281">
        <v>0</v>
      </c>
      <c r="T2281">
        <v>12.720721579999999</v>
      </c>
      <c r="U2281">
        <f t="shared" si="70"/>
        <v>0</v>
      </c>
      <c r="V2281">
        <f t="shared" si="71"/>
        <v>0</v>
      </c>
    </row>
    <row r="2282" spans="1:22" x14ac:dyDescent="0.2">
      <c r="A2282" t="s">
        <v>3845</v>
      </c>
      <c r="B2282" t="s">
        <v>49</v>
      </c>
      <c r="C2282" t="s">
        <v>76</v>
      </c>
      <c r="D2282" t="s">
        <v>77</v>
      </c>
      <c r="E2282">
        <v>13</v>
      </c>
      <c r="F2282" t="s">
        <v>91</v>
      </c>
      <c r="G2282">
        <v>69</v>
      </c>
      <c r="H2282">
        <v>0</v>
      </c>
      <c r="I2282">
        <v>1056378</v>
      </c>
      <c r="J2282">
        <v>121</v>
      </c>
      <c r="K2282">
        <v>44</v>
      </c>
      <c r="L2282">
        <v>1056378</v>
      </c>
      <c r="M2282">
        <v>0</v>
      </c>
      <c r="N2282">
        <v>1</v>
      </c>
      <c r="O2282" s="1" t="s">
        <v>3915</v>
      </c>
      <c r="P2282">
        <v>0</v>
      </c>
      <c r="Q2282">
        <v>0</v>
      </c>
      <c r="R2282">
        <v>0</v>
      </c>
      <c r="S2282">
        <v>0</v>
      </c>
      <c r="T2282">
        <v>12.720721579999999</v>
      </c>
      <c r="U2282">
        <f t="shared" si="70"/>
        <v>0</v>
      </c>
      <c r="V2282">
        <f t="shared" si="71"/>
        <v>0</v>
      </c>
    </row>
    <row r="2283" spans="1:22" x14ac:dyDescent="0.2">
      <c r="A2283" t="s">
        <v>3845</v>
      </c>
      <c r="B2283" t="s">
        <v>49</v>
      </c>
      <c r="C2283" t="s">
        <v>76</v>
      </c>
      <c r="D2283" t="s">
        <v>77</v>
      </c>
      <c r="E2283">
        <v>11</v>
      </c>
      <c r="F2283" t="s">
        <v>127</v>
      </c>
      <c r="G2283">
        <v>58</v>
      </c>
      <c r="H2283">
        <v>75</v>
      </c>
      <c r="I2283">
        <v>2979</v>
      </c>
      <c r="J2283">
        <v>76</v>
      </c>
      <c r="K2283">
        <v>54</v>
      </c>
      <c r="L2283">
        <v>2904</v>
      </c>
      <c r="M2283">
        <v>2.4557956777996E-2</v>
      </c>
      <c r="N2283" s="1" t="s">
        <v>3916</v>
      </c>
      <c r="O2283" s="1" t="s">
        <v>3917</v>
      </c>
      <c r="P2283">
        <v>0</v>
      </c>
      <c r="Q2283">
        <v>0</v>
      </c>
      <c r="R2283">
        <v>0</v>
      </c>
      <c r="S2283">
        <v>0</v>
      </c>
      <c r="T2283">
        <v>12.720721579999999</v>
      </c>
      <c r="U2283">
        <f t="shared" si="70"/>
        <v>0</v>
      </c>
      <c r="V2283">
        <f t="shared" si="71"/>
        <v>0</v>
      </c>
    </row>
    <row r="2284" spans="1:22" x14ac:dyDescent="0.2">
      <c r="A2284" t="s">
        <v>3845</v>
      </c>
      <c r="B2284" t="s">
        <v>49</v>
      </c>
      <c r="C2284" t="s">
        <v>76</v>
      </c>
      <c r="D2284" t="s">
        <v>77</v>
      </c>
      <c r="E2284">
        <v>11</v>
      </c>
      <c r="F2284" t="s">
        <v>127</v>
      </c>
      <c r="G2284">
        <v>62</v>
      </c>
      <c r="H2284">
        <v>9343</v>
      </c>
      <c r="I2284">
        <v>2290111</v>
      </c>
      <c r="J2284">
        <v>96</v>
      </c>
      <c r="K2284">
        <v>51</v>
      </c>
      <c r="L2284">
        <v>2280768</v>
      </c>
      <c r="M2284">
        <v>4.0631384667838503E-3</v>
      </c>
      <c r="N2284" s="1" t="s">
        <v>3918</v>
      </c>
      <c r="O2284">
        <v>1.01536715296881E-3</v>
      </c>
      <c r="P2284">
        <v>0</v>
      </c>
      <c r="Q2284">
        <v>0</v>
      </c>
      <c r="R2284">
        <v>0</v>
      </c>
      <c r="S2284">
        <v>0</v>
      </c>
      <c r="T2284">
        <v>12.720721579999999</v>
      </c>
      <c r="U2284">
        <f t="shared" si="70"/>
        <v>0</v>
      </c>
      <c r="V2284">
        <f t="shared" si="71"/>
        <v>0</v>
      </c>
    </row>
    <row r="2285" spans="1:22" x14ac:dyDescent="0.2">
      <c r="A2285" t="s">
        <v>3845</v>
      </c>
      <c r="B2285" t="s">
        <v>49</v>
      </c>
      <c r="C2285" t="s">
        <v>76</v>
      </c>
      <c r="D2285" t="s">
        <v>77</v>
      </c>
      <c r="E2285">
        <v>99</v>
      </c>
      <c r="F2285" t="s">
        <v>78</v>
      </c>
      <c r="G2285">
        <v>99</v>
      </c>
      <c r="H2285">
        <v>11108330</v>
      </c>
      <c r="I2285">
        <v>793362</v>
      </c>
      <c r="J2285">
        <v>40</v>
      </c>
      <c r="K2285">
        <v>51</v>
      </c>
      <c r="L2285">
        <v>-10314968</v>
      </c>
      <c r="M2285" s="1" t="s">
        <v>3919</v>
      </c>
      <c r="N2285">
        <v>6.6659597643763599E-2</v>
      </c>
      <c r="O2285">
        <v>5.2554159037544396E-3</v>
      </c>
      <c r="P2285">
        <v>0</v>
      </c>
      <c r="Q2285">
        <v>0</v>
      </c>
      <c r="R2285">
        <v>0</v>
      </c>
      <c r="S2285">
        <v>0</v>
      </c>
      <c r="T2285">
        <v>12.720721579999999</v>
      </c>
      <c r="U2285">
        <f t="shared" si="70"/>
        <v>0</v>
      </c>
      <c r="V2285">
        <f t="shared" si="71"/>
        <v>0</v>
      </c>
    </row>
    <row r="2286" spans="1:22" x14ac:dyDescent="0.2">
      <c r="A2286" t="s">
        <v>3845</v>
      </c>
      <c r="B2286" t="s">
        <v>49</v>
      </c>
      <c r="C2286" t="s">
        <v>76</v>
      </c>
      <c r="D2286" t="s">
        <v>77</v>
      </c>
      <c r="E2286" s="1" t="s">
        <v>82</v>
      </c>
      <c r="F2286" t="s">
        <v>83</v>
      </c>
      <c r="G2286" s="1" t="s">
        <v>89</v>
      </c>
      <c r="H2286">
        <v>0</v>
      </c>
      <c r="I2286">
        <v>3405</v>
      </c>
      <c r="J2286">
        <v>49</v>
      </c>
      <c r="K2286">
        <v>65</v>
      </c>
      <c r="L2286">
        <v>3405</v>
      </c>
      <c r="M2286">
        <v>0</v>
      </c>
      <c r="N2286">
        <v>1</v>
      </c>
      <c r="O2286" s="1" t="s">
        <v>3920</v>
      </c>
      <c r="P2286">
        <v>0</v>
      </c>
      <c r="Q2286">
        <v>0</v>
      </c>
      <c r="R2286">
        <v>0</v>
      </c>
      <c r="S2286">
        <v>0</v>
      </c>
      <c r="T2286">
        <v>12.720721579999999</v>
      </c>
      <c r="U2286">
        <f t="shared" si="70"/>
        <v>0</v>
      </c>
      <c r="V2286">
        <f t="shared" si="71"/>
        <v>0</v>
      </c>
    </row>
    <row r="2287" spans="1:22" x14ac:dyDescent="0.2">
      <c r="A2287" t="s">
        <v>3845</v>
      </c>
      <c r="B2287" t="s">
        <v>49</v>
      </c>
      <c r="C2287" t="s">
        <v>76</v>
      </c>
      <c r="D2287" t="s">
        <v>77</v>
      </c>
      <c r="E2287">
        <v>13</v>
      </c>
      <c r="F2287" t="s">
        <v>91</v>
      </c>
      <c r="G2287">
        <v>68</v>
      </c>
      <c r="H2287">
        <v>297</v>
      </c>
      <c r="I2287">
        <v>11428</v>
      </c>
      <c r="J2287">
        <v>121</v>
      </c>
      <c r="K2287">
        <v>74</v>
      </c>
      <c r="L2287">
        <v>11131</v>
      </c>
      <c r="M2287">
        <v>2.5330490405117201E-2</v>
      </c>
      <c r="N2287" s="1" t="s">
        <v>3921</v>
      </c>
      <c r="O2287" s="1" t="s">
        <v>3922</v>
      </c>
      <c r="P2287">
        <v>0</v>
      </c>
      <c r="Q2287">
        <v>0</v>
      </c>
      <c r="R2287">
        <v>0</v>
      </c>
      <c r="S2287">
        <v>0</v>
      </c>
      <c r="T2287">
        <v>12.720721579999999</v>
      </c>
      <c r="U2287">
        <f t="shared" si="70"/>
        <v>0</v>
      </c>
      <c r="V2287">
        <f t="shared" si="71"/>
        <v>0</v>
      </c>
    </row>
    <row r="2288" spans="1:22" x14ac:dyDescent="0.2">
      <c r="A2288" t="s">
        <v>3845</v>
      </c>
      <c r="B2288" t="s">
        <v>49</v>
      </c>
      <c r="C2288" t="s">
        <v>76</v>
      </c>
      <c r="D2288" t="s">
        <v>77</v>
      </c>
      <c r="E2288">
        <v>12</v>
      </c>
      <c r="F2288" t="s">
        <v>194</v>
      </c>
      <c r="G2288">
        <v>64</v>
      </c>
      <c r="H2288">
        <v>0</v>
      </c>
      <c r="I2288">
        <v>2061580</v>
      </c>
      <c r="J2288">
        <v>124</v>
      </c>
      <c r="K2288">
        <v>50</v>
      </c>
      <c r="L2288">
        <v>2061580</v>
      </c>
      <c r="M2288">
        <v>0</v>
      </c>
      <c r="N2288">
        <v>1</v>
      </c>
      <c r="O2288" s="1" t="s">
        <v>3923</v>
      </c>
      <c r="P2288">
        <v>0</v>
      </c>
      <c r="Q2288">
        <v>0</v>
      </c>
      <c r="R2288">
        <v>0</v>
      </c>
      <c r="S2288">
        <v>0</v>
      </c>
      <c r="T2288">
        <v>12.720721579999999</v>
      </c>
      <c r="U2288">
        <f t="shared" si="70"/>
        <v>0</v>
      </c>
      <c r="V2288">
        <f t="shared" si="71"/>
        <v>0</v>
      </c>
    </row>
    <row r="2289" spans="1:22" x14ac:dyDescent="0.2">
      <c r="A2289" t="s">
        <v>3845</v>
      </c>
      <c r="B2289" t="s">
        <v>49</v>
      </c>
      <c r="C2289" t="s">
        <v>76</v>
      </c>
      <c r="D2289" t="s">
        <v>77</v>
      </c>
      <c r="E2289" s="1" t="s">
        <v>82</v>
      </c>
      <c r="F2289" t="s">
        <v>83</v>
      </c>
      <c r="G2289">
        <v>14</v>
      </c>
      <c r="H2289">
        <v>0</v>
      </c>
      <c r="I2289">
        <v>12252</v>
      </c>
      <c r="J2289">
        <v>41</v>
      </c>
      <c r="K2289">
        <v>33</v>
      </c>
      <c r="L2289">
        <v>12252</v>
      </c>
      <c r="M2289">
        <v>0</v>
      </c>
      <c r="N2289">
        <v>1</v>
      </c>
      <c r="O2289" s="1" t="s">
        <v>3924</v>
      </c>
      <c r="P2289">
        <v>0</v>
      </c>
      <c r="Q2289">
        <v>0</v>
      </c>
      <c r="R2289">
        <v>0</v>
      </c>
      <c r="S2289">
        <v>0</v>
      </c>
      <c r="T2289">
        <v>12.720721579999999</v>
      </c>
      <c r="U2289">
        <f t="shared" si="70"/>
        <v>0</v>
      </c>
      <c r="V2289">
        <f t="shared" si="71"/>
        <v>0</v>
      </c>
    </row>
    <row r="2290" spans="1:22" x14ac:dyDescent="0.2">
      <c r="A2290" t="s">
        <v>3845</v>
      </c>
      <c r="B2290" t="s">
        <v>49</v>
      </c>
      <c r="C2290" t="s">
        <v>76</v>
      </c>
      <c r="D2290" t="s">
        <v>77</v>
      </c>
      <c r="E2290">
        <v>15</v>
      </c>
      <c r="F2290" t="s">
        <v>88</v>
      </c>
      <c r="G2290">
        <v>74</v>
      </c>
      <c r="H2290">
        <v>0</v>
      </c>
      <c r="I2290">
        <v>69772</v>
      </c>
      <c r="J2290">
        <v>110</v>
      </c>
      <c r="K2290">
        <v>69</v>
      </c>
      <c r="L2290">
        <v>69772</v>
      </c>
      <c r="M2290">
        <v>0</v>
      </c>
      <c r="N2290">
        <v>1</v>
      </c>
      <c r="O2290" s="1" t="s">
        <v>3925</v>
      </c>
      <c r="P2290">
        <v>0</v>
      </c>
      <c r="Q2290">
        <v>0</v>
      </c>
      <c r="R2290">
        <v>0</v>
      </c>
      <c r="S2290">
        <v>0</v>
      </c>
      <c r="T2290">
        <v>12.720721579999999</v>
      </c>
      <c r="U2290">
        <f t="shared" si="70"/>
        <v>0</v>
      </c>
      <c r="V2290">
        <f t="shared" si="71"/>
        <v>0</v>
      </c>
    </row>
    <row r="2291" spans="1:22" x14ac:dyDescent="0.2">
      <c r="A2291" t="s">
        <v>3845</v>
      </c>
      <c r="B2291" t="s">
        <v>49</v>
      </c>
      <c r="C2291" t="s">
        <v>76</v>
      </c>
      <c r="D2291" t="s">
        <v>77</v>
      </c>
      <c r="E2291">
        <v>11</v>
      </c>
      <c r="F2291" t="s">
        <v>127</v>
      </c>
      <c r="G2291">
        <v>54</v>
      </c>
      <c r="H2291">
        <v>0</v>
      </c>
      <c r="I2291">
        <v>279221</v>
      </c>
      <c r="J2291">
        <v>84</v>
      </c>
      <c r="K2291">
        <v>54</v>
      </c>
      <c r="L2291">
        <v>279221</v>
      </c>
      <c r="M2291">
        <v>0</v>
      </c>
      <c r="N2291">
        <v>1</v>
      </c>
      <c r="O2291" s="1" t="s">
        <v>3926</v>
      </c>
      <c r="P2291">
        <v>0</v>
      </c>
      <c r="Q2291">
        <v>0</v>
      </c>
      <c r="R2291">
        <v>0</v>
      </c>
      <c r="S2291">
        <v>0</v>
      </c>
      <c r="T2291">
        <v>12.720721579999999</v>
      </c>
      <c r="U2291">
        <f t="shared" si="70"/>
        <v>0</v>
      </c>
      <c r="V2291">
        <f t="shared" si="71"/>
        <v>0</v>
      </c>
    </row>
    <row r="2292" spans="1:22" x14ac:dyDescent="0.2">
      <c r="A2292" t="s">
        <v>3845</v>
      </c>
      <c r="B2292" t="s">
        <v>49</v>
      </c>
      <c r="C2292" t="s">
        <v>76</v>
      </c>
      <c r="D2292" t="s">
        <v>77</v>
      </c>
      <c r="E2292" s="1" t="s">
        <v>155</v>
      </c>
      <c r="F2292" t="s">
        <v>156</v>
      </c>
      <c r="G2292" s="1" t="s">
        <v>138</v>
      </c>
      <c r="H2292">
        <v>0</v>
      </c>
      <c r="I2292">
        <v>1665837</v>
      </c>
      <c r="J2292">
        <v>75</v>
      </c>
      <c r="K2292">
        <v>41</v>
      </c>
      <c r="L2292">
        <v>1665837</v>
      </c>
      <c r="M2292">
        <v>0</v>
      </c>
      <c r="N2292">
        <v>1</v>
      </c>
      <c r="O2292" s="1" t="s">
        <v>3927</v>
      </c>
      <c r="P2292">
        <v>0</v>
      </c>
      <c r="Q2292">
        <v>0</v>
      </c>
      <c r="R2292">
        <v>0</v>
      </c>
      <c r="S2292">
        <v>0</v>
      </c>
      <c r="T2292">
        <v>12.720721579999999</v>
      </c>
      <c r="U2292">
        <f t="shared" si="70"/>
        <v>0</v>
      </c>
      <c r="V2292">
        <f t="shared" si="71"/>
        <v>0</v>
      </c>
    </row>
    <row r="2293" spans="1:22" x14ac:dyDescent="0.2">
      <c r="A2293" t="s">
        <v>3845</v>
      </c>
      <c r="B2293" t="s">
        <v>49</v>
      </c>
      <c r="C2293" t="s">
        <v>76</v>
      </c>
      <c r="D2293" t="s">
        <v>77</v>
      </c>
      <c r="E2293" s="1" t="s">
        <v>138</v>
      </c>
      <c r="F2293" t="s">
        <v>139</v>
      </c>
      <c r="G2293">
        <v>21</v>
      </c>
      <c r="H2293">
        <v>9585</v>
      </c>
      <c r="I2293">
        <v>1953071</v>
      </c>
      <c r="J2293">
        <v>109</v>
      </c>
      <c r="K2293">
        <v>56</v>
      </c>
      <c r="L2293">
        <v>1943486</v>
      </c>
      <c r="M2293">
        <v>4.8836882265664398E-3</v>
      </c>
      <c r="N2293" s="1" t="s">
        <v>3928</v>
      </c>
      <c r="O2293" s="1" t="s">
        <v>3929</v>
      </c>
      <c r="P2293">
        <v>0</v>
      </c>
      <c r="Q2293">
        <v>0</v>
      </c>
      <c r="R2293">
        <v>0</v>
      </c>
      <c r="S2293">
        <v>0</v>
      </c>
      <c r="T2293">
        <v>12.720721579999999</v>
      </c>
      <c r="U2293">
        <f t="shared" si="70"/>
        <v>0</v>
      </c>
      <c r="V2293">
        <f t="shared" si="71"/>
        <v>0</v>
      </c>
    </row>
    <row r="2294" spans="1:22" x14ac:dyDescent="0.2">
      <c r="A2294" t="s">
        <v>3845</v>
      </c>
      <c r="B2294" t="s">
        <v>49</v>
      </c>
      <c r="C2294" t="s">
        <v>76</v>
      </c>
      <c r="D2294" t="s">
        <v>77</v>
      </c>
      <c r="E2294" s="1" t="s">
        <v>138</v>
      </c>
      <c r="F2294" t="s">
        <v>139</v>
      </c>
      <c r="G2294">
        <v>17</v>
      </c>
      <c r="H2294">
        <v>3048390</v>
      </c>
      <c r="I2294">
        <v>858039</v>
      </c>
      <c r="J2294">
        <v>43</v>
      </c>
      <c r="K2294">
        <v>47</v>
      </c>
      <c r="L2294">
        <v>-2190351</v>
      </c>
      <c r="M2294" s="1" t="s">
        <v>3930</v>
      </c>
      <c r="N2294" s="1" t="s">
        <v>3931</v>
      </c>
      <c r="O2294">
        <v>1.72495718201139E-3</v>
      </c>
      <c r="P2294">
        <v>0</v>
      </c>
      <c r="Q2294">
        <v>0</v>
      </c>
      <c r="R2294">
        <v>0</v>
      </c>
      <c r="S2294">
        <v>0</v>
      </c>
      <c r="T2294">
        <v>12.720721579999999</v>
      </c>
      <c r="U2294">
        <f t="shared" si="70"/>
        <v>0</v>
      </c>
      <c r="V2294">
        <f t="shared" si="71"/>
        <v>0</v>
      </c>
    </row>
    <row r="2295" spans="1:22" x14ac:dyDescent="0.2">
      <c r="A2295" t="s">
        <v>3845</v>
      </c>
      <c r="B2295" t="s">
        <v>49</v>
      </c>
      <c r="C2295" t="s">
        <v>76</v>
      </c>
      <c r="D2295" t="s">
        <v>77</v>
      </c>
      <c r="E2295" s="1" t="s">
        <v>138</v>
      </c>
      <c r="F2295" t="s">
        <v>139</v>
      </c>
      <c r="G2295">
        <v>19</v>
      </c>
      <c r="H2295">
        <v>3376</v>
      </c>
      <c r="I2295">
        <v>828187</v>
      </c>
      <c r="J2295">
        <v>87</v>
      </c>
      <c r="K2295">
        <v>54</v>
      </c>
      <c r="L2295">
        <v>824811</v>
      </c>
      <c r="M2295">
        <v>4.0598246915747802E-3</v>
      </c>
      <c r="N2295" s="1" t="s">
        <v>3932</v>
      </c>
      <c r="O2295" s="1" t="s">
        <v>3933</v>
      </c>
      <c r="P2295">
        <v>0</v>
      </c>
      <c r="Q2295">
        <v>0</v>
      </c>
      <c r="R2295">
        <v>0</v>
      </c>
      <c r="S2295">
        <v>0</v>
      </c>
      <c r="T2295">
        <v>12.720721579999999</v>
      </c>
      <c r="U2295">
        <f t="shared" si="70"/>
        <v>0</v>
      </c>
      <c r="V2295">
        <f t="shared" si="71"/>
        <v>0</v>
      </c>
    </row>
    <row r="2296" spans="1:22" x14ac:dyDescent="0.2">
      <c r="A2296" t="s">
        <v>3845</v>
      </c>
      <c r="B2296" t="s">
        <v>49</v>
      </c>
      <c r="C2296" t="s">
        <v>76</v>
      </c>
      <c r="D2296" t="s">
        <v>77</v>
      </c>
      <c r="E2296">
        <v>20</v>
      </c>
      <c r="F2296" t="s">
        <v>104</v>
      </c>
      <c r="G2296">
        <v>95</v>
      </c>
      <c r="H2296">
        <v>0</v>
      </c>
      <c r="I2296">
        <v>2041114</v>
      </c>
      <c r="J2296">
        <v>130</v>
      </c>
      <c r="K2296">
        <v>45</v>
      </c>
      <c r="L2296">
        <v>2041114</v>
      </c>
      <c r="M2296">
        <v>0</v>
      </c>
      <c r="N2296">
        <v>1</v>
      </c>
      <c r="O2296" s="1" t="s">
        <v>3934</v>
      </c>
      <c r="P2296">
        <v>0</v>
      </c>
      <c r="Q2296">
        <v>0</v>
      </c>
      <c r="R2296">
        <v>0</v>
      </c>
      <c r="S2296">
        <v>0</v>
      </c>
      <c r="T2296">
        <v>12.720721579999999</v>
      </c>
      <c r="U2296">
        <f t="shared" si="70"/>
        <v>0</v>
      </c>
      <c r="V2296">
        <f t="shared" si="71"/>
        <v>0</v>
      </c>
    </row>
    <row r="2297" spans="1:22" x14ac:dyDescent="0.2">
      <c r="A2297" t="s">
        <v>3845</v>
      </c>
      <c r="B2297" t="s">
        <v>49</v>
      </c>
      <c r="C2297" t="s">
        <v>76</v>
      </c>
      <c r="D2297" t="s">
        <v>77</v>
      </c>
      <c r="E2297" s="1" t="s">
        <v>89</v>
      </c>
      <c r="F2297" t="s">
        <v>90</v>
      </c>
      <c r="G2297">
        <v>35</v>
      </c>
      <c r="H2297">
        <v>0</v>
      </c>
      <c r="I2297">
        <v>1446823</v>
      </c>
      <c r="J2297">
        <v>94</v>
      </c>
      <c r="K2297">
        <v>43</v>
      </c>
      <c r="L2297">
        <v>1446823</v>
      </c>
      <c r="M2297">
        <v>0</v>
      </c>
      <c r="N2297">
        <v>1</v>
      </c>
      <c r="O2297" s="1" t="s">
        <v>3935</v>
      </c>
      <c r="P2297">
        <v>0</v>
      </c>
      <c r="Q2297">
        <v>0</v>
      </c>
      <c r="R2297">
        <v>0</v>
      </c>
      <c r="S2297">
        <v>0</v>
      </c>
      <c r="T2297">
        <v>12.720721579999999</v>
      </c>
      <c r="U2297">
        <f t="shared" si="70"/>
        <v>0</v>
      </c>
      <c r="V2297">
        <f t="shared" si="71"/>
        <v>0</v>
      </c>
    </row>
    <row r="2298" spans="1:22" x14ac:dyDescent="0.2">
      <c r="A2298" t="s">
        <v>3936</v>
      </c>
      <c r="B2298" t="s">
        <v>50</v>
      </c>
      <c r="C2298" t="s">
        <v>76</v>
      </c>
      <c r="D2298" t="s">
        <v>77</v>
      </c>
      <c r="E2298">
        <v>99</v>
      </c>
      <c r="F2298" t="s">
        <v>78</v>
      </c>
      <c r="G2298">
        <v>99</v>
      </c>
      <c r="H2298">
        <v>33593441855</v>
      </c>
      <c r="I2298">
        <v>159935598</v>
      </c>
      <c r="J2298">
        <v>1</v>
      </c>
      <c r="K2298">
        <v>17</v>
      </c>
      <c r="L2298">
        <v>-33433506257</v>
      </c>
      <c r="M2298" s="1" t="s">
        <v>3937</v>
      </c>
      <c r="N2298">
        <v>4.7383583531071102E-3</v>
      </c>
      <c r="O2298" s="1" t="s">
        <v>3938</v>
      </c>
      <c r="P2298">
        <v>1</v>
      </c>
      <c r="Q2298">
        <v>0</v>
      </c>
      <c r="R2298">
        <v>1</v>
      </c>
      <c r="S2298">
        <v>0</v>
      </c>
      <c r="T2298">
        <v>87.135113059999995</v>
      </c>
      <c r="U2298">
        <f t="shared" si="70"/>
        <v>1</v>
      </c>
      <c r="V2298">
        <f t="shared" si="71"/>
        <v>1</v>
      </c>
    </row>
    <row r="2299" spans="1:22" x14ac:dyDescent="0.2">
      <c r="A2299" t="s">
        <v>3936</v>
      </c>
      <c r="B2299" t="s">
        <v>50</v>
      </c>
      <c r="C2299" t="s">
        <v>76</v>
      </c>
      <c r="D2299" t="s">
        <v>77</v>
      </c>
      <c r="E2299" s="1" t="s">
        <v>85</v>
      </c>
      <c r="F2299" t="s">
        <v>86</v>
      </c>
      <c r="G2299">
        <v>27</v>
      </c>
      <c r="H2299">
        <v>25217503614</v>
      </c>
      <c r="I2299">
        <v>497760030</v>
      </c>
      <c r="J2299">
        <v>12</v>
      </c>
      <c r="K2299">
        <v>7</v>
      </c>
      <c r="L2299">
        <v>-24719743584</v>
      </c>
      <c r="M2299" s="1" t="s">
        <v>3939</v>
      </c>
      <c r="N2299" s="1" t="s">
        <v>3940</v>
      </c>
      <c r="O2299" s="1" t="s">
        <v>3941</v>
      </c>
      <c r="P2299">
        <v>0</v>
      </c>
      <c r="Q2299">
        <v>0</v>
      </c>
      <c r="R2299">
        <v>0</v>
      </c>
      <c r="S2299">
        <v>1</v>
      </c>
      <c r="T2299">
        <v>87.135113059999995</v>
      </c>
      <c r="U2299">
        <f t="shared" si="70"/>
        <v>0</v>
      </c>
      <c r="V2299">
        <f t="shared" si="71"/>
        <v>1</v>
      </c>
    </row>
    <row r="2300" spans="1:22" x14ac:dyDescent="0.2">
      <c r="A2300" t="s">
        <v>3936</v>
      </c>
      <c r="B2300" t="s">
        <v>50</v>
      </c>
      <c r="C2300" t="s">
        <v>76</v>
      </c>
      <c r="D2300" t="s">
        <v>77</v>
      </c>
      <c r="E2300" s="1" t="s">
        <v>110</v>
      </c>
      <c r="F2300" t="s">
        <v>111</v>
      </c>
      <c r="G2300">
        <v>15</v>
      </c>
      <c r="H2300">
        <v>2173786739</v>
      </c>
      <c r="I2300">
        <v>136702768</v>
      </c>
      <c r="J2300">
        <v>2</v>
      </c>
      <c r="K2300">
        <v>8</v>
      </c>
      <c r="L2300">
        <v>-2037083971</v>
      </c>
      <c r="M2300" s="1" t="s">
        <v>3942</v>
      </c>
      <c r="N2300">
        <v>5.9166149677735799E-2</v>
      </c>
      <c r="O2300">
        <v>1.9887152812267599E-2</v>
      </c>
      <c r="P2300">
        <v>1</v>
      </c>
      <c r="Q2300">
        <v>0</v>
      </c>
      <c r="R2300">
        <v>1</v>
      </c>
      <c r="S2300">
        <v>1</v>
      </c>
      <c r="T2300">
        <v>87.135113059999995</v>
      </c>
      <c r="U2300">
        <f t="shared" si="70"/>
        <v>1</v>
      </c>
      <c r="V2300">
        <f t="shared" si="71"/>
        <v>1</v>
      </c>
    </row>
    <row r="2301" spans="1:22" x14ac:dyDescent="0.2">
      <c r="A2301" t="s">
        <v>3936</v>
      </c>
      <c r="B2301" t="s">
        <v>50</v>
      </c>
      <c r="C2301" t="s">
        <v>76</v>
      </c>
      <c r="D2301" t="s">
        <v>77</v>
      </c>
      <c r="E2301">
        <v>15</v>
      </c>
      <c r="F2301" t="s">
        <v>88</v>
      </c>
      <c r="G2301">
        <v>72</v>
      </c>
      <c r="H2301">
        <v>13932854580</v>
      </c>
      <c r="I2301">
        <v>133607563</v>
      </c>
      <c r="J2301">
        <v>1</v>
      </c>
      <c r="K2301">
        <v>20</v>
      </c>
      <c r="L2301">
        <v>-13799247017</v>
      </c>
      <c r="M2301" s="1" t="s">
        <v>3943</v>
      </c>
      <c r="N2301">
        <v>9.49830608732616E-3</v>
      </c>
      <c r="O2301" s="1" t="s">
        <v>3944</v>
      </c>
      <c r="P2301">
        <v>1</v>
      </c>
      <c r="Q2301">
        <v>0</v>
      </c>
      <c r="R2301">
        <v>1</v>
      </c>
      <c r="S2301">
        <v>0</v>
      </c>
      <c r="T2301">
        <v>87.135113059999995</v>
      </c>
      <c r="U2301">
        <f t="shared" si="70"/>
        <v>1</v>
      </c>
      <c r="V2301">
        <f t="shared" si="71"/>
        <v>1</v>
      </c>
    </row>
    <row r="2302" spans="1:22" x14ac:dyDescent="0.2">
      <c r="A2302" t="s">
        <v>3936</v>
      </c>
      <c r="B2302" t="s">
        <v>50</v>
      </c>
      <c r="C2302" t="s">
        <v>76</v>
      </c>
      <c r="D2302" t="s">
        <v>77</v>
      </c>
      <c r="E2302" s="1" t="s">
        <v>82</v>
      </c>
      <c r="F2302" t="s">
        <v>83</v>
      </c>
      <c r="G2302">
        <v>10</v>
      </c>
      <c r="H2302">
        <v>6452561155</v>
      </c>
      <c r="I2302">
        <v>4919914</v>
      </c>
      <c r="J2302">
        <v>2</v>
      </c>
      <c r="K2302">
        <v>25</v>
      </c>
      <c r="L2302">
        <v>-6447641241</v>
      </c>
      <c r="M2302" s="1" t="s">
        <v>3945</v>
      </c>
      <c r="N2302" s="1" t="s">
        <v>3946</v>
      </c>
      <c r="O2302">
        <v>5.5581690551918299E-2</v>
      </c>
      <c r="P2302">
        <v>1</v>
      </c>
      <c r="Q2302">
        <v>0</v>
      </c>
      <c r="R2302">
        <v>1</v>
      </c>
      <c r="S2302">
        <v>0</v>
      </c>
      <c r="T2302">
        <v>87.135113059999995</v>
      </c>
      <c r="U2302">
        <f t="shared" si="70"/>
        <v>1</v>
      </c>
      <c r="V2302">
        <f t="shared" si="71"/>
        <v>1</v>
      </c>
    </row>
    <row r="2303" spans="1:22" x14ac:dyDescent="0.2">
      <c r="A2303" t="s">
        <v>3936</v>
      </c>
      <c r="B2303" t="s">
        <v>50</v>
      </c>
      <c r="C2303" t="s">
        <v>76</v>
      </c>
      <c r="D2303" t="s">
        <v>77</v>
      </c>
      <c r="E2303">
        <v>15</v>
      </c>
      <c r="F2303" t="s">
        <v>88</v>
      </c>
      <c r="G2303">
        <v>76</v>
      </c>
      <c r="H2303">
        <v>4124713520</v>
      </c>
      <c r="I2303">
        <v>128036463</v>
      </c>
      <c r="J2303">
        <v>4</v>
      </c>
      <c r="K2303">
        <v>8</v>
      </c>
      <c r="L2303">
        <v>-3996677057</v>
      </c>
      <c r="M2303" s="1" t="s">
        <v>3947</v>
      </c>
      <c r="N2303">
        <v>3.01067458730973E-2</v>
      </c>
      <c r="O2303" s="1" t="s">
        <v>3948</v>
      </c>
      <c r="P2303">
        <v>1</v>
      </c>
      <c r="Q2303">
        <v>0</v>
      </c>
      <c r="R2303">
        <v>1</v>
      </c>
      <c r="S2303">
        <v>1</v>
      </c>
      <c r="T2303">
        <v>87.135113059999995</v>
      </c>
      <c r="U2303">
        <f t="shared" si="70"/>
        <v>1</v>
      </c>
      <c r="V2303">
        <f t="shared" si="71"/>
        <v>1</v>
      </c>
    </row>
    <row r="2304" spans="1:22" x14ac:dyDescent="0.2">
      <c r="A2304" t="s">
        <v>3936</v>
      </c>
      <c r="B2304" t="s">
        <v>50</v>
      </c>
      <c r="C2304" t="s">
        <v>76</v>
      </c>
      <c r="D2304" t="s">
        <v>77</v>
      </c>
      <c r="E2304">
        <v>15</v>
      </c>
      <c r="F2304" t="s">
        <v>88</v>
      </c>
      <c r="G2304">
        <v>74</v>
      </c>
      <c r="H2304">
        <v>2586252900</v>
      </c>
      <c r="I2304">
        <v>126960960</v>
      </c>
      <c r="J2304">
        <v>3</v>
      </c>
      <c r="K2304">
        <v>8</v>
      </c>
      <c r="L2304">
        <v>-2459291940</v>
      </c>
      <c r="M2304" s="1" t="s">
        <v>3949</v>
      </c>
      <c r="N2304" s="1" t="s">
        <v>3950</v>
      </c>
      <c r="O2304" s="1" t="s">
        <v>3951</v>
      </c>
      <c r="P2304">
        <v>1</v>
      </c>
      <c r="Q2304">
        <v>0</v>
      </c>
      <c r="R2304">
        <v>1</v>
      </c>
      <c r="S2304">
        <v>1</v>
      </c>
      <c r="T2304">
        <v>87.135113059999995</v>
      </c>
      <c r="U2304">
        <f t="shared" si="70"/>
        <v>1</v>
      </c>
      <c r="V2304">
        <f t="shared" si="71"/>
        <v>1</v>
      </c>
    </row>
    <row r="2305" spans="1:22" x14ac:dyDescent="0.2">
      <c r="A2305" t="s">
        <v>3936</v>
      </c>
      <c r="B2305" t="s">
        <v>50</v>
      </c>
      <c r="C2305" t="s">
        <v>76</v>
      </c>
      <c r="D2305" t="s">
        <v>77</v>
      </c>
      <c r="E2305" s="1" t="s">
        <v>85</v>
      </c>
      <c r="F2305" t="s">
        <v>86</v>
      </c>
      <c r="G2305">
        <v>26</v>
      </c>
      <c r="H2305">
        <v>666915077</v>
      </c>
      <c r="I2305">
        <v>24470440</v>
      </c>
      <c r="J2305">
        <v>5</v>
      </c>
      <c r="K2305">
        <v>9</v>
      </c>
      <c r="L2305">
        <v>-642444637</v>
      </c>
      <c r="M2305" s="1" t="s">
        <v>3952</v>
      </c>
      <c r="N2305" s="1" t="s">
        <v>3953</v>
      </c>
      <c r="O2305">
        <v>5.9509854457727501E-3</v>
      </c>
      <c r="P2305">
        <v>1</v>
      </c>
      <c r="Q2305">
        <v>0</v>
      </c>
      <c r="R2305">
        <v>1</v>
      </c>
      <c r="S2305">
        <v>1</v>
      </c>
      <c r="T2305">
        <v>87.135113059999995</v>
      </c>
      <c r="U2305">
        <f t="shared" si="70"/>
        <v>1</v>
      </c>
      <c r="V2305">
        <f t="shared" si="71"/>
        <v>1</v>
      </c>
    </row>
    <row r="2306" spans="1:22" x14ac:dyDescent="0.2">
      <c r="A2306" t="s">
        <v>3936</v>
      </c>
      <c r="B2306" t="s">
        <v>50</v>
      </c>
      <c r="C2306" t="s">
        <v>76</v>
      </c>
      <c r="D2306" t="s">
        <v>77</v>
      </c>
      <c r="E2306" s="1" t="s">
        <v>93</v>
      </c>
      <c r="F2306" t="s">
        <v>94</v>
      </c>
      <c r="G2306">
        <v>44</v>
      </c>
      <c r="H2306">
        <v>541070026</v>
      </c>
      <c r="I2306">
        <v>32948918</v>
      </c>
      <c r="J2306">
        <v>15</v>
      </c>
      <c r="K2306">
        <v>14</v>
      </c>
      <c r="L2306">
        <v>-508121108</v>
      </c>
      <c r="M2306" s="1" t="s">
        <v>3954</v>
      </c>
      <c r="N2306" s="1" t="s">
        <v>3955</v>
      </c>
      <c r="O2306">
        <v>4.9407722570819204E-3</v>
      </c>
      <c r="P2306">
        <v>0</v>
      </c>
      <c r="Q2306">
        <v>0</v>
      </c>
      <c r="R2306">
        <v>0</v>
      </c>
      <c r="S2306">
        <v>0</v>
      </c>
      <c r="T2306">
        <v>87.135113059999995</v>
      </c>
      <c r="U2306">
        <f t="shared" si="70"/>
        <v>0</v>
      </c>
      <c r="V2306">
        <f t="shared" si="71"/>
        <v>0</v>
      </c>
    </row>
    <row r="2307" spans="1:22" x14ac:dyDescent="0.2">
      <c r="A2307" t="s">
        <v>3936</v>
      </c>
      <c r="B2307" t="s">
        <v>50</v>
      </c>
      <c r="C2307" t="s">
        <v>76</v>
      </c>
      <c r="D2307" t="s">
        <v>77</v>
      </c>
      <c r="E2307" s="1" t="s">
        <v>89</v>
      </c>
      <c r="F2307" t="s">
        <v>90</v>
      </c>
      <c r="G2307">
        <v>31</v>
      </c>
      <c r="H2307">
        <v>769293014</v>
      </c>
      <c r="I2307">
        <v>5004130</v>
      </c>
      <c r="J2307">
        <v>12</v>
      </c>
      <c r="K2307">
        <v>15</v>
      </c>
      <c r="L2307">
        <v>-764288884</v>
      </c>
      <c r="M2307">
        <v>0.99353719687748199</v>
      </c>
      <c r="N2307">
        <v>6.4628031225180396E-3</v>
      </c>
      <c r="O2307">
        <v>6.6646334372772297E-3</v>
      </c>
      <c r="P2307">
        <v>0</v>
      </c>
      <c r="Q2307">
        <v>0</v>
      </c>
      <c r="R2307">
        <v>0</v>
      </c>
      <c r="S2307">
        <v>0</v>
      </c>
      <c r="T2307">
        <v>87.135113059999995</v>
      </c>
      <c r="U2307">
        <f t="shared" ref="U2307:U2370" si="72">IF(OR(P2307=1,Q2307=1),1,0)</f>
        <v>0</v>
      </c>
      <c r="V2307">
        <f t="shared" ref="V2307:V2370" si="73">IF(OR(R2307=1,S2307=1),1,0)</f>
        <v>0</v>
      </c>
    </row>
    <row r="2308" spans="1:22" x14ac:dyDescent="0.2">
      <c r="A2308" t="s">
        <v>3936</v>
      </c>
      <c r="B2308" t="s">
        <v>50</v>
      </c>
      <c r="C2308" t="s">
        <v>76</v>
      </c>
      <c r="D2308" t="s">
        <v>77</v>
      </c>
      <c r="E2308" s="1" t="s">
        <v>138</v>
      </c>
      <c r="F2308" t="s">
        <v>139</v>
      </c>
      <c r="G2308">
        <v>23</v>
      </c>
      <c r="H2308">
        <v>1505487545</v>
      </c>
      <c r="I2308">
        <v>4505961</v>
      </c>
      <c r="J2308">
        <v>1</v>
      </c>
      <c r="K2308">
        <v>36</v>
      </c>
      <c r="L2308">
        <v>-1500981584</v>
      </c>
      <c r="M2308" s="1" t="s">
        <v>3956</v>
      </c>
      <c r="N2308">
        <v>2.9840929660263E-3</v>
      </c>
      <c r="O2308" s="1" t="s">
        <v>3957</v>
      </c>
      <c r="P2308">
        <v>1</v>
      </c>
      <c r="Q2308">
        <v>0</v>
      </c>
      <c r="R2308">
        <v>1</v>
      </c>
      <c r="S2308">
        <v>0</v>
      </c>
      <c r="T2308">
        <v>87.135113059999995</v>
      </c>
      <c r="U2308">
        <f t="shared" si="72"/>
        <v>1</v>
      </c>
      <c r="V2308">
        <f t="shared" si="73"/>
        <v>1</v>
      </c>
    </row>
    <row r="2309" spans="1:22" x14ac:dyDescent="0.2">
      <c r="A2309" t="s">
        <v>3936</v>
      </c>
      <c r="B2309" t="s">
        <v>50</v>
      </c>
      <c r="C2309" t="s">
        <v>76</v>
      </c>
      <c r="D2309" t="s">
        <v>77</v>
      </c>
      <c r="E2309" s="1" t="s">
        <v>89</v>
      </c>
      <c r="F2309" t="s">
        <v>90</v>
      </c>
      <c r="G2309">
        <v>28</v>
      </c>
      <c r="H2309">
        <v>1060966684</v>
      </c>
      <c r="I2309">
        <v>84091019</v>
      </c>
      <c r="J2309">
        <v>7</v>
      </c>
      <c r="K2309">
        <v>18</v>
      </c>
      <c r="L2309">
        <v>-976875665</v>
      </c>
      <c r="M2309" s="1" t="s">
        <v>3958</v>
      </c>
      <c r="N2309">
        <v>7.3438237024811295E-2</v>
      </c>
      <c r="O2309">
        <v>9.8558930691673395E-3</v>
      </c>
      <c r="P2309">
        <v>0</v>
      </c>
      <c r="Q2309">
        <v>0</v>
      </c>
      <c r="R2309">
        <v>1</v>
      </c>
      <c r="S2309">
        <v>0</v>
      </c>
      <c r="T2309">
        <v>87.135113059999995</v>
      </c>
      <c r="U2309">
        <f t="shared" si="72"/>
        <v>0</v>
      </c>
      <c r="V2309">
        <f t="shared" si="73"/>
        <v>1</v>
      </c>
    </row>
    <row r="2310" spans="1:22" x14ac:dyDescent="0.2">
      <c r="A2310" t="s">
        <v>3936</v>
      </c>
      <c r="B2310" t="s">
        <v>50</v>
      </c>
      <c r="C2310" t="s">
        <v>76</v>
      </c>
      <c r="D2310" t="s">
        <v>77</v>
      </c>
      <c r="E2310" s="1" t="s">
        <v>82</v>
      </c>
      <c r="F2310" t="s">
        <v>83</v>
      </c>
      <c r="G2310">
        <v>12</v>
      </c>
      <c r="H2310">
        <v>909878501</v>
      </c>
      <c r="I2310">
        <v>130661052</v>
      </c>
      <c r="J2310">
        <v>2</v>
      </c>
      <c r="K2310">
        <v>13</v>
      </c>
      <c r="L2310">
        <v>-779217449</v>
      </c>
      <c r="M2310" s="1" t="s">
        <v>3959</v>
      </c>
      <c r="N2310" s="1" t="s">
        <v>3960</v>
      </c>
      <c r="O2310">
        <v>8.9562705370553504E-3</v>
      </c>
      <c r="P2310">
        <v>1</v>
      </c>
      <c r="Q2310">
        <v>0</v>
      </c>
      <c r="R2310">
        <v>1</v>
      </c>
      <c r="S2310">
        <v>0</v>
      </c>
      <c r="T2310">
        <v>87.135113059999995</v>
      </c>
      <c r="U2310">
        <f t="shared" si="72"/>
        <v>1</v>
      </c>
      <c r="V2310">
        <f t="shared" si="73"/>
        <v>1</v>
      </c>
    </row>
    <row r="2311" spans="1:22" x14ac:dyDescent="0.2">
      <c r="A2311" t="s">
        <v>3936</v>
      </c>
      <c r="B2311" t="s">
        <v>50</v>
      </c>
      <c r="C2311" t="s">
        <v>76</v>
      </c>
      <c r="D2311" t="s">
        <v>77</v>
      </c>
      <c r="E2311" s="1" t="s">
        <v>82</v>
      </c>
      <c r="F2311" t="s">
        <v>83</v>
      </c>
      <c r="G2311" s="1" t="s">
        <v>99</v>
      </c>
      <c r="H2311">
        <v>337340023</v>
      </c>
      <c r="I2311">
        <v>393429407</v>
      </c>
      <c r="J2311">
        <v>3</v>
      </c>
      <c r="K2311">
        <v>6</v>
      </c>
      <c r="L2311">
        <v>56089384</v>
      </c>
      <c r="M2311" s="1" t="s">
        <v>3961</v>
      </c>
      <c r="N2311" s="1" t="s">
        <v>3962</v>
      </c>
      <c r="O2311">
        <v>6.2899759037701201E-3</v>
      </c>
      <c r="P2311">
        <v>1</v>
      </c>
      <c r="Q2311">
        <v>0</v>
      </c>
      <c r="R2311">
        <v>1</v>
      </c>
      <c r="S2311">
        <v>1</v>
      </c>
      <c r="T2311">
        <v>87.135113059999995</v>
      </c>
      <c r="U2311">
        <f t="shared" si="72"/>
        <v>1</v>
      </c>
      <c r="V2311">
        <f t="shared" si="73"/>
        <v>1</v>
      </c>
    </row>
    <row r="2312" spans="1:22" x14ac:dyDescent="0.2">
      <c r="A2312" t="s">
        <v>3936</v>
      </c>
      <c r="B2312" t="s">
        <v>50</v>
      </c>
      <c r="C2312" t="s">
        <v>76</v>
      </c>
      <c r="D2312" t="s">
        <v>77</v>
      </c>
      <c r="E2312">
        <v>10</v>
      </c>
      <c r="F2312" t="s">
        <v>119</v>
      </c>
      <c r="G2312">
        <v>48</v>
      </c>
      <c r="H2312">
        <v>688395580</v>
      </c>
      <c r="I2312">
        <v>78245615</v>
      </c>
      <c r="J2312">
        <v>5</v>
      </c>
      <c r="K2312">
        <v>22</v>
      </c>
      <c r="L2312">
        <v>-610149965</v>
      </c>
      <c r="M2312" s="1" t="s">
        <v>3963</v>
      </c>
      <c r="N2312" s="1" t="s">
        <v>3964</v>
      </c>
      <c r="O2312">
        <v>6.5987361340327701E-3</v>
      </c>
      <c r="P2312">
        <v>1</v>
      </c>
      <c r="Q2312">
        <v>0</v>
      </c>
      <c r="R2312">
        <v>1</v>
      </c>
      <c r="S2312">
        <v>0</v>
      </c>
      <c r="T2312">
        <v>87.135113059999995</v>
      </c>
      <c r="U2312">
        <f t="shared" si="72"/>
        <v>1</v>
      </c>
      <c r="V2312">
        <f t="shared" si="73"/>
        <v>1</v>
      </c>
    </row>
    <row r="2313" spans="1:22" x14ac:dyDescent="0.2">
      <c r="A2313" t="s">
        <v>3936</v>
      </c>
      <c r="B2313" t="s">
        <v>50</v>
      </c>
      <c r="C2313" t="s">
        <v>76</v>
      </c>
      <c r="D2313" t="s">
        <v>77</v>
      </c>
      <c r="E2313">
        <v>15</v>
      </c>
      <c r="F2313" t="s">
        <v>88</v>
      </c>
      <c r="G2313">
        <v>78</v>
      </c>
      <c r="H2313">
        <v>301994904</v>
      </c>
      <c r="I2313">
        <v>20632</v>
      </c>
      <c r="J2313">
        <v>1</v>
      </c>
      <c r="K2313">
        <v>25</v>
      </c>
      <c r="L2313">
        <v>-301974272</v>
      </c>
      <c r="M2313" s="1" t="s">
        <v>3965</v>
      </c>
      <c r="N2313" s="1" t="s">
        <v>3966</v>
      </c>
      <c r="O2313">
        <v>2.5995483199183801E-3</v>
      </c>
      <c r="P2313">
        <v>1</v>
      </c>
      <c r="Q2313">
        <v>0</v>
      </c>
      <c r="R2313">
        <v>1</v>
      </c>
      <c r="S2313">
        <v>0</v>
      </c>
      <c r="T2313">
        <v>87.135113059999995</v>
      </c>
      <c r="U2313">
        <f t="shared" si="72"/>
        <v>1</v>
      </c>
      <c r="V2313">
        <f t="shared" si="73"/>
        <v>1</v>
      </c>
    </row>
    <row r="2314" spans="1:22" x14ac:dyDescent="0.2">
      <c r="A2314" t="s">
        <v>3936</v>
      </c>
      <c r="B2314" t="s">
        <v>50</v>
      </c>
      <c r="C2314" t="s">
        <v>76</v>
      </c>
      <c r="D2314" t="s">
        <v>77</v>
      </c>
      <c r="E2314" s="1" t="s">
        <v>99</v>
      </c>
      <c r="F2314" t="s">
        <v>100</v>
      </c>
      <c r="G2314">
        <v>39</v>
      </c>
      <c r="H2314">
        <v>572831771</v>
      </c>
      <c r="I2314">
        <v>754020014</v>
      </c>
      <c r="J2314">
        <v>5</v>
      </c>
      <c r="K2314">
        <v>14</v>
      </c>
      <c r="L2314">
        <v>181188243</v>
      </c>
      <c r="M2314" s="1" t="s">
        <v>3967</v>
      </c>
      <c r="N2314">
        <v>0.568277499057666</v>
      </c>
      <c r="O2314" s="1" t="s">
        <v>3968</v>
      </c>
      <c r="P2314">
        <v>1</v>
      </c>
      <c r="Q2314">
        <v>0</v>
      </c>
      <c r="R2314">
        <v>1</v>
      </c>
      <c r="S2314">
        <v>0</v>
      </c>
      <c r="T2314">
        <v>87.135113059999995</v>
      </c>
      <c r="U2314">
        <f t="shared" si="72"/>
        <v>1</v>
      </c>
      <c r="V2314">
        <f t="shared" si="73"/>
        <v>1</v>
      </c>
    </row>
    <row r="2315" spans="1:22" x14ac:dyDescent="0.2">
      <c r="A2315" t="s">
        <v>3936</v>
      </c>
      <c r="B2315" t="s">
        <v>50</v>
      </c>
      <c r="C2315" t="s">
        <v>76</v>
      </c>
      <c r="D2315" t="s">
        <v>77</v>
      </c>
      <c r="E2315" s="1" t="s">
        <v>138</v>
      </c>
      <c r="F2315" t="s">
        <v>139</v>
      </c>
      <c r="G2315">
        <v>17</v>
      </c>
      <c r="H2315">
        <v>196821653</v>
      </c>
      <c r="I2315">
        <v>70846982</v>
      </c>
      <c r="J2315">
        <v>6</v>
      </c>
      <c r="K2315">
        <v>7</v>
      </c>
      <c r="L2315">
        <v>-125974671</v>
      </c>
      <c r="M2315" s="1" t="s">
        <v>3969</v>
      </c>
      <c r="N2315" s="1" t="s">
        <v>3970</v>
      </c>
      <c r="O2315">
        <v>2.3039131020369001E-3</v>
      </c>
      <c r="P2315">
        <v>0</v>
      </c>
      <c r="Q2315">
        <v>0</v>
      </c>
      <c r="R2315">
        <v>1</v>
      </c>
      <c r="S2315">
        <v>1</v>
      </c>
      <c r="T2315">
        <v>87.135113059999995</v>
      </c>
      <c r="U2315">
        <f t="shared" si="72"/>
        <v>0</v>
      </c>
      <c r="V2315">
        <f t="shared" si="73"/>
        <v>1</v>
      </c>
    </row>
    <row r="2316" spans="1:22" x14ac:dyDescent="0.2">
      <c r="A2316" t="s">
        <v>3936</v>
      </c>
      <c r="B2316" t="s">
        <v>50</v>
      </c>
      <c r="C2316" t="s">
        <v>76</v>
      </c>
      <c r="D2316" t="s">
        <v>77</v>
      </c>
      <c r="E2316" s="1" t="s">
        <v>89</v>
      </c>
      <c r="F2316" t="s">
        <v>90</v>
      </c>
      <c r="G2316">
        <v>32</v>
      </c>
      <c r="H2316">
        <v>158161692</v>
      </c>
      <c r="I2316">
        <v>141485993</v>
      </c>
      <c r="J2316">
        <v>3</v>
      </c>
      <c r="K2316">
        <v>16</v>
      </c>
      <c r="L2316">
        <v>-16675699</v>
      </c>
      <c r="M2316">
        <v>0.52782550948124296</v>
      </c>
      <c r="N2316" s="1" t="s">
        <v>3971</v>
      </c>
      <c r="O2316">
        <v>2.57916743762872E-3</v>
      </c>
      <c r="P2316">
        <v>1</v>
      </c>
      <c r="Q2316">
        <v>0</v>
      </c>
      <c r="R2316">
        <v>1</v>
      </c>
      <c r="S2316">
        <v>0</v>
      </c>
      <c r="T2316">
        <v>87.135113059999995</v>
      </c>
      <c r="U2316">
        <f t="shared" si="72"/>
        <v>1</v>
      </c>
      <c r="V2316">
        <f t="shared" si="73"/>
        <v>1</v>
      </c>
    </row>
    <row r="2317" spans="1:22" x14ac:dyDescent="0.2">
      <c r="A2317" t="s">
        <v>3936</v>
      </c>
      <c r="B2317" t="s">
        <v>50</v>
      </c>
      <c r="C2317" t="s">
        <v>76</v>
      </c>
      <c r="D2317" t="s">
        <v>77</v>
      </c>
      <c r="E2317">
        <v>13</v>
      </c>
      <c r="F2317" t="s">
        <v>91</v>
      </c>
      <c r="G2317">
        <v>70</v>
      </c>
      <c r="H2317">
        <v>139266438</v>
      </c>
      <c r="I2317">
        <v>72055220</v>
      </c>
      <c r="J2317">
        <v>6</v>
      </c>
      <c r="K2317">
        <v>11</v>
      </c>
      <c r="L2317">
        <v>-67211218</v>
      </c>
      <c r="M2317" s="1" t="s">
        <v>3972</v>
      </c>
      <c r="N2317" s="1" t="s">
        <v>3973</v>
      </c>
      <c r="O2317">
        <v>1.8189159017841601E-3</v>
      </c>
      <c r="P2317">
        <v>0</v>
      </c>
      <c r="Q2317">
        <v>0</v>
      </c>
      <c r="R2317">
        <v>1</v>
      </c>
      <c r="S2317">
        <v>0</v>
      </c>
      <c r="T2317">
        <v>87.135113059999995</v>
      </c>
      <c r="U2317">
        <f t="shared" si="72"/>
        <v>0</v>
      </c>
      <c r="V2317">
        <f t="shared" si="73"/>
        <v>1</v>
      </c>
    </row>
    <row r="2318" spans="1:22" x14ac:dyDescent="0.2">
      <c r="A2318" t="s">
        <v>3936</v>
      </c>
      <c r="B2318" t="s">
        <v>50</v>
      </c>
      <c r="C2318" t="s">
        <v>76</v>
      </c>
      <c r="D2318" t="s">
        <v>77</v>
      </c>
      <c r="E2318" s="1" t="s">
        <v>138</v>
      </c>
      <c r="F2318" t="s">
        <v>139</v>
      </c>
      <c r="G2318">
        <v>24</v>
      </c>
      <c r="H2318">
        <v>134540857</v>
      </c>
      <c r="I2318">
        <v>89834361</v>
      </c>
      <c r="J2318">
        <v>4</v>
      </c>
      <c r="K2318">
        <v>8</v>
      </c>
      <c r="L2318">
        <v>-44706496</v>
      </c>
      <c r="M2318" s="1" t="s">
        <v>3974</v>
      </c>
      <c r="N2318" s="1" t="s">
        <v>3975</v>
      </c>
      <c r="O2318">
        <v>1.93127224085327E-3</v>
      </c>
      <c r="P2318">
        <v>1</v>
      </c>
      <c r="Q2318">
        <v>0</v>
      </c>
      <c r="R2318">
        <v>1</v>
      </c>
      <c r="S2318">
        <v>1</v>
      </c>
      <c r="T2318">
        <v>87.135113059999995</v>
      </c>
      <c r="U2318">
        <f t="shared" si="72"/>
        <v>1</v>
      </c>
      <c r="V2318">
        <f t="shared" si="73"/>
        <v>1</v>
      </c>
    </row>
    <row r="2319" spans="1:22" x14ac:dyDescent="0.2">
      <c r="A2319" t="s">
        <v>3936</v>
      </c>
      <c r="B2319" t="s">
        <v>50</v>
      </c>
      <c r="C2319" t="s">
        <v>76</v>
      </c>
      <c r="D2319" t="s">
        <v>77</v>
      </c>
      <c r="E2319" s="1" t="s">
        <v>89</v>
      </c>
      <c r="F2319" t="s">
        <v>90</v>
      </c>
      <c r="G2319">
        <v>29</v>
      </c>
      <c r="H2319">
        <v>611907248</v>
      </c>
      <c r="I2319">
        <v>26899626</v>
      </c>
      <c r="J2319">
        <v>7</v>
      </c>
      <c r="K2319">
        <v>31</v>
      </c>
      <c r="L2319">
        <v>-585007622</v>
      </c>
      <c r="M2319" s="1" t="s">
        <v>3976</v>
      </c>
      <c r="N2319" s="1" t="s">
        <v>3977</v>
      </c>
      <c r="O2319">
        <v>5.4984235514924503E-3</v>
      </c>
      <c r="P2319">
        <v>0</v>
      </c>
      <c r="Q2319">
        <v>0</v>
      </c>
      <c r="R2319">
        <v>1</v>
      </c>
      <c r="S2319">
        <v>0</v>
      </c>
      <c r="T2319">
        <v>87.135113059999995</v>
      </c>
      <c r="U2319">
        <f t="shared" si="72"/>
        <v>0</v>
      </c>
      <c r="V2319">
        <f t="shared" si="73"/>
        <v>1</v>
      </c>
    </row>
    <row r="2320" spans="1:22" x14ac:dyDescent="0.2">
      <c r="A2320" t="s">
        <v>3936</v>
      </c>
      <c r="B2320" t="s">
        <v>50</v>
      </c>
      <c r="C2320" t="s">
        <v>76</v>
      </c>
      <c r="D2320" t="s">
        <v>77</v>
      </c>
      <c r="E2320" s="1" t="s">
        <v>99</v>
      </c>
      <c r="F2320" t="s">
        <v>100</v>
      </c>
      <c r="G2320">
        <v>40</v>
      </c>
      <c r="H2320">
        <v>354556389</v>
      </c>
      <c r="I2320">
        <v>272625228</v>
      </c>
      <c r="J2320">
        <v>17</v>
      </c>
      <c r="K2320">
        <v>16</v>
      </c>
      <c r="L2320">
        <v>-81931161</v>
      </c>
      <c r="M2320" s="1" t="s">
        <v>3978</v>
      </c>
      <c r="N2320">
        <v>0.434683065654968</v>
      </c>
      <c r="O2320">
        <v>5.3983610921129804E-3</v>
      </c>
      <c r="P2320">
        <v>0</v>
      </c>
      <c r="Q2320">
        <v>0</v>
      </c>
      <c r="R2320">
        <v>0</v>
      </c>
      <c r="S2320">
        <v>0</v>
      </c>
      <c r="T2320">
        <v>87.135113059999995</v>
      </c>
      <c r="U2320">
        <f t="shared" si="72"/>
        <v>0</v>
      </c>
      <c r="V2320">
        <f t="shared" si="73"/>
        <v>0</v>
      </c>
    </row>
    <row r="2321" spans="1:22" x14ac:dyDescent="0.2">
      <c r="A2321" t="s">
        <v>3936</v>
      </c>
      <c r="B2321" t="s">
        <v>50</v>
      </c>
      <c r="C2321" t="s">
        <v>76</v>
      </c>
      <c r="D2321" t="s">
        <v>77</v>
      </c>
      <c r="E2321" s="1" t="s">
        <v>138</v>
      </c>
      <c r="F2321" t="s">
        <v>139</v>
      </c>
      <c r="G2321">
        <v>22</v>
      </c>
      <c r="H2321">
        <v>85814976</v>
      </c>
      <c r="I2321">
        <v>1933160</v>
      </c>
      <c r="J2321">
        <v>10</v>
      </c>
      <c r="K2321">
        <v>51</v>
      </c>
      <c r="L2321">
        <v>-83881816</v>
      </c>
      <c r="M2321" s="1" t="s">
        <v>3979</v>
      </c>
      <c r="N2321" s="1" t="s">
        <v>3980</v>
      </c>
      <c r="O2321" s="1" t="s">
        <v>3981</v>
      </c>
      <c r="P2321">
        <v>0</v>
      </c>
      <c r="Q2321">
        <v>0</v>
      </c>
      <c r="R2321">
        <v>1</v>
      </c>
      <c r="S2321">
        <v>0</v>
      </c>
      <c r="T2321">
        <v>87.135113059999995</v>
      </c>
      <c r="U2321">
        <f t="shared" si="72"/>
        <v>0</v>
      </c>
      <c r="V2321">
        <f t="shared" si="73"/>
        <v>1</v>
      </c>
    </row>
    <row r="2322" spans="1:22" x14ac:dyDescent="0.2">
      <c r="A2322" t="s">
        <v>3936</v>
      </c>
      <c r="B2322" t="s">
        <v>50</v>
      </c>
      <c r="C2322" t="s">
        <v>76</v>
      </c>
      <c r="D2322" t="s">
        <v>77</v>
      </c>
      <c r="E2322">
        <v>14</v>
      </c>
      <c r="F2322" t="s">
        <v>261</v>
      </c>
      <c r="G2322">
        <v>71</v>
      </c>
      <c r="H2322">
        <v>615095772</v>
      </c>
      <c r="I2322">
        <v>131887640</v>
      </c>
      <c r="J2322">
        <v>15</v>
      </c>
      <c r="K2322">
        <v>11</v>
      </c>
      <c r="L2322">
        <v>-483208132</v>
      </c>
      <c r="M2322" s="1" t="s">
        <v>3982</v>
      </c>
      <c r="N2322" s="1" t="s">
        <v>3983</v>
      </c>
      <c r="O2322">
        <v>6.4295350477318004E-3</v>
      </c>
      <c r="P2322">
        <v>0</v>
      </c>
      <c r="Q2322">
        <v>0</v>
      </c>
      <c r="R2322">
        <v>0</v>
      </c>
      <c r="S2322">
        <v>0</v>
      </c>
      <c r="T2322">
        <v>87.135113059999995</v>
      </c>
      <c r="U2322">
        <f t="shared" si="72"/>
        <v>0</v>
      </c>
      <c r="V2322">
        <f t="shared" si="73"/>
        <v>0</v>
      </c>
    </row>
    <row r="2323" spans="1:22" x14ac:dyDescent="0.2">
      <c r="A2323" t="s">
        <v>3936</v>
      </c>
      <c r="B2323" t="s">
        <v>50</v>
      </c>
      <c r="C2323" t="s">
        <v>76</v>
      </c>
      <c r="D2323" t="s">
        <v>77</v>
      </c>
      <c r="E2323" s="1" t="s">
        <v>82</v>
      </c>
      <c r="F2323" t="s">
        <v>83</v>
      </c>
      <c r="G2323">
        <v>11</v>
      </c>
      <c r="H2323">
        <v>68931395</v>
      </c>
      <c r="I2323">
        <v>3735100</v>
      </c>
      <c r="J2323">
        <v>7</v>
      </c>
      <c r="K2323">
        <v>20</v>
      </c>
      <c r="L2323">
        <v>-65196295</v>
      </c>
      <c r="M2323" s="1" t="s">
        <v>3984</v>
      </c>
      <c r="N2323">
        <v>5.1400580143572301E-2</v>
      </c>
      <c r="O2323" s="1" t="s">
        <v>3985</v>
      </c>
      <c r="P2323">
        <v>0</v>
      </c>
      <c r="Q2323">
        <v>0</v>
      </c>
      <c r="R2323">
        <v>1</v>
      </c>
      <c r="S2323">
        <v>0</v>
      </c>
      <c r="T2323">
        <v>87.135113059999995</v>
      </c>
      <c r="U2323">
        <f t="shared" si="72"/>
        <v>0</v>
      </c>
      <c r="V2323">
        <f t="shared" si="73"/>
        <v>1</v>
      </c>
    </row>
    <row r="2324" spans="1:22" x14ac:dyDescent="0.2">
      <c r="A2324" t="s">
        <v>3936</v>
      </c>
      <c r="B2324" t="s">
        <v>50</v>
      </c>
      <c r="C2324" t="s">
        <v>76</v>
      </c>
      <c r="D2324" t="s">
        <v>77</v>
      </c>
      <c r="E2324">
        <v>15</v>
      </c>
      <c r="F2324" t="s">
        <v>88</v>
      </c>
      <c r="G2324">
        <v>82</v>
      </c>
      <c r="H2324">
        <v>94908166</v>
      </c>
      <c r="I2324">
        <v>42945097</v>
      </c>
      <c r="J2324">
        <v>3</v>
      </c>
      <c r="K2324">
        <v>21</v>
      </c>
      <c r="L2324">
        <v>-51963069</v>
      </c>
      <c r="M2324" s="1" t="s">
        <v>3986</v>
      </c>
      <c r="N2324" s="1" t="s">
        <v>3987</v>
      </c>
      <c r="O2324">
        <v>1.1865489536502401E-3</v>
      </c>
      <c r="P2324">
        <v>1</v>
      </c>
      <c r="Q2324">
        <v>0</v>
      </c>
      <c r="R2324">
        <v>1</v>
      </c>
      <c r="S2324">
        <v>0</v>
      </c>
      <c r="T2324">
        <v>87.135113059999995</v>
      </c>
      <c r="U2324">
        <f t="shared" si="72"/>
        <v>1</v>
      </c>
      <c r="V2324">
        <f t="shared" si="73"/>
        <v>1</v>
      </c>
    </row>
    <row r="2325" spans="1:22" x14ac:dyDescent="0.2">
      <c r="A2325" t="s">
        <v>3936</v>
      </c>
      <c r="B2325" t="s">
        <v>50</v>
      </c>
      <c r="C2325" t="s">
        <v>76</v>
      </c>
      <c r="D2325" t="s">
        <v>77</v>
      </c>
      <c r="E2325">
        <v>15</v>
      </c>
      <c r="F2325" t="s">
        <v>88</v>
      </c>
      <c r="G2325">
        <v>73</v>
      </c>
      <c r="H2325">
        <v>170795313</v>
      </c>
      <c r="I2325">
        <v>519350999</v>
      </c>
      <c r="J2325">
        <v>15</v>
      </c>
      <c r="K2325">
        <v>11</v>
      </c>
      <c r="L2325">
        <v>348555686</v>
      </c>
      <c r="M2325" s="1" t="s">
        <v>3988</v>
      </c>
      <c r="N2325" s="1" t="s">
        <v>3989</v>
      </c>
      <c r="O2325">
        <v>5.9403191955577804E-3</v>
      </c>
      <c r="P2325">
        <v>0</v>
      </c>
      <c r="Q2325">
        <v>0</v>
      </c>
      <c r="R2325">
        <v>0</v>
      </c>
      <c r="S2325">
        <v>0</v>
      </c>
      <c r="T2325">
        <v>87.135113059999995</v>
      </c>
      <c r="U2325">
        <f t="shared" si="72"/>
        <v>0</v>
      </c>
      <c r="V2325">
        <f t="shared" si="73"/>
        <v>0</v>
      </c>
    </row>
    <row r="2326" spans="1:22" x14ac:dyDescent="0.2">
      <c r="A2326" t="s">
        <v>3936</v>
      </c>
      <c r="B2326" t="s">
        <v>50</v>
      </c>
      <c r="C2326" t="s">
        <v>76</v>
      </c>
      <c r="D2326" t="s">
        <v>77</v>
      </c>
      <c r="E2326" s="1" t="s">
        <v>138</v>
      </c>
      <c r="F2326" t="s">
        <v>139</v>
      </c>
      <c r="G2326">
        <v>21</v>
      </c>
      <c r="H2326">
        <v>52838103</v>
      </c>
      <c r="I2326">
        <v>67469248</v>
      </c>
      <c r="J2326">
        <v>14</v>
      </c>
      <c r="K2326">
        <v>24</v>
      </c>
      <c r="L2326">
        <v>14631145</v>
      </c>
      <c r="M2326" s="1" t="s">
        <v>3990</v>
      </c>
      <c r="N2326" s="1" t="s">
        <v>3991</v>
      </c>
      <c r="O2326">
        <v>1.0355254445118399E-3</v>
      </c>
      <c r="P2326">
        <v>0</v>
      </c>
      <c r="Q2326">
        <v>0</v>
      </c>
      <c r="R2326">
        <v>0</v>
      </c>
      <c r="S2326">
        <v>0</v>
      </c>
      <c r="T2326">
        <v>87.135113059999995</v>
      </c>
      <c r="U2326">
        <f t="shared" si="72"/>
        <v>0</v>
      </c>
      <c r="V2326">
        <f t="shared" si="73"/>
        <v>0</v>
      </c>
    </row>
    <row r="2327" spans="1:22" x14ac:dyDescent="0.2">
      <c r="A2327" t="s">
        <v>3936</v>
      </c>
      <c r="B2327" t="s">
        <v>50</v>
      </c>
      <c r="C2327" t="s">
        <v>76</v>
      </c>
      <c r="D2327" t="s">
        <v>77</v>
      </c>
      <c r="E2327">
        <v>15</v>
      </c>
      <c r="F2327" t="s">
        <v>88</v>
      </c>
      <c r="G2327">
        <v>79</v>
      </c>
      <c r="H2327">
        <v>74980545</v>
      </c>
      <c r="I2327">
        <v>110202</v>
      </c>
      <c r="J2327">
        <v>2</v>
      </c>
      <c r="K2327">
        <v>34</v>
      </c>
      <c r="L2327">
        <v>-74870343</v>
      </c>
      <c r="M2327" s="1" t="s">
        <v>3992</v>
      </c>
      <c r="N2327">
        <v>1.4675842817224801E-3</v>
      </c>
      <c r="O2327" s="1" t="s">
        <v>3993</v>
      </c>
      <c r="P2327">
        <v>1</v>
      </c>
      <c r="Q2327">
        <v>0</v>
      </c>
      <c r="R2327">
        <v>1</v>
      </c>
      <c r="S2327">
        <v>0</v>
      </c>
      <c r="T2327">
        <v>87.135113059999995</v>
      </c>
      <c r="U2327">
        <f t="shared" si="72"/>
        <v>1</v>
      </c>
      <c r="V2327">
        <f t="shared" si="73"/>
        <v>1</v>
      </c>
    </row>
    <row r="2328" spans="1:22" x14ac:dyDescent="0.2">
      <c r="A2328" t="s">
        <v>3936</v>
      </c>
      <c r="B2328" t="s">
        <v>50</v>
      </c>
      <c r="C2328" t="s">
        <v>76</v>
      </c>
      <c r="D2328" t="s">
        <v>77</v>
      </c>
      <c r="E2328" s="1" t="s">
        <v>89</v>
      </c>
      <c r="F2328" t="s">
        <v>90</v>
      </c>
      <c r="G2328">
        <v>38</v>
      </c>
      <c r="H2328">
        <v>55827296</v>
      </c>
      <c r="I2328">
        <v>134151763</v>
      </c>
      <c r="J2328">
        <v>13</v>
      </c>
      <c r="K2328">
        <v>22</v>
      </c>
      <c r="L2328">
        <v>78324467</v>
      </c>
      <c r="M2328" s="1" t="s">
        <v>3994</v>
      </c>
      <c r="N2328" s="1" t="s">
        <v>3995</v>
      </c>
      <c r="O2328">
        <v>1.63521304295791E-3</v>
      </c>
      <c r="P2328">
        <v>0</v>
      </c>
      <c r="Q2328">
        <v>0</v>
      </c>
      <c r="R2328">
        <v>0</v>
      </c>
      <c r="S2328">
        <v>0</v>
      </c>
      <c r="T2328">
        <v>87.135113059999995</v>
      </c>
      <c r="U2328">
        <f t="shared" si="72"/>
        <v>0</v>
      </c>
      <c r="V2328">
        <f t="shared" si="73"/>
        <v>0</v>
      </c>
    </row>
    <row r="2329" spans="1:22" x14ac:dyDescent="0.2">
      <c r="A2329" t="s">
        <v>3936</v>
      </c>
      <c r="B2329" t="s">
        <v>50</v>
      </c>
      <c r="C2329" t="s">
        <v>76</v>
      </c>
      <c r="D2329" t="s">
        <v>77</v>
      </c>
      <c r="E2329">
        <v>15</v>
      </c>
      <c r="F2329" t="s">
        <v>88</v>
      </c>
      <c r="G2329">
        <v>75</v>
      </c>
      <c r="H2329">
        <v>88936476</v>
      </c>
      <c r="I2329">
        <v>2723568</v>
      </c>
      <c r="J2329">
        <v>17</v>
      </c>
      <c r="K2329">
        <v>16</v>
      </c>
      <c r="L2329">
        <v>-86212908</v>
      </c>
      <c r="M2329" s="1" t="s">
        <v>3996</v>
      </c>
      <c r="N2329" s="1" t="s">
        <v>3997</v>
      </c>
      <c r="O2329" s="1" t="s">
        <v>3998</v>
      </c>
      <c r="P2329">
        <v>0</v>
      </c>
      <c r="Q2329">
        <v>0</v>
      </c>
      <c r="R2329">
        <v>0</v>
      </c>
      <c r="S2329">
        <v>0</v>
      </c>
      <c r="T2329">
        <v>87.135113059999995</v>
      </c>
      <c r="U2329">
        <f t="shared" si="72"/>
        <v>0</v>
      </c>
      <c r="V2329">
        <f t="shared" si="73"/>
        <v>0</v>
      </c>
    </row>
    <row r="2330" spans="1:22" x14ac:dyDescent="0.2">
      <c r="A2330" t="s">
        <v>3936</v>
      </c>
      <c r="B2330" t="s">
        <v>50</v>
      </c>
      <c r="C2330" t="s">
        <v>76</v>
      </c>
      <c r="D2330" t="s">
        <v>77</v>
      </c>
      <c r="E2330">
        <v>16</v>
      </c>
      <c r="F2330" t="s">
        <v>95</v>
      </c>
      <c r="G2330">
        <v>84</v>
      </c>
      <c r="H2330">
        <v>281016486</v>
      </c>
      <c r="I2330">
        <v>2072308295</v>
      </c>
      <c r="J2330">
        <v>16</v>
      </c>
      <c r="K2330">
        <v>19</v>
      </c>
      <c r="L2330">
        <v>1791291809</v>
      </c>
      <c r="M2330" s="1" t="s">
        <v>3999</v>
      </c>
      <c r="N2330" s="1" t="s">
        <v>4000</v>
      </c>
      <c r="O2330">
        <v>2.02558502840425E-2</v>
      </c>
      <c r="P2330">
        <v>0</v>
      </c>
      <c r="Q2330">
        <v>0</v>
      </c>
      <c r="R2330">
        <v>0</v>
      </c>
      <c r="S2330">
        <v>0</v>
      </c>
      <c r="T2330">
        <v>87.135113059999995</v>
      </c>
      <c r="U2330">
        <f t="shared" si="72"/>
        <v>0</v>
      </c>
      <c r="V2330">
        <f t="shared" si="73"/>
        <v>0</v>
      </c>
    </row>
    <row r="2331" spans="1:22" x14ac:dyDescent="0.2">
      <c r="A2331" t="s">
        <v>3936</v>
      </c>
      <c r="B2331" t="s">
        <v>50</v>
      </c>
      <c r="C2331" t="s">
        <v>76</v>
      </c>
      <c r="D2331" t="s">
        <v>77</v>
      </c>
      <c r="E2331">
        <v>16</v>
      </c>
      <c r="F2331" t="s">
        <v>95</v>
      </c>
      <c r="G2331">
        <v>85</v>
      </c>
      <c r="H2331">
        <v>84080288</v>
      </c>
      <c r="I2331">
        <v>814471486</v>
      </c>
      <c r="J2331">
        <v>31</v>
      </c>
      <c r="K2331">
        <v>24</v>
      </c>
      <c r="L2331">
        <v>730391198</v>
      </c>
      <c r="M2331">
        <v>9.3573114463630203E-2</v>
      </c>
      <c r="N2331" s="1" t="s">
        <v>4001</v>
      </c>
      <c r="O2331">
        <v>7.7341344269832102E-3</v>
      </c>
      <c r="P2331">
        <v>0</v>
      </c>
      <c r="Q2331">
        <v>0</v>
      </c>
      <c r="R2331">
        <v>0</v>
      </c>
      <c r="S2331">
        <v>0</v>
      </c>
      <c r="T2331">
        <v>87.135113059999995</v>
      </c>
      <c r="U2331">
        <f t="shared" si="72"/>
        <v>0</v>
      </c>
      <c r="V2331">
        <f t="shared" si="73"/>
        <v>0</v>
      </c>
    </row>
    <row r="2332" spans="1:22" x14ac:dyDescent="0.2">
      <c r="A2332" t="s">
        <v>3936</v>
      </c>
      <c r="B2332" t="s">
        <v>50</v>
      </c>
      <c r="C2332" t="s">
        <v>76</v>
      </c>
      <c r="D2332" t="s">
        <v>77</v>
      </c>
      <c r="E2332">
        <v>10</v>
      </c>
      <c r="F2332" t="s">
        <v>119</v>
      </c>
      <c r="G2332">
        <v>47</v>
      </c>
      <c r="H2332">
        <v>50305029</v>
      </c>
      <c r="I2332">
        <v>144076</v>
      </c>
      <c r="J2332">
        <v>12</v>
      </c>
      <c r="K2332">
        <v>23</v>
      </c>
      <c r="L2332">
        <v>-50160953</v>
      </c>
      <c r="M2332">
        <v>0.99714413169470495</v>
      </c>
      <c r="N2332">
        <v>2.8558683052950099E-3</v>
      </c>
      <c r="O2332" s="1" t="s">
        <v>4002</v>
      </c>
      <c r="P2332">
        <v>0</v>
      </c>
      <c r="Q2332">
        <v>0</v>
      </c>
      <c r="R2332">
        <v>0</v>
      </c>
      <c r="S2332">
        <v>0</v>
      </c>
      <c r="T2332">
        <v>87.135113059999995</v>
      </c>
      <c r="U2332">
        <f t="shared" si="72"/>
        <v>0</v>
      </c>
      <c r="V2332">
        <f t="shared" si="73"/>
        <v>0</v>
      </c>
    </row>
    <row r="2333" spans="1:22" x14ac:dyDescent="0.2">
      <c r="A2333" t="s">
        <v>3936</v>
      </c>
      <c r="B2333" t="s">
        <v>50</v>
      </c>
      <c r="C2333" t="s">
        <v>76</v>
      </c>
      <c r="D2333" t="s">
        <v>77</v>
      </c>
      <c r="E2333" s="1" t="s">
        <v>163</v>
      </c>
      <c r="F2333" t="s">
        <v>224</v>
      </c>
      <c r="G2333">
        <v>41</v>
      </c>
      <c r="H2333">
        <v>8674126</v>
      </c>
      <c r="I2333">
        <v>29153173</v>
      </c>
      <c r="J2333">
        <v>12</v>
      </c>
      <c r="K2333">
        <v>5</v>
      </c>
      <c r="L2333">
        <v>20479047</v>
      </c>
      <c r="M2333">
        <v>0.229308627084371</v>
      </c>
      <c r="N2333">
        <v>0.77069137291562895</v>
      </c>
      <c r="O2333" s="1" t="s">
        <v>4003</v>
      </c>
      <c r="P2333">
        <v>0</v>
      </c>
      <c r="Q2333">
        <v>1</v>
      </c>
      <c r="R2333">
        <v>0</v>
      </c>
      <c r="S2333">
        <v>1</v>
      </c>
      <c r="T2333">
        <v>87.135113059999995</v>
      </c>
      <c r="U2333">
        <f t="shared" si="72"/>
        <v>1</v>
      </c>
      <c r="V2333">
        <f t="shared" si="73"/>
        <v>1</v>
      </c>
    </row>
    <row r="2334" spans="1:22" x14ac:dyDescent="0.2">
      <c r="A2334" t="s">
        <v>3936</v>
      </c>
      <c r="B2334" t="s">
        <v>50</v>
      </c>
      <c r="C2334" t="s">
        <v>76</v>
      </c>
      <c r="D2334" t="s">
        <v>77</v>
      </c>
      <c r="E2334">
        <v>13</v>
      </c>
      <c r="F2334" t="s">
        <v>91</v>
      </c>
      <c r="G2334">
        <v>69</v>
      </c>
      <c r="H2334">
        <v>5951050</v>
      </c>
      <c r="I2334">
        <v>63522677</v>
      </c>
      <c r="J2334">
        <v>21</v>
      </c>
      <c r="K2334">
        <v>10</v>
      </c>
      <c r="L2334">
        <v>57571627</v>
      </c>
      <c r="M2334">
        <v>8.5659000272145999E-2</v>
      </c>
      <c r="N2334">
        <v>0.91434099972785399</v>
      </c>
      <c r="O2334" s="1" t="s">
        <v>4004</v>
      </c>
      <c r="P2334">
        <v>0</v>
      </c>
      <c r="Q2334">
        <v>0</v>
      </c>
      <c r="R2334">
        <v>0</v>
      </c>
      <c r="S2334">
        <v>1</v>
      </c>
      <c r="T2334">
        <v>87.135113059999995</v>
      </c>
      <c r="U2334">
        <f t="shared" si="72"/>
        <v>0</v>
      </c>
      <c r="V2334">
        <f t="shared" si="73"/>
        <v>1</v>
      </c>
    </row>
    <row r="2335" spans="1:22" x14ac:dyDescent="0.2">
      <c r="A2335" t="s">
        <v>3936</v>
      </c>
      <c r="B2335" t="s">
        <v>50</v>
      </c>
      <c r="C2335" t="s">
        <v>76</v>
      </c>
      <c r="D2335" t="s">
        <v>77</v>
      </c>
      <c r="E2335" s="1" t="s">
        <v>89</v>
      </c>
      <c r="F2335" t="s">
        <v>90</v>
      </c>
      <c r="G2335">
        <v>34</v>
      </c>
      <c r="H2335">
        <v>21712805</v>
      </c>
      <c r="I2335">
        <v>196129020</v>
      </c>
      <c r="J2335">
        <v>11</v>
      </c>
      <c r="K2335">
        <v>10</v>
      </c>
      <c r="L2335">
        <v>174416215</v>
      </c>
      <c r="M2335">
        <v>9.9672342535690697E-2</v>
      </c>
      <c r="N2335" s="1" t="s">
        <v>4005</v>
      </c>
      <c r="O2335">
        <v>1.87503715102492E-3</v>
      </c>
      <c r="P2335">
        <v>0</v>
      </c>
      <c r="Q2335">
        <v>0</v>
      </c>
      <c r="R2335">
        <v>0</v>
      </c>
      <c r="S2335">
        <v>1</v>
      </c>
      <c r="T2335">
        <v>87.135113059999995</v>
      </c>
      <c r="U2335">
        <f t="shared" si="72"/>
        <v>0</v>
      </c>
      <c r="V2335">
        <f t="shared" si="73"/>
        <v>1</v>
      </c>
    </row>
    <row r="2336" spans="1:22" x14ac:dyDescent="0.2">
      <c r="A2336" t="s">
        <v>3936</v>
      </c>
      <c r="B2336" t="s">
        <v>50</v>
      </c>
      <c r="C2336" t="s">
        <v>76</v>
      </c>
      <c r="D2336" t="s">
        <v>77</v>
      </c>
      <c r="E2336">
        <v>11</v>
      </c>
      <c r="F2336" t="s">
        <v>127</v>
      </c>
      <c r="G2336">
        <v>56</v>
      </c>
      <c r="H2336">
        <v>23137026</v>
      </c>
      <c r="I2336">
        <v>70513122</v>
      </c>
      <c r="J2336">
        <v>6</v>
      </c>
      <c r="K2336">
        <v>11</v>
      </c>
      <c r="L2336">
        <v>47376096</v>
      </c>
      <c r="M2336" s="1" t="s">
        <v>4006</v>
      </c>
      <c r="N2336" s="1" t="s">
        <v>4007</v>
      </c>
      <c r="O2336" s="1" t="s">
        <v>4008</v>
      </c>
      <c r="P2336">
        <v>0</v>
      </c>
      <c r="Q2336">
        <v>0</v>
      </c>
      <c r="R2336">
        <v>1</v>
      </c>
      <c r="S2336">
        <v>0</v>
      </c>
      <c r="T2336">
        <v>87.135113059999995</v>
      </c>
      <c r="U2336">
        <f t="shared" si="72"/>
        <v>0</v>
      </c>
      <c r="V2336">
        <f t="shared" si="73"/>
        <v>1</v>
      </c>
    </row>
    <row r="2337" spans="1:22" x14ac:dyDescent="0.2">
      <c r="A2337" t="s">
        <v>3936</v>
      </c>
      <c r="B2337" t="s">
        <v>50</v>
      </c>
      <c r="C2337" t="s">
        <v>76</v>
      </c>
      <c r="D2337" t="s">
        <v>77</v>
      </c>
      <c r="E2337">
        <v>15</v>
      </c>
      <c r="F2337" t="s">
        <v>88</v>
      </c>
      <c r="G2337">
        <v>81</v>
      </c>
      <c r="H2337">
        <v>17635858</v>
      </c>
      <c r="I2337">
        <v>1681517</v>
      </c>
      <c r="J2337">
        <v>23</v>
      </c>
      <c r="K2337">
        <v>23</v>
      </c>
      <c r="L2337">
        <v>-15954341</v>
      </c>
      <c r="M2337" s="1" t="s">
        <v>4009</v>
      </c>
      <c r="N2337">
        <v>8.7046868428034302E-2</v>
      </c>
      <c r="O2337" s="1" t="s">
        <v>4010</v>
      </c>
      <c r="P2337">
        <v>0</v>
      </c>
      <c r="Q2337">
        <v>0</v>
      </c>
      <c r="R2337">
        <v>0</v>
      </c>
      <c r="S2337">
        <v>0</v>
      </c>
      <c r="T2337">
        <v>87.135113059999995</v>
      </c>
      <c r="U2337">
        <f t="shared" si="72"/>
        <v>0</v>
      </c>
      <c r="V2337">
        <f t="shared" si="73"/>
        <v>0</v>
      </c>
    </row>
    <row r="2338" spans="1:22" x14ac:dyDescent="0.2">
      <c r="A2338" t="s">
        <v>3936</v>
      </c>
      <c r="B2338" t="s">
        <v>50</v>
      </c>
      <c r="C2338" t="s">
        <v>76</v>
      </c>
      <c r="D2338" t="s">
        <v>77</v>
      </c>
      <c r="E2338" s="1" t="s">
        <v>85</v>
      </c>
      <c r="F2338" t="s">
        <v>86</v>
      </c>
      <c r="G2338">
        <v>25</v>
      </c>
      <c r="H2338">
        <v>21259940</v>
      </c>
      <c r="I2338">
        <v>226926061</v>
      </c>
      <c r="J2338">
        <v>26</v>
      </c>
      <c r="K2338">
        <v>6</v>
      </c>
      <c r="L2338">
        <v>205666121</v>
      </c>
      <c r="M2338">
        <v>8.5661318182083904E-2</v>
      </c>
      <c r="N2338" s="1" t="s">
        <v>4011</v>
      </c>
      <c r="O2338">
        <v>2.1362195815211702E-3</v>
      </c>
      <c r="P2338">
        <v>0</v>
      </c>
      <c r="Q2338">
        <v>0</v>
      </c>
      <c r="R2338">
        <v>0</v>
      </c>
      <c r="S2338">
        <v>1</v>
      </c>
      <c r="T2338">
        <v>87.135113059999995</v>
      </c>
      <c r="U2338">
        <f t="shared" si="72"/>
        <v>0</v>
      </c>
      <c r="V2338">
        <f t="shared" si="73"/>
        <v>1</v>
      </c>
    </row>
    <row r="2339" spans="1:22" x14ac:dyDescent="0.2">
      <c r="A2339" t="s">
        <v>3936</v>
      </c>
      <c r="B2339" t="s">
        <v>50</v>
      </c>
      <c r="C2339" t="s">
        <v>76</v>
      </c>
      <c r="D2339" t="s">
        <v>77</v>
      </c>
      <c r="E2339">
        <v>13</v>
      </c>
      <c r="F2339" t="s">
        <v>91</v>
      </c>
      <c r="G2339">
        <v>68</v>
      </c>
      <c r="H2339">
        <v>4821857</v>
      </c>
      <c r="I2339">
        <v>82775018</v>
      </c>
      <c r="J2339">
        <v>40</v>
      </c>
      <c r="K2339">
        <v>11</v>
      </c>
      <c r="L2339">
        <v>77953161</v>
      </c>
      <c r="M2339" s="1" t="s">
        <v>4012</v>
      </c>
      <c r="N2339" s="1" t="s">
        <v>4013</v>
      </c>
      <c r="O2339" s="1" t="s">
        <v>4014</v>
      </c>
      <c r="P2339">
        <v>0</v>
      </c>
      <c r="Q2339">
        <v>0</v>
      </c>
      <c r="R2339">
        <v>0</v>
      </c>
      <c r="S2339">
        <v>0</v>
      </c>
      <c r="T2339">
        <v>87.135113059999995</v>
      </c>
      <c r="U2339">
        <f t="shared" si="72"/>
        <v>0</v>
      </c>
      <c r="V2339">
        <f t="shared" si="73"/>
        <v>0</v>
      </c>
    </row>
    <row r="2340" spans="1:22" x14ac:dyDescent="0.2">
      <c r="A2340" t="s">
        <v>3936</v>
      </c>
      <c r="B2340" t="s">
        <v>50</v>
      </c>
      <c r="C2340" t="s">
        <v>76</v>
      </c>
      <c r="D2340" t="s">
        <v>77</v>
      </c>
      <c r="E2340">
        <v>17</v>
      </c>
      <c r="F2340" t="s">
        <v>97</v>
      </c>
      <c r="G2340">
        <v>89</v>
      </c>
      <c r="H2340">
        <v>16421677</v>
      </c>
      <c r="I2340">
        <v>162628465</v>
      </c>
      <c r="J2340">
        <v>9</v>
      </c>
      <c r="K2340">
        <v>5</v>
      </c>
      <c r="L2340">
        <v>146206788</v>
      </c>
      <c r="M2340">
        <v>9.1715520672415798E-2</v>
      </c>
      <c r="N2340" s="1" t="s">
        <v>4015</v>
      </c>
      <c r="O2340">
        <v>1.5411442139097399E-3</v>
      </c>
      <c r="P2340">
        <v>0</v>
      </c>
      <c r="Q2340">
        <v>1</v>
      </c>
      <c r="R2340">
        <v>1</v>
      </c>
      <c r="S2340">
        <v>1</v>
      </c>
      <c r="T2340">
        <v>87.135113059999995</v>
      </c>
      <c r="U2340">
        <f t="shared" si="72"/>
        <v>1</v>
      </c>
      <c r="V2340">
        <f t="shared" si="73"/>
        <v>1</v>
      </c>
    </row>
    <row r="2341" spans="1:22" x14ac:dyDescent="0.2">
      <c r="A2341" t="s">
        <v>3936</v>
      </c>
      <c r="B2341" t="s">
        <v>50</v>
      </c>
      <c r="C2341" t="s">
        <v>76</v>
      </c>
      <c r="D2341" t="s">
        <v>77</v>
      </c>
      <c r="E2341">
        <v>18</v>
      </c>
      <c r="F2341" t="s">
        <v>147</v>
      </c>
      <c r="G2341">
        <v>90</v>
      </c>
      <c r="H2341">
        <v>51714684</v>
      </c>
      <c r="I2341">
        <v>57459991</v>
      </c>
      <c r="J2341">
        <v>11</v>
      </c>
      <c r="K2341">
        <v>38</v>
      </c>
      <c r="L2341">
        <v>5745307</v>
      </c>
      <c r="M2341" s="1" t="s">
        <v>4016</v>
      </c>
      <c r="N2341" s="1" t="s">
        <v>4017</v>
      </c>
      <c r="O2341" s="1" t="s">
        <v>4018</v>
      </c>
      <c r="P2341">
        <v>0</v>
      </c>
      <c r="Q2341">
        <v>0</v>
      </c>
      <c r="R2341">
        <v>0</v>
      </c>
      <c r="S2341">
        <v>0</v>
      </c>
      <c r="T2341">
        <v>87.135113059999995</v>
      </c>
      <c r="U2341">
        <f t="shared" si="72"/>
        <v>0</v>
      </c>
      <c r="V2341">
        <f t="shared" si="73"/>
        <v>0</v>
      </c>
    </row>
    <row r="2342" spans="1:22" x14ac:dyDescent="0.2">
      <c r="A2342" t="s">
        <v>3936</v>
      </c>
      <c r="B2342" t="s">
        <v>50</v>
      </c>
      <c r="C2342" t="s">
        <v>76</v>
      </c>
      <c r="D2342" t="s">
        <v>77</v>
      </c>
      <c r="E2342">
        <v>11</v>
      </c>
      <c r="F2342" t="s">
        <v>127</v>
      </c>
      <c r="G2342">
        <v>55</v>
      </c>
      <c r="H2342">
        <v>23334500</v>
      </c>
      <c r="I2342">
        <v>142812804</v>
      </c>
      <c r="J2342">
        <v>4</v>
      </c>
      <c r="K2342">
        <v>5</v>
      </c>
      <c r="L2342">
        <v>119478304</v>
      </c>
      <c r="M2342" s="1" t="s">
        <v>4019</v>
      </c>
      <c r="N2342" s="1" t="s">
        <v>4020</v>
      </c>
      <c r="O2342">
        <v>1.43008518930022E-3</v>
      </c>
      <c r="P2342">
        <v>1</v>
      </c>
      <c r="Q2342">
        <v>1</v>
      </c>
      <c r="R2342">
        <v>1</v>
      </c>
      <c r="S2342">
        <v>1</v>
      </c>
      <c r="T2342">
        <v>87.135113059999995</v>
      </c>
      <c r="U2342">
        <f t="shared" si="72"/>
        <v>1</v>
      </c>
      <c r="V2342">
        <f t="shared" si="73"/>
        <v>1</v>
      </c>
    </row>
    <row r="2343" spans="1:22" x14ac:dyDescent="0.2">
      <c r="A2343" t="s">
        <v>3936</v>
      </c>
      <c r="B2343" t="s">
        <v>50</v>
      </c>
      <c r="C2343" t="s">
        <v>76</v>
      </c>
      <c r="D2343" t="s">
        <v>77</v>
      </c>
      <c r="E2343" s="1" t="s">
        <v>89</v>
      </c>
      <c r="F2343" t="s">
        <v>90</v>
      </c>
      <c r="G2343">
        <v>33</v>
      </c>
      <c r="H2343">
        <v>33388890</v>
      </c>
      <c r="I2343">
        <v>164420812</v>
      </c>
      <c r="J2343">
        <v>15</v>
      </c>
      <c r="K2343">
        <v>17</v>
      </c>
      <c r="L2343">
        <v>131031922</v>
      </c>
      <c r="M2343" s="1" t="s">
        <v>4021</v>
      </c>
      <c r="N2343" s="1" t="s">
        <v>4022</v>
      </c>
      <c r="O2343">
        <v>1.70261399565106E-3</v>
      </c>
      <c r="P2343">
        <v>0</v>
      </c>
      <c r="Q2343">
        <v>0</v>
      </c>
      <c r="R2343">
        <v>0</v>
      </c>
      <c r="S2343">
        <v>0</v>
      </c>
      <c r="T2343">
        <v>87.135113059999995</v>
      </c>
      <c r="U2343">
        <f t="shared" si="72"/>
        <v>0</v>
      </c>
      <c r="V2343">
        <f t="shared" si="73"/>
        <v>0</v>
      </c>
    </row>
    <row r="2344" spans="1:22" x14ac:dyDescent="0.2">
      <c r="A2344" t="s">
        <v>3936</v>
      </c>
      <c r="B2344" t="s">
        <v>50</v>
      </c>
      <c r="C2344" t="s">
        <v>76</v>
      </c>
      <c r="D2344" t="s">
        <v>77</v>
      </c>
      <c r="E2344" s="1" t="s">
        <v>138</v>
      </c>
      <c r="F2344" t="s">
        <v>139</v>
      </c>
      <c r="G2344">
        <v>20</v>
      </c>
      <c r="H2344">
        <v>5067705</v>
      </c>
      <c r="I2344">
        <v>87177565</v>
      </c>
      <c r="J2344">
        <v>15</v>
      </c>
      <c r="K2344">
        <v>17</v>
      </c>
      <c r="L2344">
        <v>82109860</v>
      </c>
      <c r="M2344">
        <v>5.4937288383458502E-2</v>
      </c>
      <c r="N2344" s="1" t="s">
        <v>4023</v>
      </c>
      <c r="O2344" s="1" t="s">
        <v>4024</v>
      </c>
      <c r="P2344">
        <v>0</v>
      </c>
      <c r="Q2344">
        <v>0</v>
      </c>
      <c r="R2344">
        <v>0</v>
      </c>
      <c r="S2344">
        <v>0</v>
      </c>
      <c r="T2344">
        <v>87.135113059999995</v>
      </c>
      <c r="U2344">
        <f t="shared" si="72"/>
        <v>0</v>
      </c>
      <c r="V2344">
        <f t="shared" si="73"/>
        <v>0</v>
      </c>
    </row>
    <row r="2345" spans="1:22" x14ac:dyDescent="0.2">
      <c r="A2345" t="s">
        <v>3936</v>
      </c>
      <c r="B2345" t="s">
        <v>50</v>
      </c>
      <c r="C2345" t="s">
        <v>76</v>
      </c>
      <c r="D2345" t="s">
        <v>77</v>
      </c>
      <c r="E2345" s="1" t="s">
        <v>138</v>
      </c>
      <c r="F2345" t="s">
        <v>139</v>
      </c>
      <c r="G2345">
        <v>19</v>
      </c>
      <c r="H2345">
        <v>3356781</v>
      </c>
      <c r="I2345">
        <v>34550433</v>
      </c>
      <c r="J2345">
        <v>22</v>
      </c>
      <c r="K2345">
        <v>20</v>
      </c>
      <c r="L2345">
        <v>31193652</v>
      </c>
      <c r="M2345">
        <v>8.8552564163644404E-2</v>
      </c>
      <c r="N2345" s="1" t="s">
        <v>4025</v>
      </c>
      <c r="O2345" s="1" t="s">
        <v>4026</v>
      </c>
      <c r="P2345">
        <v>0</v>
      </c>
      <c r="Q2345">
        <v>0</v>
      </c>
      <c r="R2345">
        <v>0</v>
      </c>
      <c r="S2345">
        <v>0</v>
      </c>
      <c r="T2345">
        <v>87.135113059999995</v>
      </c>
      <c r="U2345">
        <f t="shared" si="72"/>
        <v>0</v>
      </c>
      <c r="V2345">
        <f t="shared" si="73"/>
        <v>0</v>
      </c>
    </row>
    <row r="2346" spans="1:22" x14ac:dyDescent="0.2">
      <c r="A2346" t="s">
        <v>3936</v>
      </c>
      <c r="B2346" t="s">
        <v>50</v>
      </c>
      <c r="C2346" t="s">
        <v>76</v>
      </c>
      <c r="D2346" t="s">
        <v>77</v>
      </c>
      <c r="E2346">
        <v>11</v>
      </c>
      <c r="F2346" t="s">
        <v>127</v>
      </c>
      <c r="G2346">
        <v>63</v>
      </c>
      <c r="H2346">
        <v>2417598</v>
      </c>
      <c r="I2346">
        <v>114104189</v>
      </c>
      <c r="J2346">
        <v>23</v>
      </c>
      <c r="K2346">
        <v>8</v>
      </c>
      <c r="L2346">
        <v>111686591</v>
      </c>
      <c r="M2346">
        <v>2.0748034013587501E-2</v>
      </c>
      <c r="N2346" s="1" t="s">
        <v>4027</v>
      </c>
      <c r="O2346">
        <v>1.0029418341900699E-3</v>
      </c>
      <c r="P2346">
        <v>0</v>
      </c>
      <c r="Q2346">
        <v>0</v>
      </c>
      <c r="R2346">
        <v>0</v>
      </c>
      <c r="S2346">
        <v>1</v>
      </c>
      <c r="T2346">
        <v>87.135113059999995</v>
      </c>
      <c r="U2346">
        <f t="shared" si="72"/>
        <v>0</v>
      </c>
      <c r="V2346">
        <f t="shared" si="73"/>
        <v>1</v>
      </c>
    </row>
    <row r="2347" spans="1:22" x14ac:dyDescent="0.2">
      <c r="A2347" t="s">
        <v>3936</v>
      </c>
      <c r="B2347" t="s">
        <v>50</v>
      </c>
      <c r="C2347" t="s">
        <v>76</v>
      </c>
      <c r="D2347" t="s">
        <v>77</v>
      </c>
      <c r="E2347" s="1" t="s">
        <v>155</v>
      </c>
      <c r="F2347" t="s">
        <v>156</v>
      </c>
      <c r="G2347" s="1" t="s">
        <v>85</v>
      </c>
      <c r="H2347">
        <v>4189237</v>
      </c>
      <c r="I2347">
        <v>0</v>
      </c>
      <c r="J2347">
        <v>18</v>
      </c>
      <c r="K2347">
        <v>72</v>
      </c>
      <c r="L2347">
        <v>-4189237</v>
      </c>
      <c r="M2347">
        <v>1</v>
      </c>
      <c r="N2347">
        <v>0</v>
      </c>
      <c r="O2347" s="1" t="s">
        <v>4028</v>
      </c>
      <c r="P2347">
        <v>0</v>
      </c>
      <c r="Q2347">
        <v>0</v>
      </c>
      <c r="R2347">
        <v>0</v>
      </c>
      <c r="S2347">
        <v>0</v>
      </c>
      <c r="T2347">
        <v>87.135113059999995</v>
      </c>
      <c r="U2347">
        <f t="shared" si="72"/>
        <v>0</v>
      </c>
      <c r="V2347">
        <f t="shared" si="73"/>
        <v>0</v>
      </c>
    </row>
    <row r="2348" spans="1:22" x14ac:dyDescent="0.2">
      <c r="A2348" t="s">
        <v>3936</v>
      </c>
      <c r="B2348" t="s">
        <v>50</v>
      </c>
      <c r="C2348" t="s">
        <v>76</v>
      </c>
      <c r="D2348" t="s">
        <v>77</v>
      </c>
      <c r="E2348">
        <v>10</v>
      </c>
      <c r="F2348" t="s">
        <v>119</v>
      </c>
      <c r="G2348">
        <v>49</v>
      </c>
      <c r="H2348">
        <v>621433</v>
      </c>
      <c r="I2348">
        <v>4663142</v>
      </c>
      <c r="J2348">
        <v>48</v>
      </c>
      <c r="K2348">
        <v>27</v>
      </c>
      <c r="L2348">
        <v>4041709</v>
      </c>
      <c r="M2348" s="1" t="s">
        <v>4029</v>
      </c>
      <c r="N2348" s="1" t="s">
        <v>4030</v>
      </c>
      <c r="O2348" s="1" t="s">
        <v>4031</v>
      </c>
      <c r="P2348">
        <v>0</v>
      </c>
      <c r="Q2348">
        <v>0</v>
      </c>
      <c r="R2348">
        <v>0</v>
      </c>
      <c r="S2348">
        <v>0</v>
      </c>
      <c r="T2348">
        <v>87.135113059999995</v>
      </c>
      <c r="U2348">
        <f t="shared" si="72"/>
        <v>0</v>
      </c>
      <c r="V2348">
        <f t="shared" si="73"/>
        <v>0</v>
      </c>
    </row>
    <row r="2349" spans="1:22" x14ac:dyDescent="0.2">
      <c r="A2349" t="s">
        <v>3936</v>
      </c>
      <c r="B2349" t="s">
        <v>50</v>
      </c>
      <c r="C2349" t="s">
        <v>76</v>
      </c>
      <c r="D2349" t="s">
        <v>77</v>
      </c>
      <c r="E2349">
        <v>17</v>
      </c>
      <c r="F2349" t="s">
        <v>97</v>
      </c>
      <c r="G2349">
        <v>86</v>
      </c>
      <c r="H2349">
        <v>1365576</v>
      </c>
      <c r="I2349">
        <v>6239546</v>
      </c>
      <c r="J2349">
        <v>38</v>
      </c>
      <c r="K2349">
        <v>22</v>
      </c>
      <c r="L2349">
        <v>4873970</v>
      </c>
      <c r="M2349" s="1" t="s">
        <v>4032</v>
      </c>
      <c r="N2349">
        <v>0.82043996138391995</v>
      </c>
      <c r="O2349" s="1" t="s">
        <v>4033</v>
      </c>
      <c r="P2349">
        <v>0</v>
      </c>
      <c r="Q2349">
        <v>0</v>
      </c>
      <c r="R2349">
        <v>0</v>
      </c>
      <c r="S2349">
        <v>0</v>
      </c>
      <c r="T2349">
        <v>87.135113059999995</v>
      </c>
      <c r="U2349">
        <f t="shared" si="72"/>
        <v>0</v>
      </c>
      <c r="V2349">
        <f t="shared" si="73"/>
        <v>0</v>
      </c>
    </row>
    <row r="2350" spans="1:22" x14ac:dyDescent="0.2">
      <c r="A2350" t="s">
        <v>3936</v>
      </c>
      <c r="B2350" t="s">
        <v>50</v>
      </c>
      <c r="C2350" t="s">
        <v>76</v>
      </c>
      <c r="D2350" t="s">
        <v>77</v>
      </c>
      <c r="E2350">
        <v>20</v>
      </c>
      <c r="F2350" t="s">
        <v>104</v>
      </c>
      <c r="G2350">
        <v>96</v>
      </c>
      <c r="H2350">
        <v>12093871</v>
      </c>
      <c r="I2350">
        <v>50326092</v>
      </c>
      <c r="J2350">
        <v>14</v>
      </c>
      <c r="K2350">
        <v>15</v>
      </c>
      <c r="L2350">
        <v>38232221</v>
      </c>
      <c r="M2350" s="1" t="s">
        <v>4034</v>
      </c>
      <c r="N2350" s="1" t="s">
        <v>4035</v>
      </c>
      <c r="O2350" s="1" t="s">
        <v>4036</v>
      </c>
      <c r="P2350">
        <v>0</v>
      </c>
      <c r="Q2350">
        <v>0</v>
      </c>
      <c r="R2350">
        <v>0</v>
      </c>
      <c r="S2350">
        <v>0</v>
      </c>
      <c r="T2350">
        <v>87.135113059999995</v>
      </c>
      <c r="U2350">
        <f t="shared" si="72"/>
        <v>0</v>
      </c>
      <c r="V2350">
        <f t="shared" si="73"/>
        <v>0</v>
      </c>
    </row>
    <row r="2351" spans="1:22" x14ac:dyDescent="0.2">
      <c r="A2351" t="s">
        <v>3936</v>
      </c>
      <c r="B2351" t="s">
        <v>50</v>
      </c>
      <c r="C2351" t="s">
        <v>76</v>
      </c>
      <c r="D2351" t="s">
        <v>77</v>
      </c>
      <c r="E2351">
        <v>11</v>
      </c>
      <c r="F2351" t="s">
        <v>127</v>
      </c>
      <c r="G2351">
        <v>54</v>
      </c>
      <c r="H2351">
        <v>23893386</v>
      </c>
      <c r="I2351">
        <v>128740079</v>
      </c>
      <c r="J2351">
        <v>4</v>
      </c>
      <c r="K2351">
        <v>3</v>
      </c>
      <c r="L2351">
        <v>104846693</v>
      </c>
      <c r="M2351" s="1" t="s">
        <v>4037</v>
      </c>
      <c r="N2351" s="1" t="s">
        <v>4038</v>
      </c>
      <c r="O2351">
        <v>1.3137670755588901E-3</v>
      </c>
      <c r="P2351">
        <v>1</v>
      </c>
      <c r="Q2351">
        <v>1</v>
      </c>
      <c r="R2351">
        <v>1</v>
      </c>
      <c r="S2351">
        <v>1</v>
      </c>
      <c r="T2351">
        <v>87.135113059999995</v>
      </c>
      <c r="U2351">
        <f t="shared" si="72"/>
        <v>1</v>
      </c>
      <c r="V2351">
        <f t="shared" si="73"/>
        <v>1</v>
      </c>
    </row>
    <row r="2352" spans="1:22" x14ac:dyDescent="0.2">
      <c r="A2352" t="s">
        <v>3936</v>
      </c>
      <c r="B2352" t="s">
        <v>50</v>
      </c>
      <c r="C2352" t="s">
        <v>76</v>
      </c>
      <c r="D2352" t="s">
        <v>77</v>
      </c>
      <c r="E2352" s="1" t="s">
        <v>89</v>
      </c>
      <c r="F2352" t="s">
        <v>90</v>
      </c>
      <c r="G2352">
        <v>30</v>
      </c>
      <c r="H2352">
        <v>10859846</v>
      </c>
      <c r="I2352">
        <v>98007206</v>
      </c>
      <c r="J2352">
        <v>30</v>
      </c>
      <c r="K2352">
        <v>32</v>
      </c>
      <c r="L2352">
        <v>87147360</v>
      </c>
      <c r="M2352">
        <v>9.9753284400499798E-2</v>
      </c>
      <c r="N2352" s="1" t="s">
        <v>4039</v>
      </c>
      <c r="O2352" s="1" t="s">
        <v>4040</v>
      </c>
      <c r="P2352">
        <v>0</v>
      </c>
      <c r="Q2352">
        <v>0</v>
      </c>
      <c r="R2352">
        <v>0</v>
      </c>
      <c r="S2352">
        <v>0</v>
      </c>
      <c r="T2352">
        <v>87.135113059999995</v>
      </c>
      <c r="U2352">
        <f t="shared" si="72"/>
        <v>0</v>
      </c>
      <c r="V2352">
        <f t="shared" si="73"/>
        <v>0</v>
      </c>
    </row>
    <row r="2353" spans="1:22" x14ac:dyDescent="0.2">
      <c r="A2353" t="s">
        <v>3936</v>
      </c>
      <c r="B2353" t="s">
        <v>50</v>
      </c>
      <c r="C2353" t="s">
        <v>76</v>
      </c>
      <c r="D2353" t="s">
        <v>77</v>
      </c>
      <c r="E2353" s="1" t="s">
        <v>138</v>
      </c>
      <c r="F2353" t="s">
        <v>139</v>
      </c>
      <c r="G2353">
        <v>18</v>
      </c>
      <c r="H2353">
        <v>2823381</v>
      </c>
      <c r="I2353">
        <v>36997306</v>
      </c>
      <c r="J2353">
        <v>39</v>
      </c>
      <c r="K2353">
        <v>22</v>
      </c>
      <c r="L2353">
        <v>34173925</v>
      </c>
      <c r="M2353">
        <v>7.0902367907414499E-2</v>
      </c>
      <c r="N2353" s="1" t="s">
        <v>4041</v>
      </c>
      <c r="O2353" s="1" t="s">
        <v>4042</v>
      </c>
      <c r="P2353">
        <v>0</v>
      </c>
      <c r="Q2353">
        <v>0</v>
      </c>
      <c r="R2353">
        <v>0</v>
      </c>
      <c r="S2353">
        <v>0</v>
      </c>
      <c r="T2353">
        <v>87.135113059999995</v>
      </c>
      <c r="U2353">
        <f t="shared" si="72"/>
        <v>0</v>
      </c>
      <c r="V2353">
        <f t="shared" si="73"/>
        <v>0</v>
      </c>
    </row>
    <row r="2354" spans="1:22" x14ac:dyDescent="0.2">
      <c r="A2354" t="s">
        <v>3936</v>
      </c>
      <c r="B2354" t="s">
        <v>50</v>
      </c>
      <c r="C2354" t="s">
        <v>76</v>
      </c>
      <c r="D2354" t="s">
        <v>77</v>
      </c>
      <c r="E2354">
        <v>11</v>
      </c>
      <c r="F2354" t="s">
        <v>127</v>
      </c>
      <c r="G2354">
        <v>53</v>
      </c>
      <c r="H2354">
        <v>617328</v>
      </c>
      <c r="I2354">
        <v>1357263</v>
      </c>
      <c r="J2354">
        <v>19</v>
      </c>
      <c r="K2354">
        <v>12</v>
      </c>
      <c r="L2354">
        <v>739935</v>
      </c>
      <c r="M2354">
        <v>0.31263588257011199</v>
      </c>
      <c r="N2354">
        <v>0.68736411742988801</v>
      </c>
      <c r="O2354" s="1" t="s">
        <v>4043</v>
      </c>
      <c r="P2354">
        <v>0</v>
      </c>
      <c r="Q2354">
        <v>0</v>
      </c>
      <c r="R2354">
        <v>0</v>
      </c>
      <c r="S2354">
        <v>0</v>
      </c>
      <c r="T2354">
        <v>87.135113059999995</v>
      </c>
      <c r="U2354">
        <f t="shared" si="72"/>
        <v>0</v>
      </c>
      <c r="V2354">
        <f t="shared" si="73"/>
        <v>0</v>
      </c>
    </row>
    <row r="2355" spans="1:22" x14ac:dyDescent="0.2">
      <c r="A2355" t="s">
        <v>3936</v>
      </c>
      <c r="B2355" t="s">
        <v>50</v>
      </c>
      <c r="C2355" t="s">
        <v>76</v>
      </c>
      <c r="D2355" t="s">
        <v>77</v>
      </c>
      <c r="E2355">
        <v>11</v>
      </c>
      <c r="F2355" t="s">
        <v>127</v>
      </c>
      <c r="G2355">
        <v>59</v>
      </c>
      <c r="H2355">
        <v>702816</v>
      </c>
      <c r="I2355">
        <v>35625160</v>
      </c>
      <c r="J2355">
        <v>18</v>
      </c>
      <c r="K2355">
        <v>10</v>
      </c>
      <c r="L2355">
        <v>34922344</v>
      </c>
      <c r="M2355" s="1" t="s">
        <v>4044</v>
      </c>
      <c r="N2355" s="1" t="s">
        <v>4045</v>
      </c>
      <c r="O2355" s="1" t="s">
        <v>4046</v>
      </c>
      <c r="P2355">
        <v>0</v>
      </c>
      <c r="Q2355">
        <v>0</v>
      </c>
      <c r="R2355">
        <v>0</v>
      </c>
      <c r="S2355">
        <v>1</v>
      </c>
      <c r="T2355">
        <v>87.135113059999995</v>
      </c>
      <c r="U2355">
        <f t="shared" si="72"/>
        <v>0</v>
      </c>
      <c r="V2355">
        <f t="shared" si="73"/>
        <v>1</v>
      </c>
    </row>
    <row r="2356" spans="1:22" x14ac:dyDescent="0.2">
      <c r="A2356" t="s">
        <v>3936</v>
      </c>
      <c r="B2356" t="s">
        <v>50</v>
      </c>
      <c r="C2356" t="s">
        <v>76</v>
      </c>
      <c r="D2356" t="s">
        <v>77</v>
      </c>
      <c r="E2356">
        <v>17</v>
      </c>
      <c r="F2356" t="s">
        <v>97</v>
      </c>
      <c r="G2356">
        <v>87</v>
      </c>
      <c r="H2356">
        <v>75137960</v>
      </c>
      <c r="I2356">
        <v>1521184476</v>
      </c>
      <c r="J2356">
        <v>18</v>
      </c>
      <c r="K2356">
        <v>15</v>
      </c>
      <c r="L2356">
        <v>1446046516</v>
      </c>
      <c r="M2356">
        <v>4.7069412986688097E-2</v>
      </c>
      <c r="N2356" s="1" t="s">
        <v>4047</v>
      </c>
      <c r="O2356" s="1" t="s">
        <v>4048</v>
      </c>
      <c r="P2356">
        <v>0</v>
      </c>
      <c r="Q2356">
        <v>0</v>
      </c>
      <c r="R2356">
        <v>0</v>
      </c>
      <c r="S2356">
        <v>0</v>
      </c>
      <c r="T2356">
        <v>87.135113059999995</v>
      </c>
      <c r="U2356">
        <f t="shared" si="72"/>
        <v>0</v>
      </c>
      <c r="V2356">
        <f t="shared" si="73"/>
        <v>0</v>
      </c>
    </row>
    <row r="2357" spans="1:22" x14ac:dyDescent="0.2">
      <c r="A2357" t="s">
        <v>3936</v>
      </c>
      <c r="B2357" t="s">
        <v>50</v>
      </c>
      <c r="C2357" t="s">
        <v>76</v>
      </c>
      <c r="D2357" t="s">
        <v>77</v>
      </c>
      <c r="E2357">
        <v>11</v>
      </c>
      <c r="F2357" t="s">
        <v>127</v>
      </c>
      <c r="G2357">
        <v>60</v>
      </c>
      <c r="H2357">
        <v>1650368</v>
      </c>
      <c r="I2357">
        <v>364567617</v>
      </c>
      <c r="J2357">
        <v>4</v>
      </c>
      <c r="K2357">
        <v>2</v>
      </c>
      <c r="L2357">
        <v>362917249</v>
      </c>
      <c r="M2357">
        <v>4.5065181602154201E-3</v>
      </c>
      <c r="N2357" s="1" t="s">
        <v>4049</v>
      </c>
      <c r="O2357">
        <v>3.15216018433782E-3</v>
      </c>
      <c r="P2357">
        <v>1</v>
      </c>
      <c r="Q2357">
        <v>1</v>
      </c>
      <c r="R2357">
        <v>1</v>
      </c>
      <c r="S2357">
        <v>1</v>
      </c>
      <c r="T2357">
        <v>87.135113059999995</v>
      </c>
      <c r="U2357">
        <f t="shared" si="72"/>
        <v>1</v>
      </c>
      <c r="V2357">
        <f t="shared" si="73"/>
        <v>1</v>
      </c>
    </row>
    <row r="2358" spans="1:22" x14ac:dyDescent="0.2">
      <c r="A2358" t="s">
        <v>3936</v>
      </c>
      <c r="B2358" t="s">
        <v>50</v>
      </c>
      <c r="C2358" t="s">
        <v>76</v>
      </c>
      <c r="D2358" t="s">
        <v>77</v>
      </c>
      <c r="E2358" s="1" t="s">
        <v>82</v>
      </c>
      <c r="F2358" t="s">
        <v>83</v>
      </c>
      <c r="G2358" s="1" t="s">
        <v>93</v>
      </c>
      <c r="H2358">
        <v>717593</v>
      </c>
      <c r="I2358">
        <v>4783312</v>
      </c>
      <c r="J2358">
        <v>39</v>
      </c>
      <c r="K2358">
        <v>44</v>
      </c>
      <c r="L2358">
        <v>4065719</v>
      </c>
      <c r="M2358" s="1" t="s">
        <v>4050</v>
      </c>
      <c r="N2358" s="1" t="s">
        <v>4051</v>
      </c>
      <c r="O2358" s="1" t="s">
        <v>4052</v>
      </c>
      <c r="P2358">
        <v>0</v>
      </c>
      <c r="Q2358">
        <v>0</v>
      </c>
      <c r="R2358">
        <v>0</v>
      </c>
      <c r="S2358">
        <v>0</v>
      </c>
      <c r="T2358">
        <v>87.135113059999995</v>
      </c>
      <c r="U2358">
        <f t="shared" si="72"/>
        <v>0</v>
      </c>
      <c r="V2358">
        <f t="shared" si="73"/>
        <v>0</v>
      </c>
    </row>
    <row r="2359" spans="1:22" x14ac:dyDescent="0.2">
      <c r="A2359" t="s">
        <v>3936</v>
      </c>
      <c r="B2359" t="s">
        <v>50</v>
      </c>
      <c r="C2359" t="s">
        <v>76</v>
      </c>
      <c r="D2359" t="s">
        <v>77</v>
      </c>
      <c r="E2359">
        <v>11</v>
      </c>
      <c r="F2359" t="s">
        <v>127</v>
      </c>
      <c r="G2359">
        <v>61</v>
      </c>
      <c r="H2359">
        <v>3234794</v>
      </c>
      <c r="I2359">
        <v>493628936</v>
      </c>
      <c r="J2359">
        <v>15</v>
      </c>
      <c r="K2359">
        <v>8</v>
      </c>
      <c r="L2359">
        <v>490394142</v>
      </c>
      <c r="M2359">
        <v>6.5104249006060402E-3</v>
      </c>
      <c r="N2359">
        <v>0.99348957509939395</v>
      </c>
      <c r="O2359">
        <v>4.2766716297332596E-3</v>
      </c>
      <c r="P2359">
        <v>0</v>
      </c>
      <c r="Q2359">
        <v>0</v>
      </c>
      <c r="R2359">
        <v>0</v>
      </c>
      <c r="S2359">
        <v>1</v>
      </c>
      <c r="T2359">
        <v>87.135113059999995</v>
      </c>
      <c r="U2359">
        <f t="shared" si="72"/>
        <v>0</v>
      </c>
      <c r="V2359">
        <f t="shared" si="73"/>
        <v>1</v>
      </c>
    </row>
    <row r="2360" spans="1:22" x14ac:dyDescent="0.2">
      <c r="A2360" t="s">
        <v>3936</v>
      </c>
      <c r="B2360" t="s">
        <v>50</v>
      </c>
      <c r="C2360" t="s">
        <v>76</v>
      </c>
      <c r="D2360" t="s">
        <v>77</v>
      </c>
      <c r="E2360" s="1" t="s">
        <v>163</v>
      </c>
      <c r="F2360" t="s">
        <v>224</v>
      </c>
      <c r="G2360">
        <v>43</v>
      </c>
      <c r="H2360">
        <v>7608707</v>
      </c>
      <c r="I2360">
        <v>125484852</v>
      </c>
      <c r="J2360">
        <v>6</v>
      </c>
      <c r="K2360">
        <v>4</v>
      </c>
      <c r="L2360">
        <v>117876145</v>
      </c>
      <c r="M2360">
        <v>5.7168108337985003E-2</v>
      </c>
      <c r="N2360">
        <v>0.94283189166201498</v>
      </c>
      <c r="O2360">
        <v>1.1455805958618199E-3</v>
      </c>
      <c r="P2360">
        <v>0</v>
      </c>
      <c r="Q2360">
        <v>1</v>
      </c>
      <c r="R2360">
        <v>1</v>
      </c>
      <c r="S2360">
        <v>1</v>
      </c>
      <c r="T2360">
        <v>87.135113059999995</v>
      </c>
      <c r="U2360">
        <f t="shared" si="72"/>
        <v>1</v>
      </c>
      <c r="V2360">
        <f t="shared" si="73"/>
        <v>1</v>
      </c>
    </row>
    <row r="2361" spans="1:22" x14ac:dyDescent="0.2">
      <c r="A2361" t="s">
        <v>3936</v>
      </c>
      <c r="B2361" t="s">
        <v>50</v>
      </c>
      <c r="C2361" t="s">
        <v>76</v>
      </c>
      <c r="D2361" t="s">
        <v>77</v>
      </c>
      <c r="E2361">
        <v>20</v>
      </c>
      <c r="F2361" t="s">
        <v>104</v>
      </c>
      <c r="G2361">
        <v>95</v>
      </c>
      <c r="H2361">
        <v>532625</v>
      </c>
      <c r="I2361">
        <v>17762707</v>
      </c>
      <c r="J2361">
        <v>46</v>
      </c>
      <c r="K2361">
        <v>31</v>
      </c>
      <c r="L2361">
        <v>17230082</v>
      </c>
      <c r="M2361">
        <v>2.91126173605376E-2</v>
      </c>
      <c r="N2361" s="1" t="s">
        <v>4053</v>
      </c>
      <c r="O2361" s="1" t="s">
        <v>4054</v>
      </c>
      <c r="P2361">
        <v>0</v>
      </c>
      <c r="Q2361">
        <v>0</v>
      </c>
      <c r="R2361">
        <v>0</v>
      </c>
      <c r="S2361">
        <v>0</v>
      </c>
      <c r="T2361">
        <v>87.135113059999995</v>
      </c>
      <c r="U2361">
        <f t="shared" si="72"/>
        <v>0</v>
      </c>
      <c r="V2361">
        <f t="shared" si="73"/>
        <v>0</v>
      </c>
    </row>
    <row r="2362" spans="1:22" x14ac:dyDescent="0.2">
      <c r="A2362" t="s">
        <v>3936</v>
      </c>
      <c r="B2362" t="s">
        <v>50</v>
      </c>
      <c r="C2362" t="s">
        <v>76</v>
      </c>
      <c r="D2362" t="s">
        <v>77</v>
      </c>
      <c r="E2362" s="1" t="s">
        <v>82</v>
      </c>
      <c r="F2362" t="s">
        <v>83</v>
      </c>
      <c r="G2362" s="1" t="s">
        <v>89</v>
      </c>
      <c r="H2362">
        <v>281098</v>
      </c>
      <c r="I2362">
        <v>1305523</v>
      </c>
      <c r="J2362">
        <v>11</v>
      </c>
      <c r="K2362">
        <v>29</v>
      </c>
      <c r="L2362">
        <v>1024425</v>
      </c>
      <c r="M2362" s="1" t="s">
        <v>4055</v>
      </c>
      <c r="N2362" s="1" t="s">
        <v>4056</v>
      </c>
      <c r="O2362" s="1" t="s">
        <v>4057</v>
      </c>
      <c r="P2362">
        <v>0</v>
      </c>
      <c r="Q2362">
        <v>0</v>
      </c>
      <c r="R2362">
        <v>0</v>
      </c>
      <c r="S2362">
        <v>0</v>
      </c>
      <c r="T2362">
        <v>87.135113059999995</v>
      </c>
      <c r="U2362">
        <f t="shared" si="72"/>
        <v>0</v>
      </c>
      <c r="V2362">
        <f t="shared" si="73"/>
        <v>0</v>
      </c>
    </row>
    <row r="2363" spans="1:22" x14ac:dyDescent="0.2">
      <c r="A2363" t="s">
        <v>3936</v>
      </c>
      <c r="B2363" t="s">
        <v>50</v>
      </c>
      <c r="C2363" t="s">
        <v>76</v>
      </c>
      <c r="D2363" t="s">
        <v>77</v>
      </c>
      <c r="E2363" s="1" t="s">
        <v>82</v>
      </c>
      <c r="F2363" t="s">
        <v>83</v>
      </c>
      <c r="G2363" s="1" t="s">
        <v>163</v>
      </c>
      <c r="H2363">
        <v>13131042</v>
      </c>
      <c r="I2363">
        <v>3156143808</v>
      </c>
      <c r="J2363">
        <v>10</v>
      </c>
      <c r="K2363">
        <v>2</v>
      </c>
      <c r="L2363">
        <v>3143012766</v>
      </c>
      <c r="M2363">
        <v>4.1432323233183696E-3</v>
      </c>
      <c r="N2363" s="1" t="s">
        <v>4058</v>
      </c>
      <c r="O2363">
        <v>2.7279004321410401E-2</v>
      </c>
      <c r="P2363">
        <v>0</v>
      </c>
      <c r="Q2363">
        <v>1</v>
      </c>
      <c r="R2363">
        <v>1</v>
      </c>
      <c r="S2363">
        <v>1</v>
      </c>
      <c r="T2363">
        <v>87.135113059999995</v>
      </c>
      <c r="U2363">
        <f t="shared" si="72"/>
        <v>1</v>
      </c>
      <c r="V2363">
        <f t="shared" si="73"/>
        <v>1</v>
      </c>
    </row>
    <row r="2364" spans="1:22" x14ac:dyDescent="0.2">
      <c r="A2364" t="s">
        <v>3936</v>
      </c>
      <c r="B2364" t="s">
        <v>50</v>
      </c>
      <c r="C2364" t="s">
        <v>76</v>
      </c>
      <c r="D2364" t="s">
        <v>77</v>
      </c>
      <c r="E2364">
        <v>19</v>
      </c>
      <c r="F2364" t="s">
        <v>838</v>
      </c>
      <c r="G2364">
        <v>93</v>
      </c>
      <c r="H2364">
        <v>8112515</v>
      </c>
      <c r="I2364">
        <v>35650498</v>
      </c>
      <c r="J2364">
        <v>12</v>
      </c>
      <c r="K2364">
        <v>3</v>
      </c>
      <c r="L2364">
        <v>27537983</v>
      </c>
      <c r="M2364" s="1" t="s">
        <v>4059</v>
      </c>
      <c r="N2364" s="1" t="s">
        <v>4060</v>
      </c>
      <c r="O2364" s="1" t="s">
        <v>4061</v>
      </c>
      <c r="P2364">
        <v>0</v>
      </c>
      <c r="Q2364">
        <v>1</v>
      </c>
      <c r="R2364">
        <v>0</v>
      </c>
      <c r="S2364">
        <v>1</v>
      </c>
      <c r="T2364">
        <v>87.135113059999995</v>
      </c>
      <c r="U2364">
        <f t="shared" si="72"/>
        <v>1</v>
      </c>
      <c r="V2364">
        <f t="shared" si="73"/>
        <v>1</v>
      </c>
    </row>
    <row r="2365" spans="1:22" x14ac:dyDescent="0.2">
      <c r="A2365" t="s">
        <v>3936</v>
      </c>
      <c r="B2365" t="s">
        <v>50</v>
      </c>
      <c r="C2365" t="s">
        <v>76</v>
      </c>
      <c r="D2365" t="s">
        <v>77</v>
      </c>
      <c r="E2365" s="1" t="s">
        <v>155</v>
      </c>
      <c r="F2365" t="s">
        <v>156</v>
      </c>
      <c r="G2365" s="1" t="s">
        <v>110</v>
      </c>
      <c r="H2365">
        <v>8636125</v>
      </c>
      <c r="I2365">
        <v>375203238</v>
      </c>
      <c r="J2365">
        <v>46</v>
      </c>
      <c r="K2365">
        <v>7</v>
      </c>
      <c r="L2365">
        <v>366567113</v>
      </c>
      <c r="M2365">
        <v>2.2499320894298101E-2</v>
      </c>
      <c r="N2365" s="1" t="s">
        <v>4062</v>
      </c>
      <c r="O2365">
        <v>3.3038332544760001E-3</v>
      </c>
      <c r="P2365">
        <v>0</v>
      </c>
      <c r="Q2365">
        <v>0</v>
      </c>
      <c r="R2365">
        <v>0</v>
      </c>
      <c r="S2365">
        <v>1</v>
      </c>
      <c r="T2365">
        <v>87.135113059999995</v>
      </c>
      <c r="U2365">
        <f t="shared" si="72"/>
        <v>0</v>
      </c>
      <c r="V2365">
        <f t="shared" si="73"/>
        <v>1</v>
      </c>
    </row>
    <row r="2366" spans="1:22" x14ac:dyDescent="0.2">
      <c r="A2366" t="s">
        <v>3936</v>
      </c>
      <c r="B2366" t="s">
        <v>50</v>
      </c>
      <c r="C2366" t="s">
        <v>76</v>
      </c>
      <c r="D2366" t="s">
        <v>77</v>
      </c>
      <c r="E2366">
        <v>21</v>
      </c>
      <c r="F2366" t="s">
        <v>212</v>
      </c>
      <c r="G2366">
        <v>97</v>
      </c>
      <c r="H2366">
        <v>28242</v>
      </c>
      <c r="I2366">
        <v>223188</v>
      </c>
      <c r="J2366">
        <v>58</v>
      </c>
      <c r="K2366">
        <v>32</v>
      </c>
      <c r="L2366">
        <v>194946</v>
      </c>
      <c r="M2366" s="1" t="s">
        <v>4063</v>
      </c>
      <c r="N2366" s="1" t="s">
        <v>4064</v>
      </c>
      <c r="O2366" s="1" t="s">
        <v>4065</v>
      </c>
      <c r="P2366">
        <v>0</v>
      </c>
      <c r="Q2366">
        <v>0</v>
      </c>
      <c r="R2366">
        <v>0</v>
      </c>
      <c r="S2366">
        <v>0</v>
      </c>
      <c r="T2366">
        <v>87.135113059999995</v>
      </c>
      <c r="U2366">
        <f t="shared" si="72"/>
        <v>0</v>
      </c>
      <c r="V2366">
        <f t="shared" si="73"/>
        <v>0</v>
      </c>
    </row>
    <row r="2367" spans="1:22" x14ac:dyDescent="0.2">
      <c r="A2367" t="s">
        <v>3936</v>
      </c>
      <c r="B2367" t="s">
        <v>50</v>
      </c>
      <c r="C2367" t="s">
        <v>76</v>
      </c>
      <c r="D2367" t="s">
        <v>77</v>
      </c>
      <c r="E2367" s="1" t="s">
        <v>89</v>
      </c>
      <c r="F2367" t="s">
        <v>90</v>
      </c>
      <c r="G2367">
        <v>37</v>
      </c>
      <c r="H2367">
        <v>35097</v>
      </c>
      <c r="I2367">
        <v>225435</v>
      </c>
      <c r="J2367">
        <v>19</v>
      </c>
      <c r="K2367">
        <v>27</v>
      </c>
      <c r="L2367">
        <v>190338</v>
      </c>
      <c r="M2367" s="1" t="s">
        <v>4066</v>
      </c>
      <c r="N2367" s="1" t="s">
        <v>4067</v>
      </c>
      <c r="O2367" s="1" t="s">
        <v>4068</v>
      </c>
      <c r="P2367">
        <v>0</v>
      </c>
      <c r="Q2367">
        <v>0</v>
      </c>
      <c r="R2367">
        <v>0</v>
      </c>
      <c r="S2367">
        <v>0</v>
      </c>
      <c r="T2367">
        <v>87.135113059999995</v>
      </c>
      <c r="U2367">
        <f t="shared" si="72"/>
        <v>0</v>
      </c>
      <c r="V2367">
        <f t="shared" si="73"/>
        <v>0</v>
      </c>
    </row>
    <row r="2368" spans="1:22" x14ac:dyDescent="0.2">
      <c r="A2368" t="s">
        <v>3936</v>
      </c>
      <c r="B2368" t="s">
        <v>50</v>
      </c>
      <c r="C2368" t="s">
        <v>76</v>
      </c>
      <c r="D2368" t="s">
        <v>77</v>
      </c>
      <c r="E2368">
        <v>18</v>
      </c>
      <c r="F2368" t="s">
        <v>147</v>
      </c>
      <c r="G2368">
        <v>92</v>
      </c>
      <c r="H2368">
        <v>44042</v>
      </c>
      <c r="I2368">
        <v>221798</v>
      </c>
      <c r="J2368">
        <v>31</v>
      </c>
      <c r="K2368">
        <v>32</v>
      </c>
      <c r="L2368">
        <v>177756</v>
      </c>
      <c r="M2368" s="1" t="s">
        <v>4069</v>
      </c>
      <c r="N2368" s="1" t="s">
        <v>4070</v>
      </c>
      <c r="O2368" s="1" t="s">
        <v>4071</v>
      </c>
      <c r="P2368">
        <v>0</v>
      </c>
      <c r="Q2368">
        <v>0</v>
      </c>
      <c r="R2368">
        <v>0</v>
      </c>
      <c r="S2368">
        <v>0</v>
      </c>
      <c r="T2368">
        <v>87.135113059999995</v>
      </c>
      <c r="U2368">
        <f t="shared" si="72"/>
        <v>0</v>
      </c>
      <c r="V2368">
        <f t="shared" si="73"/>
        <v>0</v>
      </c>
    </row>
    <row r="2369" spans="1:22" x14ac:dyDescent="0.2">
      <c r="A2369" t="s">
        <v>3936</v>
      </c>
      <c r="B2369" t="s">
        <v>50</v>
      </c>
      <c r="C2369" t="s">
        <v>76</v>
      </c>
      <c r="D2369" t="s">
        <v>77</v>
      </c>
      <c r="E2369">
        <v>11</v>
      </c>
      <c r="F2369" t="s">
        <v>127</v>
      </c>
      <c r="G2369">
        <v>51</v>
      </c>
      <c r="H2369">
        <v>152145</v>
      </c>
      <c r="I2369">
        <v>8118634</v>
      </c>
      <c r="J2369">
        <v>19</v>
      </c>
      <c r="K2369">
        <v>7</v>
      </c>
      <c r="L2369">
        <v>7966489</v>
      </c>
      <c r="M2369" s="1" t="s">
        <v>4072</v>
      </c>
      <c r="N2369" s="1" t="s">
        <v>4073</v>
      </c>
      <c r="O2369" s="1" t="s">
        <v>4074</v>
      </c>
      <c r="P2369">
        <v>0</v>
      </c>
      <c r="Q2369">
        <v>0</v>
      </c>
      <c r="R2369">
        <v>0</v>
      </c>
      <c r="S2369">
        <v>1</v>
      </c>
      <c r="T2369">
        <v>87.135113059999995</v>
      </c>
      <c r="U2369">
        <f t="shared" si="72"/>
        <v>0</v>
      </c>
      <c r="V2369">
        <f t="shared" si="73"/>
        <v>1</v>
      </c>
    </row>
    <row r="2370" spans="1:22" x14ac:dyDescent="0.2">
      <c r="A2370" t="s">
        <v>3936</v>
      </c>
      <c r="B2370" t="s">
        <v>50</v>
      </c>
      <c r="C2370" t="s">
        <v>76</v>
      </c>
      <c r="D2370" t="s">
        <v>77</v>
      </c>
      <c r="E2370">
        <v>20</v>
      </c>
      <c r="F2370" t="s">
        <v>104</v>
      </c>
      <c r="G2370">
        <v>94</v>
      </c>
      <c r="H2370">
        <v>4886818</v>
      </c>
      <c r="I2370">
        <v>210338855</v>
      </c>
      <c r="J2370">
        <v>43</v>
      </c>
      <c r="K2370">
        <v>11</v>
      </c>
      <c r="L2370">
        <v>205452037</v>
      </c>
      <c r="M2370" s="1" t="s">
        <v>4075</v>
      </c>
      <c r="N2370" s="1" t="s">
        <v>4076</v>
      </c>
      <c r="O2370">
        <v>1.8525190593190299E-3</v>
      </c>
      <c r="P2370">
        <v>0</v>
      </c>
      <c r="Q2370">
        <v>0</v>
      </c>
      <c r="R2370">
        <v>0</v>
      </c>
      <c r="S2370">
        <v>0</v>
      </c>
      <c r="T2370">
        <v>87.135113059999995</v>
      </c>
      <c r="U2370">
        <f t="shared" si="72"/>
        <v>0</v>
      </c>
      <c r="V2370">
        <f t="shared" si="73"/>
        <v>0</v>
      </c>
    </row>
    <row r="2371" spans="1:22" x14ac:dyDescent="0.2">
      <c r="A2371" t="s">
        <v>3936</v>
      </c>
      <c r="B2371" t="s">
        <v>50</v>
      </c>
      <c r="C2371" t="s">
        <v>76</v>
      </c>
      <c r="D2371" t="s">
        <v>77</v>
      </c>
      <c r="E2371">
        <v>11</v>
      </c>
      <c r="F2371" t="s">
        <v>127</v>
      </c>
      <c r="G2371">
        <v>52</v>
      </c>
      <c r="H2371">
        <v>72442</v>
      </c>
      <c r="I2371">
        <v>105762755</v>
      </c>
      <c r="J2371">
        <v>36</v>
      </c>
      <c r="K2371">
        <v>4</v>
      </c>
      <c r="L2371">
        <v>105690313</v>
      </c>
      <c r="M2371" s="1" t="s">
        <v>4077</v>
      </c>
      <c r="N2371" s="1" t="s">
        <v>4078</v>
      </c>
      <c r="O2371" s="1" t="s">
        <v>4079</v>
      </c>
      <c r="P2371">
        <v>0</v>
      </c>
      <c r="Q2371">
        <v>1</v>
      </c>
      <c r="R2371">
        <v>0</v>
      </c>
      <c r="S2371">
        <v>1</v>
      </c>
      <c r="T2371">
        <v>87.135113059999995</v>
      </c>
      <c r="U2371">
        <f t="shared" ref="U2371:U2434" si="74">IF(OR(P2371=1,Q2371=1),1,0)</f>
        <v>1</v>
      </c>
      <c r="V2371">
        <f t="shared" ref="V2371:V2434" si="75">IF(OR(R2371=1,S2371=1),1,0)</f>
        <v>1</v>
      </c>
    </row>
    <row r="2372" spans="1:22" x14ac:dyDescent="0.2">
      <c r="A2372" t="s">
        <v>3936</v>
      </c>
      <c r="B2372" t="s">
        <v>50</v>
      </c>
      <c r="C2372" t="s">
        <v>76</v>
      </c>
      <c r="D2372" t="s">
        <v>77</v>
      </c>
      <c r="E2372" s="1" t="s">
        <v>89</v>
      </c>
      <c r="F2372" t="s">
        <v>90</v>
      </c>
      <c r="G2372">
        <v>35</v>
      </c>
      <c r="H2372">
        <v>413835</v>
      </c>
      <c r="I2372">
        <v>45145229</v>
      </c>
      <c r="J2372">
        <v>25</v>
      </c>
      <c r="K2372">
        <v>16</v>
      </c>
      <c r="L2372">
        <v>44731394</v>
      </c>
      <c r="M2372">
        <v>9.0834833656810807E-3</v>
      </c>
      <c r="N2372" s="1" t="s">
        <v>4080</v>
      </c>
      <c r="O2372" s="1" t="s">
        <v>4081</v>
      </c>
      <c r="P2372">
        <v>0</v>
      </c>
      <c r="Q2372">
        <v>0</v>
      </c>
      <c r="R2372">
        <v>0</v>
      </c>
      <c r="S2372">
        <v>0</v>
      </c>
      <c r="T2372">
        <v>87.135113059999995</v>
      </c>
      <c r="U2372">
        <f t="shared" si="74"/>
        <v>0</v>
      </c>
      <c r="V2372">
        <f t="shared" si="75"/>
        <v>0</v>
      </c>
    </row>
    <row r="2373" spans="1:22" x14ac:dyDescent="0.2">
      <c r="A2373" t="s">
        <v>3936</v>
      </c>
      <c r="B2373" t="s">
        <v>50</v>
      </c>
      <c r="C2373" t="s">
        <v>76</v>
      </c>
      <c r="D2373" t="s">
        <v>77</v>
      </c>
      <c r="E2373">
        <v>11</v>
      </c>
      <c r="F2373" t="s">
        <v>127</v>
      </c>
      <c r="G2373">
        <v>57</v>
      </c>
      <c r="H2373">
        <v>165677</v>
      </c>
      <c r="I2373">
        <v>59290438</v>
      </c>
      <c r="J2373">
        <v>18</v>
      </c>
      <c r="K2373">
        <v>5</v>
      </c>
      <c r="L2373">
        <v>59124761</v>
      </c>
      <c r="M2373">
        <v>2.7865426457816798E-3</v>
      </c>
      <c r="N2373" s="1" t="s">
        <v>4082</v>
      </c>
      <c r="O2373" s="1" t="s">
        <v>4083</v>
      </c>
      <c r="P2373">
        <v>0</v>
      </c>
      <c r="Q2373">
        <v>1</v>
      </c>
      <c r="R2373">
        <v>0</v>
      </c>
      <c r="S2373">
        <v>1</v>
      </c>
      <c r="T2373">
        <v>87.135113059999995</v>
      </c>
      <c r="U2373">
        <f t="shared" si="74"/>
        <v>1</v>
      </c>
      <c r="V2373">
        <f t="shared" si="75"/>
        <v>1</v>
      </c>
    </row>
    <row r="2374" spans="1:22" x14ac:dyDescent="0.2">
      <c r="A2374" t="s">
        <v>3936</v>
      </c>
      <c r="B2374" t="s">
        <v>50</v>
      </c>
      <c r="C2374" t="s">
        <v>76</v>
      </c>
      <c r="D2374" t="s">
        <v>77</v>
      </c>
      <c r="E2374" s="1" t="s">
        <v>155</v>
      </c>
      <c r="F2374" t="s">
        <v>156</v>
      </c>
      <c r="G2374" s="1" t="s">
        <v>82</v>
      </c>
      <c r="H2374">
        <v>2299</v>
      </c>
      <c r="I2374">
        <v>10325353</v>
      </c>
      <c r="J2374">
        <v>59</v>
      </c>
      <c r="K2374">
        <v>16</v>
      </c>
      <c r="L2374">
        <v>10323054</v>
      </c>
      <c r="M2374" s="1" t="s">
        <v>4084</v>
      </c>
      <c r="N2374" s="1" t="s">
        <v>4085</v>
      </c>
      <c r="O2374" s="1" t="s">
        <v>4086</v>
      </c>
      <c r="P2374">
        <v>0</v>
      </c>
      <c r="Q2374">
        <v>0</v>
      </c>
      <c r="R2374">
        <v>0</v>
      </c>
      <c r="S2374">
        <v>0</v>
      </c>
      <c r="T2374">
        <v>87.135113059999995</v>
      </c>
      <c r="U2374">
        <f t="shared" si="74"/>
        <v>0</v>
      </c>
      <c r="V2374">
        <f t="shared" si="75"/>
        <v>0</v>
      </c>
    </row>
    <row r="2375" spans="1:22" x14ac:dyDescent="0.2">
      <c r="A2375" t="s">
        <v>3936</v>
      </c>
      <c r="B2375" t="s">
        <v>50</v>
      </c>
      <c r="C2375" t="s">
        <v>76</v>
      </c>
      <c r="D2375" t="s">
        <v>77</v>
      </c>
      <c r="E2375" s="1" t="s">
        <v>155</v>
      </c>
      <c r="F2375" t="s">
        <v>156</v>
      </c>
      <c r="G2375" s="1" t="s">
        <v>155</v>
      </c>
      <c r="H2375">
        <v>25039</v>
      </c>
      <c r="I2375">
        <v>941462</v>
      </c>
      <c r="J2375">
        <v>56</v>
      </c>
      <c r="K2375">
        <v>28</v>
      </c>
      <c r="L2375">
        <v>916423</v>
      </c>
      <c r="M2375" s="1" t="s">
        <v>4087</v>
      </c>
      <c r="N2375" s="1" t="s">
        <v>4088</v>
      </c>
      <c r="O2375" s="1" t="s">
        <v>4089</v>
      </c>
      <c r="P2375">
        <v>0</v>
      </c>
      <c r="Q2375">
        <v>0</v>
      </c>
      <c r="R2375">
        <v>0</v>
      </c>
      <c r="S2375">
        <v>0</v>
      </c>
      <c r="T2375">
        <v>87.135113059999995</v>
      </c>
      <c r="U2375">
        <f t="shared" si="74"/>
        <v>0</v>
      </c>
      <c r="V2375">
        <f t="shared" si="75"/>
        <v>0</v>
      </c>
    </row>
    <row r="2376" spans="1:22" x14ac:dyDescent="0.2">
      <c r="A2376" t="s">
        <v>3936</v>
      </c>
      <c r="B2376" t="s">
        <v>50</v>
      </c>
      <c r="C2376" t="s">
        <v>76</v>
      </c>
      <c r="D2376" t="s">
        <v>77</v>
      </c>
      <c r="E2376">
        <v>18</v>
      </c>
      <c r="F2376" t="s">
        <v>147</v>
      </c>
      <c r="G2376">
        <v>91</v>
      </c>
      <c r="H2376">
        <v>10477</v>
      </c>
      <c r="I2376">
        <v>3581956</v>
      </c>
      <c r="J2376">
        <v>58</v>
      </c>
      <c r="K2376">
        <v>20</v>
      </c>
      <c r="L2376">
        <v>3571479</v>
      </c>
      <c r="M2376">
        <v>2.9164079051717802E-3</v>
      </c>
      <c r="N2376" s="1" t="s">
        <v>4090</v>
      </c>
      <c r="O2376" s="1" t="s">
        <v>4091</v>
      </c>
      <c r="P2376">
        <v>0</v>
      </c>
      <c r="Q2376">
        <v>0</v>
      </c>
      <c r="R2376">
        <v>0</v>
      </c>
      <c r="S2376">
        <v>0</v>
      </c>
      <c r="T2376">
        <v>87.135113059999995</v>
      </c>
      <c r="U2376">
        <f t="shared" si="74"/>
        <v>0</v>
      </c>
      <c r="V2376">
        <f t="shared" si="75"/>
        <v>0</v>
      </c>
    </row>
    <row r="2377" spans="1:22" x14ac:dyDescent="0.2">
      <c r="A2377" t="s">
        <v>3936</v>
      </c>
      <c r="B2377" t="s">
        <v>50</v>
      </c>
      <c r="C2377" t="s">
        <v>76</v>
      </c>
      <c r="D2377" t="s">
        <v>77</v>
      </c>
      <c r="E2377">
        <v>12</v>
      </c>
      <c r="F2377" t="s">
        <v>194</v>
      </c>
      <c r="G2377">
        <v>64</v>
      </c>
      <c r="H2377">
        <v>1052421</v>
      </c>
      <c r="I2377">
        <v>404662157</v>
      </c>
      <c r="J2377">
        <v>28</v>
      </c>
      <c r="K2377">
        <v>7</v>
      </c>
      <c r="L2377">
        <v>403609736</v>
      </c>
      <c r="M2377">
        <v>2.5939935537637902E-3</v>
      </c>
      <c r="N2377" s="1" t="s">
        <v>4092</v>
      </c>
      <c r="O2377">
        <v>3.4921205166289701E-3</v>
      </c>
      <c r="P2377">
        <v>0</v>
      </c>
      <c r="Q2377">
        <v>0</v>
      </c>
      <c r="R2377">
        <v>0</v>
      </c>
      <c r="S2377">
        <v>1</v>
      </c>
      <c r="T2377">
        <v>87.135113059999995</v>
      </c>
      <c r="U2377">
        <f t="shared" si="74"/>
        <v>0</v>
      </c>
      <c r="V2377">
        <f t="shared" si="75"/>
        <v>1</v>
      </c>
    </row>
    <row r="2378" spans="1:22" x14ac:dyDescent="0.2">
      <c r="A2378" t="s">
        <v>3936</v>
      </c>
      <c r="B2378" t="s">
        <v>50</v>
      </c>
      <c r="C2378" t="s">
        <v>76</v>
      </c>
      <c r="D2378" t="s">
        <v>77</v>
      </c>
      <c r="E2378">
        <v>11</v>
      </c>
      <c r="F2378" t="s">
        <v>127</v>
      </c>
      <c r="G2378">
        <v>58</v>
      </c>
      <c r="H2378">
        <v>224136</v>
      </c>
      <c r="I2378">
        <v>48100851</v>
      </c>
      <c r="J2378">
        <v>8</v>
      </c>
      <c r="K2378">
        <v>3</v>
      </c>
      <c r="L2378">
        <v>47876715</v>
      </c>
      <c r="M2378">
        <v>4.63809747119021E-3</v>
      </c>
      <c r="N2378" s="1" t="s">
        <v>4093</v>
      </c>
      <c r="O2378" s="1" t="s">
        <v>4094</v>
      </c>
      <c r="P2378">
        <v>0</v>
      </c>
      <c r="Q2378">
        <v>1</v>
      </c>
      <c r="R2378">
        <v>1</v>
      </c>
      <c r="S2378">
        <v>1</v>
      </c>
      <c r="T2378">
        <v>87.135113059999995</v>
      </c>
      <c r="U2378">
        <f t="shared" si="74"/>
        <v>1</v>
      </c>
      <c r="V2378">
        <f t="shared" si="75"/>
        <v>1</v>
      </c>
    </row>
    <row r="2379" spans="1:22" x14ac:dyDescent="0.2">
      <c r="A2379" t="s">
        <v>3936</v>
      </c>
      <c r="B2379" t="s">
        <v>50</v>
      </c>
      <c r="C2379" t="s">
        <v>76</v>
      </c>
      <c r="D2379" t="s">
        <v>77</v>
      </c>
      <c r="E2379">
        <v>11</v>
      </c>
      <c r="F2379" t="s">
        <v>127</v>
      </c>
      <c r="G2379">
        <v>62</v>
      </c>
      <c r="H2379">
        <v>3593684</v>
      </c>
      <c r="I2379">
        <v>537523458</v>
      </c>
      <c r="J2379">
        <v>24</v>
      </c>
      <c r="K2379">
        <v>6</v>
      </c>
      <c r="L2379">
        <v>533929774</v>
      </c>
      <c r="M2379">
        <v>6.6412311144266002E-3</v>
      </c>
      <c r="N2379" s="1" t="s">
        <v>4095</v>
      </c>
      <c r="O2379">
        <v>4.6575754876568296E-3</v>
      </c>
      <c r="P2379">
        <v>0</v>
      </c>
      <c r="Q2379">
        <v>0</v>
      </c>
      <c r="R2379">
        <v>0</v>
      </c>
      <c r="S2379">
        <v>1</v>
      </c>
      <c r="T2379">
        <v>87.135113059999995</v>
      </c>
      <c r="U2379">
        <f t="shared" si="74"/>
        <v>0</v>
      </c>
      <c r="V2379">
        <f t="shared" si="75"/>
        <v>1</v>
      </c>
    </row>
    <row r="2380" spans="1:22" x14ac:dyDescent="0.2">
      <c r="A2380" t="s">
        <v>3936</v>
      </c>
      <c r="B2380" t="s">
        <v>50</v>
      </c>
      <c r="C2380" t="s">
        <v>76</v>
      </c>
      <c r="D2380" t="s">
        <v>77</v>
      </c>
      <c r="E2380" s="1" t="s">
        <v>155</v>
      </c>
      <c r="F2380" t="s">
        <v>156</v>
      </c>
      <c r="G2380" s="1" t="s">
        <v>138</v>
      </c>
      <c r="H2380">
        <v>333905</v>
      </c>
      <c r="I2380">
        <v>60924631</v>
      </c>
      <c r="J2380">
        <v>25</v>
      </c>
      <c r="K2380">
        <v>13</v>
      </c>
      <c r="L2380">
        <v>60590726</v>
      </c>
      <c r="M2380">
        <v>5.4507505696838703E-3</v>
      </c>
      <c r="N2380" s="1" t="s">
        <v>4096</v>
      </c>
      <c r="O2380" s="1" t="s">
        <v>4097</v>
      </c>
      <c r="P2380">
        <v>0</v>
      </c>
      <c r="Q2380">
        <v>0</v>
      </c>
      <c r="R2380">
        <v>0</v>
      </c>
      <c r="S2380">
        <v>0</v>
      </c>
      <c r="T2380">
        <v>87.135113059999995</v>
      </c>
      <c r="U2380">
        <f t="shared" si="74"/>
        <v>0</v>
      </c>
      <c r="V2380">
        <f t="shared" si="75"/>
        <v>0</v>
      </c>
    </row>
    <row r="2381" spans="1:22" x14ac:dyDescent="0.2">
      <c r="A2381" t="s">
        <v>3936</v>
      </c>
      <c r="B2381" t="s">
        <v>50</v>
      </c>
      <c r="C2381" t="s">
        <v>76</v>
      </c>
      <c r="D2381" t="s">
        <v>77</v>
      </c>
      <c r="E2381" s="1" t="s">
        <v>138</v>
      </c>
      <c r="F2381" t="s">
        <v>139</v>
      </c>
      <c r="G2381">
        <v>16</v>
      </c>
      <c r="H2381">
        <v>0</v>
      </c>
      <c r="I2381">
        <v>238994</v>
      </c>
      <c r="J2381">
        <v>83</v>
      </c>
      <c r="K2381">
        <v>44</v>
      </c>
      <c r="L2381">
        <v>238994</v>
      </c>
      <c r="M2381">
        <v>0</v>
      </c>
      <c r="N2381">
        <v>1</v>
      </c>
      <c r="O2381" s="1" t="s">
        <v>4098</v>
      </c>
      <c r="P2381">
        <v>0</v>
      </c>
      <c r="Q2381">
        <v>0</v>
      </c>
      <c r="R2381">
        <v>0</v>
      </c>
      <c r="S2381">
        <v>0</v>
      </c>
      <c r="T2381">
        <v>87.135113059999995</v>
      </c>
      <c r="U2381">
        <f t="shared" si="74"/>
        <v>0</v>
      </c>
      <c r="V2381">
        <f t="shared" si="75"/>
        <v>0</v>
      </c>
    </row>
    <row r="2382" spans="1:22" x14ac:dyDescent="0.2">
      <c r="A2382" t="s">
        <v>3936</v>
      </c>
      <c r="B2382" t="s">
        <v>50</v>
      </c>
      <c r="C2382" t="s">
        <v>76</v>
      </c>
      <c r="D2382" t="s">
        <v>77</v>
      </c>
      <c r="E2382" s="1" t="s">
        <v>93</v>
      </c>
      <c r="F2382" t="s">
        <v>94</v>
      </c>
      <c r="G2382">
        <v>46</v>
      </c>
      <c r="H2382">
        <v>0</v>
      </c>
      <c r="I2382">
        <v>75143</v>
      </c>
      <c r="J2382">
        <v>47</v>
      </c>
      <c r="K2382">
        <v>22</v>
      </c>
      <c r="L2382">
        <v>75143</v>
      </c>
      <c r="M2382">
        <v>0</v>
      </c>
      <c r="N2382">
        <v>1</v>
      </c>
      <c r="O2382" s="1" t="s">
        <v>4099</v>
      </c>
      <c r="P2382">
        <v>0</v>
      </c>
      <c r="Q2382">
        <v>0</v>
      </c>
      <c r="R2382">
        <v>0</v>
      </c>
      <c r="S2382">
        <v>0</v>
      </c>
      <c r="T2382">
        <v>87.135113059999995</v>
      </c>
      <c r="U2382">
        <f t="shared" si="74"/>
        <v>0</v>
      </c>
      <c r="V2382">
        <f t="shared" si="75"/>
        <v>0</v>
      </c>
    </row>
    <row r="2383" spans="1:22" x14ac:dyDescent="0.2">
      <c r="A2383" t="s">
        <v>3936</v>
      </c>
      <c r="B2383" t="s">
        <v>50</v>
      </c>
      <c r="C2383" t="s">
        <v>76</v>
      </c>
      <c r="D2383" t="s">
        <v>77</v>
      </c>
      <c r="E2383" s="1" t="s">
        <v>163</v>
      </c>
      <c r="F2383" t="s">
        <v>224</v>
      </c>
      <c r="G2383">
        <v>42</v>
      </c>
      <c r="H2383">
        <v>422131</v>
      </c>
      <c r="I2383">
        <v>53685579</v>
      </c>
      <c r="J2383">
        <v>19</v>
      </c>
      <c r="K2383">
        <v>13</v>
      </c>
      <c r="L2383">
        <v>53263448</v>
      </c>
      <c r="M2383">
        <v>7.8016792800878103E-3</v>
      </c>
      <c r="N2383" s="1" t="s">
        <v>4100</v>
      </c>
      <c r="O2383" s="1" t="s">
        <v>4101</v>
      </c>
      <c r="P2383">
        <v>0</v>
      </c>
      <c r="Q2383">
        <v>0</v>
      </c>
      <c r="R2383">
        <v>0</v>
      </c>
      <c r="S2383">
        <v>0</v>
      </c>
      <c r="T2383">
        <v>87.135113059999995</v>
      </c>
      <c r="U2383">
        <f t="shared" si="74"/>
        <v>0</v>
      </c>
      <c r="V2383">
        <f t="shared" si="75"/>
        <v>0</v>
      </c>
    </row>
    <row r="2384" spans="1:22" x14ac:dyDescent="0.2">
      <c r="A2384" t="s">
        <v>3936</v>
      </c>
      <c r="B2384" t="s">
        <v>50</v>
      </c>
      <c r="C2384" t="s">
        <v>76</v>
      </c>
      <c r="D2384" t="s">
        <v>77</v>
      </c>
      <c r="E2384">
        <v>15</v>
      </c>
      <c r="F2384" t="s">
        <v>88</v>
      </c>
      <c r="G2384">
        <v>83</v>
      </c>
      <c r="H2384">
        <v>12053297</v>
      </c>
      <c r="I2384">
        <v>303822478</v>
      </c>
      <c r="J2384">
        <v>12</v>
      </c>
      <c r="K2384">
        <v>7</v>
      </c>
      <c r="L2384">
        <v>291769181</v>
      </c>
      <c r="M2384">
        <v>3.8158345634450697E-2</v>
      </c>
      <c r="N2384" s="1" t="s">
        <v>4102</v>
      </c>
      <c r="O2384">
        <v>2.7188480138457798E-3</v>
      </c>
      <c r="P2384">
        <v>0</v>
      </c>
      <c r="Q2384">
        <v>0</v>
      </c>
      <c r="R2384">
        <v>0</v>
      </c>
      <c r="S2384">
        <v>1</v>
      </c>
      <c r="T2384">
        <v>87.135113059999995</v>
      </c>
      <c r="U2384">
        <f t="shared" si="74"/>
        <v>0</v>
      </c>
      <c r="V2384">
        <f t="shared" si="75"/>
        <v>1</v>
      </c>
    </row>
    <row r="2385" spans="1:22" x14ac:dyDescent="0.2">
      <c r="A2385" t="s">
        <v>3936</v>
      </c>
      <c r="B2385" t="s">
        <v>50</v>
      </c>
      <c r="C2385" t="s">
        <v>76</v>
      </c>
      <c r="D2385" t="s">
        <v>77</v>
      </c>
      <c r="E2385" s="1" t="s">
        <v>93</v>
      </c>
      <c r="F2385" t="s">
        <v>94</v>
      </c>
      <c r="G2385">
        <v>45</v>
      </c>
      <c r="H2385">
        <v>0</v>
      </c>
      <c r="I2385">
        <v>431055</v>
      </c>
      <c r="J2385">
        <v>48</v>
      </c>
      <c r="K2385">
        <v>14</v>
      </c>
      <c r="L2385">
        <v>431055</v>
      </c>
      <c r="M2385">
        <v>0</v>
      </c>
      <c r="N2385">
        <v>1</v>
      </c>
      <c r="O2385" s="1" t="s">
        <v>4103</v>
      </c>
      <c r="P2385">
        <v>0</v>
      </c>
      <c r="Q2385">
        <v>0</v>
      </c>
      <c r="R2385">
        <v>0</v>
      </c>
      <c r="S2385">
        <v>0</v>
      </c>
      <c r="T2385">
        <v>87.135113059999995</v>
      </c>
      <c r="U2385">
        <f t="shared" si="74"/>
        <v>0</v>
      </c>
      <c r="V2385">
        <f t="shared" si="75"/>
        <v>0</v>
      </c>
    </row>
    <row r="2386" spans="1:22" x14ac:dyDescent="0.2">
      <c r="A2386" t="s">
        <v>3936</v>
      </c>
      <c r="B2386" t="s">
        <v>50</v>
      </c>
      <c r="C2386" t="s">
        <v>76</v>
      </c>
      <c r="D2386" t="s">
        <v>77</v>
      </c>
      <c r="E2386" s="1" t="s">
        <v>82</v>
      </c>
      <c r="F2386" t="s">
        <v>83</v>
      </c>
      <c r="G2386">
        <v>13</v>
      </c>
      <c r="H2386">
        <v>0</v>
      </c>
      <c r="I2386">
        <v>2011425</v>
      </c>
      <c r="J2386">
        <v>59</v>
      </c>
      <c r="K2386">
        <v>26</v>
      </c>
      <c r="L2386">
        <v>2011425</v>
      </c>
      <c r="M2386">
        <v>0</v>
      </c>
      <c r="N2386">
        <v>1</v>
      </c>
      <c r="O2386" s="1" t="s">
        <v>4104</v>
      </c>
      <c r="P2386">
        <v>0</v>
      </c>
      <c r="Q2386">
        <v>0</v>
      </c>
      <c r="R2386">
        <v>0</v>
      </c>
      <c r="S2386">
        <v>0</v>
      </c>
      <c r="T2386">
        <v>87.135113059999995</v>
      </c>
      <c r="U2386">
        <f t="shared" si="74"/>
        <v>0</v>
      </c>
      <c r="V2386">
        <f t="shared" si="75"/>
        <v>0</v>
      </c>
    </row>
    <row r="2387" spans="1:22" x14ac:dyDescent="0.2">
      <c r="A2387" t="s">
        <v>3936</v>
      </c>
      <c r="B2387" t="s">
        <v>50</v>
      </c>
      <c r="C2387" t="s">
        <v>76</v>
      </c>
      <c r="D2387" t="s">
        <v>77</v>
      </c>
      <c r="E2387">
        <v>12</v>
      </c>
      <c r="F2387" t="s">
        <v>194</v>
      </c>
      <c r="G2387">
        <v>65</v>
      </c>
      <c r="H2387">
        <v>19692</v>
      </c>
      <c r="I2387">
        <v>4980525</v>
      </c>
      <c r="J2387">
        <v>44</v>
      </c>
      <c r="K2387">
        <v>16</v>
      </c>
      <c r="L2387">
        <v>4960833</v>
      </c>
      <c r="M2387">
        <v>3.9382290808578904E-3</v>
      </c>
      <c r="N2387" s="1" t="s">
        <v>4105</v>
      </c>
      <c r="O2387" s="1" t="s">
        <v>4106</v>
      </c>
      <c r="P2387">
        <v>0</v>
      </c>
      <c r="Q2387">
        <v>0</v>
      </c>
      <c r="R2387">
        <v>0</v>
      </c>
      <c r="S2387">
        <v>0</v>
      </c>
      <c r="T2387">
        <v>87.135113059999995</v>
      </c>
      <c r="U2387">
        <f t="shared" si="74"/>
        <v>0</v>
      </c>
      <c r="V2387">
        <f t="shared" si="75"/>
        <v>0</v>
      </c>
    </row>
    <row r="2388" spans="1:22" x14ac:dyDescent="0.2">
      <c r="A2388" t="s">
        <v>3936</v>
      </c>
      <c r="B2388" t="s">
        <v>50</v>
      </c>
      <c r="C2388" t="s">
        <v>76</v>
      </c>
      <c r="D2388" t="s">
        <v>77</v>
      </c>
      <c r="E2388">
        <v>17</v>
      </c>
      <c r="F2388" t="s">
        <v>97</v>
      </c>
      <c r="G2388">
        <v>88</v>
      </c>
      <c r="H2388">
        <v>24697746</v>
      </c>
      <c r="I2388">
        <v>47897944</v>
      </c>
      <c r="J2388">
        <v>29</v>
      </c>
      <c r="K2388">
        <v>14</v>
      </c>
      <c r="L2388">
        <v>23200198</v>
      </c>
      <c r="M2388" s="1" t="s">
        <v>4107</v>
      </c>
      <c r="N2388" s="1" t="s">
        <v>4108</v>
      </c>
      <c r="O2388" s="1" t="s">
        <v>4109</v>
      </c>
      <c r="P2388">
        <v>0</v>
      </c>
      <c r="Q2388">
        <v>0</v>
      </c>
      <c r="R2388">
        <v>0</v>
      </c>
      <c r="S2388">
        <v>0</v>
      </c>
      <c r="T2388">
        <v>87.135113059999995</v>
      </c>
      <c r="U2388">
        <f t="shared" si="74"/>
        <v>0</v>
      </c>
      <c r="V2388">
        <f t="shared" si="75"/>
        <v>0</v>
      </c>
    </row>
    <row r="2389" spans="1:22" x14ac:dyDescent="0.2">
      <c r="A2389" t="s">
        <v>3936</v>
      </c>
      <c r="B2389" t="s">
        <v>50</v>
      </c>
      <c r="C2389" t="s">
        <v>76</v>
      </c>
      <c r="D2389" t="s">
        <v>77</v>
      </c>
      <c r="E2389">
        <v>12</v>
      </c>
      <c r="F2389" t="s">
        <v>194</v>
      </c>
      <c r="G2389">
        <v>66</v>
      </c>
      <c r="H2389">
        <v>423</v>
      </c>
      <c r="I2389">
        <v>233943</v>
      </c>
      <c r="J2389">
        <v>47</v>
      </c>
      <c r="K2389">
        <v>20</v>
      </c>
      <c r="L2389">
        <v>233520</v>
      </c>
      <c r="M2389">
        <v>1.8048693069813799E-3</v>
      </c>
      <c r="N2389" s="1" t="s">
        <v>4110</v>
      </c>
      <c r="O2389" s="1" t="s">
        <v>4111</v>
      </c>
      <c r="P2389">
        <v>0</v>
      </c>
      <c r="Q2389">
        <v>0</v>
      </c>
      <c r="R2389">
        <v>0</v>
      </c>
      <c r="S2389">
        <v>0</v>
      </c>
      <c r="T2389">
        <v>87.135113059999995</v>
      </c>
      <c r="U2389">
        <f t="shared" si="74"/>
        <v>0</v>
      </c>
      <c r="V2389">
        <f t="shared" si="75"/>
        <v>0</v>
      </c>
    </row>
    <row r="2390" spans="1:22" x14ac:dyDescent="0.2">
      <c r="A2390" t="s">
        <v>3936</v>
      </c>
      <c r="B2390" t="s">
        <v>50</v>
      </c>
      <c r="C2390" t="s">
        <v>76</v>
      </c>
      <c r="D2390" t="s">
        <v>77</v>
      </c>
      <c r="E2390">
        <v>11</v>
      </c>
      <c r="F2390" t="s">
        <v>127</v>
      </c>
      <c r="G2390">
        <v>50</v>
      </c>
      <c r="H2390">
        <v>0</v>
      </c>
      <c r="I2390">
        <v>95509</v>
      </c>
      <c r="J2390">
        <v>32</v>
      </c>
      <c r="K2390">
        <v>19</v>
      </c>
      <c r="L2390">
        <v>95509</v>
      </c>
      <c r="M2390">
        <v>0</v>
      </c>
      <c r="N2390">
        <v>1</v>
      </c>
      <c r="O2390" s="1" t="s">
        <v>4112</v>
      </c>
      <c r="P2390">
        <v>0</v>
      </c>
      <c r="Q2390">
        <v>0</v>
      </c>
      <c r="R2390">
        <v>0</v>
      </c>
      <c r="S2390">
        <v>0</v>
      </c>
      <c r="T2390">
        <v>87.135113059999995</v>
      </c>
      <c r="U2390">
        <f t="shared" si="74"/>
        <v>0</v>
      </c>
      <c r="V2390">
        <f t="shared" si="75"/>
        <v>0</v>
      </c>
    </row>
    <row r="2391" spans="1:22" x14ac:dyDescent="0.2">
      <c r="A2391" t="s">
        <v>3936</v>
      </c>
      <c r="B2391" t="s">
        <v>50</v>
      </c>
      <c r="C2391" t="s">
        <v>76</v>
      </c>
      <c r="D2391" t="s">
        <v>77</v>
      </c>
      <c r="E2391" s="1" t="s">
        <v>89</v>
      </c>
      <c r="F2391" t="s">
        <v>90</v>
      </c>
      <c r="G2391">
        <v>36</v>
      </c>
      <c r="H2391">
        <v>154125</v>
      </c>
      <c r="I2391">
        <v>6136</v>
      </c>
      <c r="J2391">
        <v>43</v>
      </c>
      <c r="K2391">
        <v>31</v>
      </c>
      <c r="L2391">
        <v>-147989</v>
      </c>
      <c r="M2391" s="1" t="s">
        <v>4113</v>
      </c>
      <c r="N2391">
        <v>3.8287543444755698E-2</v>
      </c>
      <c r="O2391" s="1" t="s">
        <v>4114</v>
      </c>
      <c r="P2391">
        <v>0</v>
      </c>
      <c r="Q2391">
        <v>0</v>
      </c>
      <c r="R2391">
        <v>0</v>
      </c>
      <c r="S2391">
        <v>0</v>
      </c>
      <c r="T2391">
        <v>87.135113059999995</v>
      </c>
      <c r="U2391">
        <f t="shared" si="74"/>
        <v>0</v>
      </c>
      <c r="V2391">
        <f t="shared" si="75"/>
        <v>0</v>
      </c>
    </row>
    <row r="2392" spans="1:22" x14ac:dyDescent="0.2">
      <c r="A2392" t="s">
        <v>3936</v>
      </c>
      <c r="B2392" t="s">
        <v>50</v>
      </c>
      <c r="C2392" t="s">
        <v>76</v>
      </c>
      <c r="D2392" t="s">
        <v>77</v>
      </c>
      <c r="E2392">
        <v>12</v>
      </c>
      <c r="F2392" t="s">
        <v>194</v>
      </c>
      <c r="G2392">
        <v>67</v>
      </c>
      <c r="H2392">
        <v>2308</v>
      </c>
      <c r="I2392">
        <v>109890</v>
      </c>
      <c r="J2392">
        <v>52</v>
      </c>
      <c r="K2392">
        <v>28</v>
      </c>
      <c r="L2392">
        <v>107582</v>
      </c>
      <c r="M2392">
        <v>2.05707766626856E-2</v>
      </c>
      <c r="N2392" s="1" t="s">
        <v>4115</v>
      </c>
      <c r="O2392" s="1" t="s">
        <v>4116</v>
      </c>
      <c r="P2392">
        <v>0</v>
      </c>
      <c r="Q2392">
        <v>0</v>
      </c>
      <c r="R2392">
        <v>0</v>
      </c>
      <c r="S2392">
        <v>0</v>
      </c>
      <c r="T2392">
        <v>87.135113059999995</v>
      </c>
      <c r="U2392">
        <f t="shared" si="74"/>
        <v>0</v>
      </c>
      <c r="V2392">
        <f t="shared" si="75"/>
        <v>0</v>
      </c>
    </row>
    <row r="2393" spans="1:22" x14ac:dyDescent="0.2">
      <c r="A2393" t="s">
        <v>3936</v>
      </c>
      <c r="B2393" t="s">
        <v>50</v>
      </c>
      <c r="C2393" t="s">
        <v>76</v>
      </c>
      <c r="D2393" t="s">
        <v>77</v>
      </c>
      <c r="E2393" s="1" t="s">
        <v>82</v>
      </c>
      <c r="F2393" t="s">
        <v>83</v>
      </c>
      <c r="G2393">
        <v>14</v>
      </c>
      <c r="H2393">
        <v>0</v>
      </c>
      <c r="I2393">
        <v>517507</v>
      </c>
      <c r="J2393">
        <v>41</v>
      </c>
      <c r="K2393">
        <v>7</v>
      </c>
      <c r="L2393">
        <v>517507</v>
      </c>
      <c r="M2393">
        <v>0</v>
      </c>
      <c r="N2393">
        <v>1</v>
      </c>
      <c r="O2393" s="1" t="s">
        <v>4117</v>
      </c>
      <c r="P2393">
        <v>0</v>
      </c>
      <c r="Q2393">
        <v>0</v>
      </c>
      <c r="R2393">
        <v>0</v>
      </c>
      <c r="S2393">
        <v>1</v>
      </c>
      <c r="T2393">
        <v>87.135113059999995</v>
      </c>
      <c r="U2393">
        <f t="shared" si="74"/>
        <v>0</v>
      </c>
      <c r="V2393">
        <f t="shared" si="75"/>
        <v>1</v>
      </c>
    </row>
    <row r="2394" spans="1:22" x14ac:dyDescent="0.2">
      <c r="A2394" t="s">
        <v>4118</v>
      </c>
      <c r="B2394" t="s">
        <v>51</v>
      </c>
      <c r="C2394" t="s">
        <v>76</v>
      </c>
      <c r="D2394" t="s">
        <v>77</v>
      </c>
      <c r="E2394" s="1" t="s">
        <v>82</v>
      </c>
      <c r="F2394" t="s">
        <v>83</v>
      </c>
      <c r="G2394">
        <v>10</v>
      </c>
      <c r="H2394">
        <v>268658317</v>
      </c>
      <c r="I2394">
        <v>0</v>
      </c>
      <c r="J2394">
        <v>29</v>
      </c>
      <c r="K2394">
        <v>65</v>
      </c>
      <c r="L2394">
        <v>-268658317</v>
      </c>
      <c r="M2394">
        <v>1</v>
      </c>
      <c r="N2394">
        <v>0</v>
      </c>
      <c r="O2394" s="1" t="s">
        <v>4119</v>
      </c>
      <c r="P2394">
        <v>0</v>
      </c>
      <c r="Q2394">
        <v>0</v>
      </c>
      <c r="R2394">
        <v>0</v>
      </c>
      <c r="S2394">
        <v>0</v>
      </c>
      <c r="T2394">
        <v>36.805438330000001</v>
      </c>
      <c r="U2394">
        <f t="shared" si="74"/>
        <v>0</v>
      </c>
      <c r="V2394">
        <f t="shared" si="75"/>
        <v>0</v>
      </c>
    </row>
    <row r="2395" spans="1:22" x14ac:dyDescent="0.2">
      <c r="A2395" t="s">
        <v>4118</v>
      </c>
      <c r="B2395" t="s">
        <v>51</v>
      </c>
      <c r="C2395" t="s">
        <v>76</v>
      </c>
      <c r="D2395" t="s">
        <v>77</v>
      </c>
      <c r="E2395">
        <v>17</v>
      </c>
      <c r="F2395" t="s">
        <v>97</v>
      </c>
      <c r="G2395">
        <v>88</v>
      </c>
      <c r="H2395">
        <v>14499208</v>
      </c>
      <c r="I2395">
        <v>8863660</v>
      </c>
      <c r="J2395">
        <v>38</v>
      </c>
      <c r="K2395">
        <v>28</v>
      </c>
      <c r="L2395">
        <v>-5635548</v>
      </c>
      <c r="M2395">
        <v>0.62060907933050002</v>
      </c>
      <c r="N2395">
        <v>0.37939092066949998</v>
      </c>
      <c r="O2395">
        <v>5.4127972070318303E-2</v>
      </c>
      <c r="P2395">
        <v>0</v>
      </c>
      <c r="Q2395">
        <v>0</v>
      </c>
      <c r="R2395">
        <v>0</v>
      </c>
      <c r="S2395">
        <v>0</v>
      </c>
      <c r="T2395">
        <v>36.805438330000001</v>
      </c>
      <c r="U2395">
        <f t="shared" si="74"/>
        <v>0</v>
      </c>
      <c r="V2395">
        <f t="shared" si="75"/>
        <v>0</v>
      </c>
    </row>
    <row r="2396" spans="1:22" x14ac:dyDescent="0.2">
      <c r="A2396" t="s">
        <v>4118</v>
      </c>
      <c r="B2396" t="s">
        <v>51</v>
      </c>
      <c r="C2396" t="s">
        <v>76</v>
      </c>
      <c r="D2396" t="s">
        <v>77</v>
      </c>
      <c r="E2396">
        <v>10</v>
      </c>
      <c r="F2396" t="s">
        <v>119</v>
      </c>
      <c r="G2396">
        <v>48</v>
      </c>
      <c r="H2396">
        <v>34703585</v>
      </c>
      <c r="I2396">
        <v>0</v>
      </c>
      <c r="J2396">
        <v>54</v>
      </c>
      <c r="K2396">
        <v>97</v>
      </c>
      <c r="L2396">
        <v>-34703585</v>
      </c>
      <c r="M2396">
        <v>1</v>
      </c>
      <c r="N2396">
        <v>0</v>
      </c>
      <c r="O2396">
        <v>8.0402572133691702E-2</v>
      </c>
      <c r="P2396">
        <v>0</v>
      </c>
      <c r="Q2396">
        <v>0</v>
      </c>
      <c r="R2396">
        <v>0</v>
      </c>
      <c r="S2396">
        <v>0</v>
      </c>
      <c r="T2396">
        <v>36.805438330000001</v>
      </c>
      <c r="U2396">
        <f t="shared" si="74"/>
        <v>0</v>
      </c>
      <c r="V2396">
        <f t="shared" si="75"/>
        <v>0</v>
      </c>
    </row>
    <row r="2397" spans="1:22" x14ac:dyDescent="0.2">
      <c r="A2397" t="s">
        <v>4118</v>
      </c>
      <c r="B2397" t="s">
        <v>51</v>
      </c>
      <c r="C2397" t="s">
        <v>76</v>
      </c>
      <c r="D2397" t="s">
        <v>77</v>
      </c>
      <c r="E2397" s="1" t="s">
        <v>89</v>
      </c>
      <c r="F2397" t="s">
        <v>90</v>
      </c>
      <c r="G2397">
        <v>31</v>
      </c>
      <c r="H2397">
        <v>21783725</v>
      </c>
      <c r="I2397">
        <v>0</v>
      </c>
      <c r="J2397">
        <v>87</v>
      </c>
      <c r="K2397">
        <v>51</v>
      </c>
      <c r="L2397">
        <v>-21783725</v>
      </c>
      <c r="M2397">
        <v>1</v>
      </c>
      <c r="N2397">
        <v>0</v>
      </c>
      <c r="O2397">
        <v>5.0469354121569901E-2</v>
      </c>
      <c r="P2397">
        <v>0</v>
      </c>
      <c r="Q2397">
        <v>0</v>
      </c>
      <c r="R2397">
        <v>0</v>
      </c>
      <c r="S2397">
        <v>0</v>
      </c>
      <c r="T2397">
        <v>36.805438330000001</v>
      </c>
      <c r="U2397">
        <f t="shared" si="74"/>
        <v>0</v>
      </c>
      <c r="V2397">
        <f t="shared" si="75"/>
        <v>0</v>
      </c>
    </row>
    <row r="2398" spans="1:22" x14ac:dyDescent="0.2">
      <c r="A2398" t="s">
        <v>4118</v>
      </c>
      <c r="B2398" t="s">
        <v>51</v>
      </c>
      <c r="C2398" t="s">
        <v>76</v>
      </c>
      <c r="D2398" t="s">
        <v>77</v>
      </c>
      <c r="E2398">
        <v>15</v>
      </c>
      <c r="F2398" t="s">
        <v>88</v>
      </c>
      <c r="G2398">
        <v>72</v>
      </c>
      <c r="H2398">
        <v>22235206</v>
      </c>
      <c r="I2398">
        <v>0</v>
      </c>
      <c r="J2398">
        <v>88</v>
      </c>
      <c r="K2398">
        <v>74</v>
      </c>
      <c r="L2398">
        <v>-22235206</v>
      </c>
      <c r="M2398">
        <v>1</v>
      </c>
      <c r="N2398">
        <v>0</v>
      </c>
      <c r="O2398">
        <v>5.1515362298232101E-2</v>
      </c>
      <c r="P2398">
        <v>0</v>
      </c>
      <c r="Q2398">
        <v>0</v>
      </c>
      <c r="R2398">
        <v>0</v>
      </c>
      <c r="S2398">
        <v>0</v>
      </c>
      <c r="T2398">
        <v>36.805438330000001</v>
      </c>
      <c r="U2398">
        <f t="shared" si="74"/>
        <v>0</v>
      </c>
      <c r="V2398">
        <f t="shared" si="75"/>
        <v>0</v>
      </c>
    </row>
    <row r="2399" spans="1:22" x14ac:dyDescent="0.2">
      <c r="A2399" t="s">
        <v>4118</v>
      </c>
      <c r="B2399" t="s">
        <v>51</v>
      </c>
      <c r="C2399" t="s">
        <v>76</v>
      </c>
      <c r="D2399" t="s">
        <v>77</v>
      </c>
      <c r="E2399" s="1" t="s">
        <v>89</v>
      </c>
      <c r="F2399" t="s">
        <v>90</v>
      </c>
      <c r="G2399">
        <v>30</v>
      </c>
      <c r="H2399">
        <v>1057738</v>
      </c>
      <c r="I2399">
        <v>0</v>
      </c>
      <c r="J2399">
        <v>63</v>
      </c>
      <c r="K2399">
        <v>91</v>
      </c>
      <c r="L2399">
        <v>-1057738</v>
      </c>
      <c r="M2399">
        <v>1</v>
      </c>
      <c r="N2399">
        <v>0</v>
      </c>
      <c r="O2399">
        <v>2.45060721661888E-3</v>
      </c>
      <c r="P2399">
        <v>0</v>
      </c>
      <c r="Q2399">
        <v>0</v>
      </c>
      <c r="R2399">
        <v>0</v>
      </c>
      <c r="S2399">
        <v>0</v>
      </c>
      <c r="T2399">
        <v>36.805438330000001</v>
      </c>
      <c r="U2399">
        <f t="shared" si="74"/>
        <v>0</v>
      </c>
      <c r="V2399">
        <f t="shared" si="75"/>
        <v>0</v>
      </c>
    </row>
    <row r="2400" spans="1:22" x14ac:dyDescent="0.2">
      <c r="A2400" t="s">
        <v>4118</v>
      </c>
      <c r="B2400" t="s">
        <v>51</v>
      </c>
      <c r="C2400" t="s">
        <v>76</v>
      </c>
      <c r="D2400" t="s">
        <v>77</v>
      </c>
      <c r="E2400" s="1" t="s">
        <v>85</v>
      </c>
      <c r="F2400" t="s">
        <v>86</v>
      </c>
      <c r="G2400">
        <v>27</v>
      </c>
      <c r="H2400">
        <v>747063</v>
      </c>
      <c r="I2400">
        <v>77804</v>
      </c>
      <c r="J2400">
        <v>120</v>
      </c>
      <c r="K2400">
        <v>76</v>
      </c>
      <c r="L2400">
        <v>-669259</v>
      </c>
      <c r="M2400" s="1" t="s">
        <v>4120</v>
      </c>
      <c r="N2400">
        <v>9.43230848124606E-2</v>
      </c>
      <c r="O2400">
        <v>1.91108291746232E-3</v>
      </c>
      <c r="P2400">
        <v>0</v>
      </c>
      <c r="Q2400">
        <v>0</v>
      </c>
      <c r="R2400">
        <v>0</v>
      </c>
      <c r="S2400">
        <v>0</v>
      </c>
      <c r="T2400">
        <v>36.805438330000001</v>
      </c>
      <c r="U2400">
        <f t="shared" si="74"/>
        <v>0</v>
      </c>
      <c r="V2400">
        <f t="shared" si="75"/>
        <v>0</v>
      </c>
    </row>
    <row r="2401" spans="1:22" x14ac:dyDescent="0.2">
      <c r="A2401" t="s">
        <v>4118</v>
      </c>
      <c r="B2401" t="s">
        <v>51</v>
      </c>
      <c r="C2401" t="s">
        <v>76</v>
      </c>
      <c r="D2401" t="s">
        <v>77</v>
      </c>
      <c r="E2401">
        <v>17</v>
      </c>
      <c r="F2401" t="s">
        <v>97</v>
      </c>
      <c r="G2401">
        <v>87</v>
      </c>
      <c r="H2401">
        <v>24319527</v>
      </c>
      <c r="I2401">
        <v>0</v>
      </c>
      <c r="J2401">
        <v>34</v>
      </c>
      <c r="K2401">
        <v>96</v>
      </c>
      <c r="L2401">
        <v>-24319527</v>
      </c>
      <c r="M2401">
        <v>1</v>
      </c>
      <c r="N2401">
        <v>0</v>
      </c>
      <c r="O2401">
        <v>5.6344395654649597E-2</v>
      </c>
      <c r="P2401">
        <v>0</v>
      </c>
      <c r="Q2401">
        <v>0</v>
      </c>
      <c r="R2401">
        <v>0</v>
      </c>
      <c r="S2401">
        <v>0</v>
      </c>
      <c r="T2401">
        <v>36.805438330000001</v>
      </c>
      <c r="U2401">
        <f t="shared" si="74"/>
        <v>0</v>
      </c>
      <c r="V2401">
        <f t="shared" si="75"/>
        <v>0</v>
      </c>
    </row>
    <row r="2402" spans="1:22" x14ac:dyDescent="0.2">
      <c r="A2402" t="s">
        <v>4118</v>
      </c>
      <c r="B2402" t="s">
        <v>51</v>
      </c>
      <c r="C2402" t="s">
        <v>76</v>
      </c>
      <c r="D2402" t="s">
        <v>77</v>
      </c>
      <c r="E2402">
        <v>15</v>
      </c>
      <c r="F2402" t="s">
        <v>88</v>
      </c>
      <c r="G2402">
        <v>76</v>
      </c>
      <c r="H2402">
        <v>2875887</v>
      </c>
      <c r="I2402">
        <v>0</v>
      </c>
      <c r="J2402">
        <v>78</v>
      </c>
      <c r="K2402">
        <v>92</v>
      </c>
      <c r="L2402">
        <v>-2875887</v>
      </c>
      <c r="M2402">
        <v>1</v>
      </c>
      <c r="N2402">
        <v>0</v>
      </c>
      <c r="O2402">
        <v>6.6629632634739597E-3</v>
      </c>
      <c r="P2402">
        <v>0</v>
      </c>
      <c r="Q2402">
        <v>0</v>
      </c>
      <c r="R2402">
        <v>0</v>
      </c>
      <c r="S2402">
        <v>0</v>
      </c>
      <c r="T2402">
        <v>36.805438330000001</v>
      </c>
      <c r="U2402">
        <f t="shared" si="74"/>
        <v>0</v>
      </c>
      <c r="V2402">
        <f t="shared" si="75"/>
        <v>0</v>
      </c>
    </row>
    <row r="2403" spans="1:22" x14ac:dyDescent="0.2">
      <c r="A2403" t="s">
        <v>4118</v>
      </c>
      <c r="B2403" t="s">
        <v>51</v>
      </c>
      <c r="C2403" t="s">
        <v>76</v>
      </c>
      <c r="D2403" t="s">
        <v>77</v>
      </c>
      <c r="E2403">
        <v>16</v>
      </c>
      <c r="F2403" t="s">
        <v>95</v>
      </c>
      <c r="G2403">
        <v>85</v>
      </c>
      <c r="H2403">
        <v>309477</v>
      </c>
      <c r="I2403">
        <v>99</v>
      </c>
      <c r="J2403">
        <v>113</v>
      </c>
      <c r="K2403">
        <v>116</v>
      </c>
      <c r="L2403">
        <v>-309378</v>
      </c>
      <c r="M2403">
        <v>0.999680207768044</v>
      </c>
      <c r="N2403" s="1" t="s">
        <v>4121</v>
      </c>
      <c r="O2403" s="1" t="s">
        <v>4122</v>
      </c>
      <c r="P2403">
        <v>0</v>
      </c>
      <c r="Q2403">
        <v>0</v>
      </c>
      <c r="R2403">
        <v>0</v>
      </c>
      <c r="S2403">
        <v>0</v>
      </c>
      <c r="T2403">
        <v>36.805438330000001</v>
      </c>
      <c r="U2403">
        <f t="shared" si="74"/>
        <v>0</v>
      </c>
      <c r="V2403">
        <f t="shared" si="75"/>
        <v>0</v>
      </c>
    </row>
    <row r="2404" spans="1:22" x14ac:dyDescent="0.2">
      <c r="A2404" t="s">
        <v>4118</v>
      </c>
      <c r="B2404" t="s">
        <v>51</v>
      </c>
      <c r="C2404" t="s">
        <v>76</v>
      </c>
      <c r="D2404" t="s">
        <v>77</v>
      </c>
      <c r="E2404" s="1" t="s">
        <v>89</v>
      </c>
      <c r="F2404" t="s">
        <v>90</v>
      </c>
      <c r="G2404">
        <v>28</v>
      </c>
      <c r="H2404">
        <v>1988629</v>
      </c>
      <c r="I2404">
        <v>0</v>
      </c>
      <c r="J2404">
        <v>100</v>
      </c>
      <c r="K2404">
        <v>85</v>
      </c>
      <c r="L2404">
        <v>-1988629</v>
      </c>
      <c r="M2404">
        <v>1</v>
      </c>
      <c r="N2404">
        <v>0</v>
      </c>
      <c r="O2404">
        <v>4.6073305285217903E-3</v>
      </c>
      <c r="P2404">
        <v>0</v>
      </c>
      <c r="Q2404">
        <v>0</v>
      </c>
      <c r="R2404">
        <v>0</v>
      </c>
      <c r="S2404">
        <v>0</v>
      </c>
      <c r="T2404">
        <v>36.805438330000001</v>
      </c>
      <c r="U2404">
        <f t="shared" si="74"/>
        <v>0</v>
      </c>
      <c r="V2404">
        <f t="shared" si="75"/>
        <v>0</v>
      </c>
    </row>
    <row r="2405" spans="1:22" x14ac:dyDescent="0.2">
      <c r="A2405" t="s">
        <v>4118</v>
      </c>
      <c r="B2405" t="s">
        <v>51</v>
      </c>
      <c r="C2405" t="s">
        <v>76</v>
      </c>
      <c r="D2405" t="s">
        <v>77</v>
      </c>
      <c r="E2405">
        <v>16</v>
      </c>
      <c r="F2405" t="s">
        <v>95</v>
      </c>
      <c r="G2405">
        <v>84</v>
      </c>
      <c r="H2405">
        <v>687936</v>
      </c>
      <c r="I2405">
        <v>403041</v>
      </c>
      <c r="J2405">
        <v>108</v>
      </c>
      <c r="K2405">
        <v>85</v>
      </c>
      <c r="L2405">
        <v>-284895</v>
      </c>
      <c r="M2405" s="1" t="s">
        <v>4123</v>
      </c>
      <c r="N2405" s="1" t="s">
        <v>4124</v>
      </c>
      <c r="O2405">
        <v>2.5276165830907201E-3</v>
      </c>
      <c r="P2405">
        <v>0</v>
      </c>
      <c r="Q2405">
        <v>0</v>
      </c>
      <c r="R2405">
        <v>0</v>
      </c>
      <c r="S2405">
        <v>0</v>
      </c>
      <c r="T2405">
        <v>36.805438330000001</v>
      </c>
      <c r="U2405">
        <f t="shared" si="74"/>
        <v>0</v>
      </c>
      <c r="V2405">
        <f t="shared" si="75"/>
        <v>0</v>
      </c>
    </row>
    <row r="2406" spans="1:22" x14ac:dyDescent="0.2">
      <c r="A2406" t="s">
        <v>4118</v>
      </c>
      <c r="B2406" t="s">
        <v>51</v>
      </c>
      <c r="C2406" t="s">
        <v>76</v>
      </c>
      <c r="D2406" t="s">
        <v>77</v>
      </c>
      <c r="E2406">
        <v>20</v>
      </c>
      <c r="F2406" t="s">
        <v>104</v>
      </c>
      <c r="G2406">
        <v>95</v>
      </c>
      <c r="H2406">
        <v>60836</v>
      </c>
      <c r="I2406">
        <v>0</v>
      </c>
      <c r="J2406">
        <v>73</v>
      </c>
      <c r="K2406">
        <v>91</v>
      </c>
      <c r="L2406">
        <v>-60836</v>
      </c>
      <c r="M2406">
        <v>1</v>
      </c>
      <c r="N2406">
        <v>0</v>
      </c>
      <c r="O2406" s="1" t="s">
        <v>4125</v>
      </c>
      <c r="P2406">
        <v>0</v>
      </c>
      <c r="Q2406">
        <v>0</v>
      </c>
      <c r="R2406">
        <v>0</v>
      </c>
      <c r="S2406">
        <v>0</v>
      </c>
      <c r="T2406">
        <v>36.805438330000001</v>
      </c>
      <c r="U2406">
        <f t="shared" si="74"/>
        <v>0</v>
      </c>
      <c r="V2406">
        <f t="shared" si="75"/>
        <v>0</v>
      </c>
    </row>
    <row r="2407" spans="1:22" x14ac:dyDescent="0.2">
      <c r="A2407" t="s">
        <v>4118</v>
      </c>
      <c r="B2407" t="s">
        <v>51</v>
      </c>
      <c r="C2407" t="s">
        <v>76</v>
      </c>
      <c r="D2407" t="s">
        <v>77</v>
      </c>
      <c r="E2407" s="1" t="s">
        <v>138</v>
      </c>
      <c r="F2407" t="s">
        <v>139</v>
      </c>
      <c r="G2407">
        <v>22</v>
      </c>
      <c r="H2407">
        <v>8588</v>
      </c>
      <c r="I2407">
        <v>3</v>
      </c>
      <c r="J2407">
        <v>128</v>
      </c>
      <c r="K2407">
        <v>97</v>
      </c>
      <c r="L2407">
        <v>-8585</v>
      </c>
      <c r="M2407" s="1" t="s">
        <v>4126</v>
      </c>
      <c r="N2407" s="1" t="s">
        <v>4127</v>
      </c>
      <c r="O2407" s="1" t="s">
        <v>4128</v>
      </c>
      <c r="P2407">
        <v>0</v>
      </c>
      <c r="Q2407">
        <v>0</v>
      </c>
      <c r="R2407">
        <v>0</v>
      </c>
      <c r="S2407">
        <v>0</v>
      </c>
      <c r="T2407">
        <v>36.805438330000001</v>
      </c>
      <c r="U2407">
        <f t="shared" si="74"/>
        <v>0</v>
      </c>
      <c r="V2407">
        <f t="shared" si="75"/>
        <v>0</v>
      </c>
    </row>
    <row r="2408" spans="1:22" x14ac:dyDescent="0.2">
      <c r="A2408" t="s">
        <v>4118</v>
      </c>
      <c r="B2408" t="s">
        <v>51</v>
      </c>
      <c r="C2408" t="s">
        <v>76</v>
      </c>
      <c r="D2408" t="s">
        <v>77</v>
      </c>
      <c r="E2408">
        <v>20</v>
      </c>
      <c r="F2408" t="s">
        <v>104</v>
      </c>
      <c r="G2408">
        <v>96</v>
      </c>
      <c r="H2408">
        <v>2198</v>
      </c>
      <c r="I2408">
        <v>0</v>
      </c>
      <c r="J2408">
        <v>93</v>
      </c>
      <c r="K2408">
        <v>90</v>
      </c>
      <c r="L2408">
        <v>-2198</v>
      </c>
      <c r="M2408">
        <v>1</v>
      </c>
      <c r="N2408">
        <v>0</v>
      </c>
      <c r="O2408" s="1" t="s">
        <v>4129</v>
      </c>
      <c r="P2408">
        <v>0</v>
      </c>
      <c r="Q2408">
        <v>0</v>
      </c>
      <c r="R2408">
        <v>0</v>
      </c>
      <c r="S2408">
        <v>0</v>
      </c>
      <c r="T2408">
        <v>36.805438330000001</v>
      </c>
      <c r="U2408">
        <f t="shared" si="74"/>
        <v>0</v>
      </c>
      <c r="V2408">
        <f t="shared" si="75"/>
        <v>0</v>
      </c>
    </row>
    <row r="2409" spans="1:22" x14ac:dyDescent="0.2">
      <c r="A2409" t="s">
        <v>4118</v>
      </c>
      <c r="B2409" t="s">
        <v>51</v>
      </c>
      <c r="C2409" t="s">
        <v>76</v>
      </c>
      <c r="D2409" t="s">
        <v>77</v>
      </c>
      <c r="E2409" s="1" t="s">
        <v>89</v>
      </c>
      <c r="F2409" t="s">
        <v>90</v>
      </c>
      <c r="G2409">
        <v>33</v>
      </c>
      <c r="H2409">
        <v>11467</v>
      </c>
      <c r="I2409">
        <v>0</v>
      </c>
      <c r="J2409">
        <v>107</v>
      </c>
      <c r="K2409">
        <v>95</v>
      </c>
      <c r="L2409">
        <v>-11467</v>
      </c>
      <c r="M2409">
        <v>1</v>
      </c>
      <c r="N2409">
        <v>0</v>
      </c>
      <c r="O2409" s="1" t="s">
        <v>4130</v>
      </c>
      <c r="P2409">
        <v>0</v>
      </c>
      <c r="Q2409">
        <v>0</v>
      </c>
      <c r="R2409">
        <v>0</v>
      </c>
      <c r="S2409">
        <v>0</v>
      </c>
      <c r="T2409">
        <v>36.805438330000001</v>
      </c>
      <c r="U2409">
        <f t="shared" si="74"/>
        <v>0</v>
      </c>
      <c r="V2409">
        <f t="shared" si="75"/>
        <v>0</v>
      </c>
    </row>
    <row r="2410" spans="1:22" x14ac:dyDescent="0.2">
      <c r="A2410" t="s">
        <v>4118</v>
      </c>
      <c r="B2410" t="s">
        <v>51</v>
      </c>
      <c r="C2410" t="s">
        <v>76</v>
      </c>
      <c r="D2410" t="s">
        <v>77</v>
      </c>
      <c r="E2410">
        <v>15</v>
      </c>
      <c r="F2410" t="s">
        <v>88</v>
      </c>
      <c r="G2410">
        <v>83</v>
      </c>
      <c r="H2410">
        <v>2132</v>
      </c>
      <c r="I2410">
        <v>0</v>
      </c>
      <c r="J2410">
        <v>104</v>
      </c>
      <c r="K2410">
        <v>85</v>
      </c>
      <c r="L2410">
        <v>-2132</v>
      </c>
      <c r="M2410">
        <v>1</v>
      </c>
      <c r="N2410">
        <v>0</v>
      </c>
      <c r="O2410" s="1" t="s">
        <v>4131</v>
      </c>
      <c r="P2410">
        <v>0</v>
      </c>
      <c r="Q2410">
        <v>0</v>
      </c>
      <c r="R2410">
        <v>0</v>
      </c>
      <c r="S2410">
        <v>0</v>
      </c>
      <c r="T2410">
        <v>36.805438330000001</v>
      </c>
      <c r="U2410">
        <f t="shared" si="74"/>
        <v>0</v>
      </c>
      <c r="V2410">
        <f t="shared" si="75"/>
        <v>0</v>
      </c>
    </row>
    <row r="2411" spans="1:22" x14ac:dyDescent="0.2">
      <c r="A2411" t="s">
        <v>4118</v>
      </c>
      <c r="B2411" t="s">
        <v>51</v>
      </c>
      <c r="C2411" t="s">
        <v>76</v>
      </c>
      <c r="D2411" t="s">
        <v>77</v>
      </c>
      <c r="E2411">
        <v>18</v>
      </c>
      <c r="F2411" t="s">
        <v>147</v>
      </c>
      <c r="G2411">
        <v>90</v>
      </c>
      <c r="H2411">
        <v>131479</v>
      </c>
      <c r="I2411">
        <v>3788</v>
      </c>
      <c r="J2411">
        <v>107</v>
      </c>
      <c r="K2411">
        <v>96</v>
      </c>
      <c r="L2411">
        <v>-127691</v>
      </c>
      <c r="M2411" s="1" t="s">
        <v>4132</v>
      </c>
      <c r="N2411" s="1" t="s">
        <v>4133</v>
      </c>
      <c r="O2411" s="1" t="s">
        <v>4134</v>
      </c>
      <c r="P2411">
        <v>0</v>
      </c>
      <c r="Q2411">
        <v>0</v>
      </c>
      <c r="R2411">
        <v>0</v>
      </c>
      <c r="S2411">
        <v>0</v>
      </c>
      <c r="T2411">
        <v>36.805438330000001</v>
      </c>
      <c r="U2411">
        <f t="shared" si="74"/>
        <v>0</v>
      </c>
      <c r="V2411">
        <f t="shared" si="75"/>
        <v>0</v>
      </c>
    </row>
    <row r="2412" spans="1:22" x14ac:dyDescent="0.2">
      <c r="A2412" t="s">
        <v>4118</v>
      </c>
      <c r="B2412" t="s">
        <v>51</v>
      </c>
      <c r="C2412" t="s">
        <v>76</v>
      </c>
      <c r="D2412" t="s">
        <v>77</v>
      </c>
      <c r="E2412" s="1" t="s">
        <v>89</v>
      </c>
      <c r="F2412" t="s">
        <v>90</v>
      </c>
      <c r="G2412">
        <v>29</v>
      </c>
      <c r="H2412">
        <v>112046</v>
      </c>
      <c r="I2412">
        <v>0</v>
      </c>
      <c r="J2412">
        <v>104</v>
      </c>
      <c r="K2412">
        <v>81</v>
      </c>
      <c r="L2412">
        <v>-112046</v>
      </c>
      <c r="M2412">
        <v>1</v>
      </c>
      <c r="N2412">
        <v>0</v>
      </c>
      <c r="O2412" s="1" t="s">
        <v>4135</v>
      </c>
      <c r="P2412">
        <v>0</v>
      </c>
      <c r="Q2412">
        <v>0</v>
      </c>
      <c r="R2412">
        <v>0</v>
      </c>
      <c r="S2412">
        <v>0</v>
      </c>
      <c r="T2412">
        <v>36.805438330000001</v>
      </c>
      <c r="U2412">
        <f t="shared" si="74"/>
        <v>0</v>
      </c>
      <c r="V2412">
        <f t="shared" si="75"/>
        <v>0</v>
      </c>
    </row>
    <row r="2413" spans="1:22" x14ac:dyDescent="0.2">
      <c r="A2413" t="s">
        <v>4118</v>
      </c>
      <c r="B2413" t="s">
        <v>51</v>
      </c>
      <c r="C2413" t="s">
        <v>76</v>
      </c>
      <c r="D2413" t="s">
        <v>77</v>
      </c>
      <c r="E2413">
        <v>20</v>
      </c>
      <c r="F2413" t="s">
        <v>104</v>
      </c>
      <c r="G2413">
        <v>94</v>
      </c>
      <c r="H2413">
        <v>2167</v>
      </c>
      <c r="I2413">
        <v>910</v>
      </c>
      <c r="J2413">
        <v>125</v>
      </c>
      <c r="K2413">
        <v>92</v>
      </c>
      <c r="L2413">
        <v>-1257</v>
      </c>
      <c r="M2413" s="1" t="s">
        <v>4136</v>
      </c>
      <c r="N2413" s="1" t="s">
        <v>4137</v>
      </c>
      <c r="O2413" s="1" t="s">
        <v>4138</v>
      </c>
      <c r="P2413">
        <v>0</v>
      </c>
      <c r="Q2413">
        <v>0</v>
      </c>
      <c r="R2413">
        <v>0</v>
      </c>
      <c r="S2413">
        <v>0</v>
      </c>
      <c r="T2413">
        <v>36.805438330000001</v>
      </c>
      <c r="U2413">
        <f t="shared" si="74"/>
        <v>0</v>
      </c>
      <c r="V2413">
        <f t="shared" si="75"/>
        <v>0</v>
      </c>
    </row>
    <row r="2414" spans="1:22" x14ac:dyDescent="0.2">
      <c r="A2414" t="s">
        <v>4118</v>
      </c>
      <c r="B2414" t="s">
        <v>51</v>
      </c>
      <c r="C2414" t="s">
        <v>76</v>
      </c>
      <c r="D2414" t="s">
        <v>77</v>
      </c>
      <c r="E2414">
        <v>11</v>
      </c>
      <c r="F2414" t="s">
        <v>127</v>
      </c>
      <c r="G2414">
        <v>63</v>
      </c>
      <c r="H2414">
        <v>82920</v>
      </c>
      <c r="I2414">
        <v>1181</v>
      </c>
      <c r="J2414">
        <v>68</v>
      </c>
      <c r="K2414">
        <v>92</v>
      </c>
      <c r="L2414">
        <v>-81739</v>
      </c>
      <c r="M2414" s="1" t="s">
        <v>4139</v>
      </c>
      <c r="N2414">
        <v>1.40426392076194E-2</v>
      </c>
      <c r="O2414" s="1" t="s">
        <v>4140</v>
      </c>
      <c r="P2414">
        <v>0</v>
      </c>
      <c r="Q2414">
        <v>0</v>
      </c>
      <c r="R2414">
        <v>0</v>
      </c>
      <c r="S2414">
        <v>0</v>
      </c>
      <c r="T2414">
        <v>36.805438330000001</v>
      </c>
      <c r="U2414">
        <f t="shared" si="74"/>
        <v>0</v>
      </c>
      <c r="V2414">
        <f t="shared" si="75"/>
        <v>0</v>
      </c>
    </row>
    <row r="2415" spans="1:22" x14ac:dyDescent="0.2">
      <c r="A2415" t="s">
        <v>4118</v>
      </c>
      <c r="B2415" t="s">
        <v>51</v>
      </c>
      <c r="C2415" t="s">
        <v>76</v>
      </c>
      <c r="D2415" t="s">
        <v>77</v>
      </c>
      <c r="E2415">
        <v>13</v>
      </c>
      <c r="F2415" t="s">
        <v>91</v>
      </c>
      <c r="G2415">
        <v>69</v>
      </c>
      <c r="H2415">
        <v>102</v>
      </c>
      <c r="I2415">
        <v>0</v>
      </c>
      <c r="J2415">
        <v>114</v>
      </c>
      <c r="K2415">
        <v>91</v>
      </c>
      <c r="L2415">
        <v>-102</v>
      </c>
      <c r="M2415">
        <v>1</v>
      </c>
      <c r="N2415">
        <v>0</v>
      </c>
      <c r="O2415" s="1" t="s">
        <v>4141</v>
      </c>
      <c r="P2415">
        <v>0</v>
      </c>
      <c r="Q2415">
        <v>0</v>
      </c>
      <c r="R2415">
        <v>0</v>
      </c>
      <c r="S2415">
        <v>0</v>
      </c>
      <c r="T2415">
        <v>36.805438330000001</v>
      </c>
      <c r="U2415">
        <f t="shared" si="74"/>
        <v>0</v>
      </c>
      <c r="V2415">
        <f t="shared" si="75"/>
        <v>0</v>
      </c>
    </row>
    <row r="2416" spans="1:22" x14ac:dyDescent="0.2">
      <c r="A2416" t="s">
        <v>4118</v>
      </c>
      <c r="B2416" t="s">
        <v>51</v>
      </c>
      <c r="C2416" t="s">
        <v>76</v>
      </c>
      <c r="D2416" t="s">
        <v>77</v>
      </c>
      <c r="E2416">
        <v>10</v>
      </c>
      <c r="F2416" t="s">
        <v>119</v>
      </c>
      <c r="G2416">
        <v>49</v>
      </c>
      <c r="H2416">
        <v>13393</v>
      </c>
      <c r="I2416">
        <v>40</v>
      </c>
      <c r="J2416">
        <v>88</v>
      </c>
      <c r="K2416">
        <v>104</v>
      </c>
      <c r="L2416">
        <v>-13353</v>
      </c>
      <c r="M2416" s="1" t="s">
        <v>4142</v>
      </c>
      <c r="N2416">
        <v>2.9777413831608701E-3</v>
      </c>
      <c r="O2416" s="1" t="s">
        <v>4143</v>
      </c>
      <c r="P2416">
        <v>0</v>
      </c>
      <c r="Q2416">
        <v>0</v>
      </c>
      <c r="R2416">
        <v>0</v>
      </c>
      <c r="S2416">
        <v>0</v>
      </c>
      <c r="T2416">
        <v>36.805438330000001</v>
      </c>
      <c r="U2416">
        <f t="shared" si="74"/>
        <v>0</v>
      </c>
      <c r="V2416">
        <f t="shared" si="75"/>
        <v>0</v>
      </c>
    </row>
    <row r="2417" spans="1:22" x14ac:dyDescent="0.2">
      <c r="A2417" t="s">
        <v>4118</v>
      </c>
      <c r="B2417" t="s">
        <v>51</v>
      </c>
      <c r="C2417" t="s">
        <v>76</v>
      </c>
      <c r="D2417" t="s">
        <v>77</v>
      </c>
      <c r="E2417">
        <v>12</v>
      </c>
      <c r="F2417" t="s">
        <v>194</v>
      </c>
      <c r="G2417">
        <v>64</v>
      </c>
      <c r="H2417">
        <v>90</v>
      </c>
      <c r="I2417">
        <v>0</v>
      </c>
      <c r="J2417">
        <v>118</v>
      </c>
      <c r="K2417">
        <v>94</v>
      </c>
      <c r="L2417">
        <v>-90</v>
      </c>
      <c r="M2417">
        <v>1</v>
      </c>
      <c r="N2417">
        <v>0</v>
      </c>
      <c r="O2417" s="1" t="s">
        <v>4144</v>
      </c>
      <c r="P2417">
        <v>0</v>
      </c>
      <c r="Q2417">
        <v>0</v>
      </c>
      <c r="R2417">
        <v>0</v>
      </c>
      <c r="S2417">
        <v>0</v>
      </c>
      <c r="T2417">
        <v>36.805438330000001</v>
      </c>
      <c r="U2417">
        <f t="shared" si="74"/>
        <v>0</v>
      </c>
      <c r="V2417">
        <f t="shared" si="75"/>
        <v>0</v>
      </c>
    </row>
    <row r="2418" spans="1:22" x14ac:dyDescent="0.2">
      <c r="A2418" t="s">
        <v>4118</v>
      </c>
      <c r="B2418" t="s">
        <v>51</v>
      </c>
      <c r="C2418" t="s">
        <v>76</v>
      </c>
      <c r="D2418" t="s">
        <v>77</v>
      </c>
      <c r="E2418" s="1" t="s">
        <v>163</v>
      </c>
      <c r="F2418" t="s">
        <v>224</v>
      </c>
      <c r="G2418">
        <v>42</v>
      </c>
      <c r="H2418">
        <v>292</v>
      </c>
      <c r="I2418">
        <v>0</v>
      </c>
      <c r="J2418">
        <v>114</v>
      </c>
      <c r="K2418">
        <v>99</v>
      </c>
      <c r="L2418">
        <v>-292</v>
      </c>
      <c r="M2418">
        <v>1</v>
      </c>
      <c r="N2418">
        <v>0</v>
      </c>
      <c r="O2418" s="1" t="s">
        <v>4145</v>
      </c>
      <c r="P2418">
        <v>0</v>
      </c>
      <c r="Q2418">
        <v>0</v>
      </c>
      <c r="R2418">
        <v>0</v>
      </c>
      <c r="S2418">
        <v>0</v>
      </c>
      <c r="T2418">
        <v>36.805438330000001</v>
      </c>
      <c r="U2418">
        <f t="shared" si="74"/>
        <v>0</v>
      </c>
      <c r="V2418">
        <f t="shared" si="75"/>
        <v>0</v>
      </c>
    </row>
    <row r="2419" spans="1:22" x14ac:dyDescent="0.2">
      <c r="A2419" t="s">
        <v>4118</v>
      </c>
      <c r="B2419" t="s">
        <v>51</v>
      </c>
      <c r="C2419" t="s">
        <v>76</v>
      </c>
      <c r="D2419" t="s">
        <v>77</v>
      </c>
      <c r="E2419">
        <v>18</v>
      </c>
      <c r="F2419" t="s">
        <v>147</v>
      </c>
      <c r="G2419">
        <v>91</v>
      </c>
      <c r="H2419">
        <v>2</v>
      </c>
      <c r="I2419">
        <v>0</v>
      </c>
      <c r="J2419">
        <v>103</v>
      </c>
      <c r="K2419">
        <v>69</v>
      </c>
      <c r="L2419">
        <v>-2</v>
      </c>
      <c r="M2419">
        <v>1</v>
      </c>
      <c r="N2419">
        <v>0</v>
      </c>
      <c r="O2419" s="1" t="s">
        <v>4146</v>
      </c>
      <c r="P2419">
        <v>0</v>
      </c>
      <c r="Q2419">
        <v>0</v>
      </c>
      <c r="R2419">
        <v>0</v>
      </c>
      <c r="S2419">
        <v>0</v>
      </c>
      <c r="T2419">
        <v>36.805438330000001</v>
      </c>
      <c r="U2419">
        <f t="shared" si="74"/>
        <v>0</v>
      </c>
      <c r="V2419">
        <f t="shared" si="75"/>
        <v>0</v>
      </c>
    </row>
    <row r="2420" spans="1:22" x14ac:dyDescent="0.2">
      <c r="A2420" t="s">
        <v>4118</v>
      </c>
      <c r="B2420" t="s">
        <v>51</v>
      </c>
      <c r="C2420" t="s">
        <v>76</v>
      </c>
      <c r="D2420" t="s">
        <v>77</v>
      </c>
      <c r="E2420" s="1" t="s">
        <v>82</v>
      </c>
      <c r="F2420" t="s">
        <v>83</v>
      </c>
      <c r="G2420" s="1" t="s">
        <v>89</v>
      </c>
      <c r="H2420">
        <v>2278</v>
      </c>
      <c r="I2420">
        <v>2414423</v>
      </c>
      <c r="J2420">
        <v>34</v>
      </c>
      <c r="K2420">
        <v>27</v>
      </c>
      <c r="L2420">
        <v>2412145</v>
      </c>
      <c r="M2420" s="1" t="s">
        <v>4147</v>
      </c>
      <c r="N2420" s="1" t="s">
        <v>4148</v>
      </c>
      <c r="O2420">
        <v>5.5991038527594397E-3</v>
      </c>
      <c r="P2420">
        <v>0</v>
      </c>
      <c r="Q2420">
        <v>0</v>
      </c>
      <c r="R2420">
        <v>0</v>
      </c>
      <c r="S2420">
        <v>0</v>
      </c>
      <c r="T2420">
        <v>36.805438330000001</v>
      </c>
      <c r="U2420">
        <f t="shared" si="74"/>
        <v>0</v>
      </c>
      <c r="V2420">
        <f t="shared" si="75"/>
        <v>0</v>
      </c>
    </row>
    <row r="2421" spans="1:22" x14ac:dyDescent="0.2">
      <c r="A2421" t="s">
        <v>4118</v>
      </c>
      <c r="B2421" t="s">
        <v>51</v>
      </c>
      <c r="C2421" t="s">
        <v>76</v>
      </c>
      <c r="D2421" t="s">
        <v>77</v>
      </c>
      <c r="E2421" s="1" t="s">
        <v>82</v>
      </c>
      <c r="F2421" t="s">
        <v>83</v>
      </c>
      <c r="G2421" s="1" t="s">
        <v>93</v>
      </c>
      <c r="H2421">
        <v>0</v>
      </c>
      <c r="I2421">
        <v>22400805</v>
      </c>
      <c r="J2421">
        <v>105</v>
      </c>
      <c r="K2421">
        <v>26</v>
      </c>
      <c r="L2421">
        <v>22400805</v>
      </c>
      <c r="M2421">
        <v>0</v>
      </c>
      <c r="N2421">
        <v>1</v>
      </c>
      <c r="O2421">
        <v>5.1899028295355101E-2</v>
      </c>
      <c r="P2421">
        <v>0</v>
      </c>
      <c r="Q2421">
        <v>0</v>
      </c>
      <c r="R2421">
        <v>0</v>
      </c>
      <c r="S2421">
        <v>0</v>
      </c>
      <c r="T2421">
        <v>36.805438330000001</v>
      </c>
      <c r="U2421">
        <f t="shared" si="74"/>
        <v>0</v>
      </c>
      <c r="V2421">
        <f t="shared" si="75"/>
        <v>0</v>
      </c>
    </row>
    <row r="2422" spans="1:22" x14ac:dyDescent="0.2">
      <c r="A2422" t="s">
        <v>4149</v>
      </c>
      <c r="B2422" t="s">
        <v>52</v>
      </c>
      <c r="C2422" t="s">
        <v>76</v>
      </c>
      <c r="D2422" t="s">
        <v>77</v>
      </c>
      <c r="E2422" s="1" t="s">
        <v>85</v>
      </c>
      <c r="F2422" t="s">
        <v>86</v>
      </c>
      <c r="G2422">
        <v>27</v>
      </c>
      <c r="H2422">
        <v>16231983792</v>
      </c>
      <c r="I2422">
        <v>288197959</v>
      </c>
      <c r="J2422">
        <v>17</v>
      </c>
      <c r="K2422">
        <v>11</v>
      </c>
      <c r="L2422">
        <v>-15943785833</v>
      </c>
      <c r="M2422">
        <v>0.98255479489609399</v>
      </c>
      <c r="N2422" s="1" t="s">
        <v>4150</v>
      </c>
      <c r="O2422" s="1" t="s">
        <v>4151</v>
      </c>
      <c r="P2422">
        <v>0</v>
      </c>
      <c r="Q2422">
        <v>0</v>
      </c>
      <c r="R2422">
        <v>0</v>
      </c>
      <c r="S2422">
        <v>0</v>
      </c>
      <c r="T2422">
        <v>1307.598583</v>
      </c>
      <c r="U2422">
        <f t="shared" si="74"/>
        <v>0</v>
      </c>
      <c r="V2422">
        <f t="shared" si="75"/>
        <v>0</v>
      </c>
    </row>
    <row r="2423" spans="1:22" x14ac:dyDescent="0.2">
      <c r="A2423" t="s">
        <v>4149</v>
      </c>
      <c r="B2423" t="s">
        <v>52</v>
      </c>
      <c r="C2423" t="s">
        <v>76</v>
      </c>
      <c r="D2423" t="s">
        <v>77</v>
      </c>
      <c r="E2423">
        <v>16</v>
      </c>
      <c r="F2423" t="s">
        <v>95</v>
      </c>
      <c r="G2423">
        <v>84</v>
      </c>
      <c r="H2423">
        <v>2650276949</v>
      </c>
      <c r="I2423">
        <v>2756489952</v>
      </c>
      <c r="J2423">
        <v>3</v>
      </c>
      <c r="K2423">
        <v>17</v>
      </c>
      <c r="L2423">
        <v>106213003</v>
      </c>
      <c r="M2423" s="1" t="s">
        <v>4152</v>
      </c>
      <c r="N2423" s="1" t="s">
        <v>4153</v>
      </c>
      <c r="O2423" s="1" t="s">
        <v>4154</v>
      </c>
      <c r="P2423">
        <v>1</v>
      </c>
      <c r="Q2423">
        <v>0</v>
      </c>
      <c r="R2423">
        <v>1</v>
      </c>
      <c r="S2423">
        <v>0</v>
      </c>
      <c r="T2423">
        <v>1307.598583</v>
      </c>
      <c r="U2423">
        <f t="shared" si="74"/>
        <v>1</v>
      </c>
      <c r="V2423">
        <f t="shared" si="75"/>
        <v>1</v>
      </c>
    </row>
    <row r="2424" spans="1:22" x14ac:dyDescent="0.2">
      <c r="A2424" t="s">
        <v>4149</v>
      </c>
      <c r="B2424" t="s">
        <v>52</v>
      </c>
      <c r="C2424" t="s">
        <v>76</v>
      </c>
      <c r="D2424" t="s">
        <v>77</v>
      </c>
      <c r="E2424" s="1" t="s">
        <v>89</v>
      </c>
      <c r="F2424" t="s">
        <v>90</v>
      </c>
      <c r="G2424">
        <v>31</v>
      </c>
      <c r="H2424">
        <v>1765413947</v>
      </c>
      <c r="I2424">
        <v>4148237</v>
      </c>
      <c r="J2424">
        <v>5</v>
      </c>
      <c r="K2424">
        <v>17</v>
      </c>
      <c r="L2424">
        <v>-1761265710</v>
      </c>
      <c r="M2424" s="1" t="s">
        <v>4155</v>
      </c>
      <c r="N2424">
        <v>2.34421657374206E-3</v>
      </c>
      <c r="O2424">
        <v>3.6029839469572701E-2</v>
      </c>
      <c r="P2424">
        <v>1</v>
      </c>
      <c r="Q2424">
        <v>0</v>
      </c>
      <c r="R2424">
        <v>1</v>
      </c>
      <c r="S2424">
        <v>0</v>
      </c>
      <c r="T2424">
        <v>1307.598583</v>
      </c>
      <c r="U2424">
        <f t="shared" si="74"/>
        <v>1</v>
      </c>
      <c r="V2424">
        <f t="shared" si="75"/>
        <v>1</v>
      </c>
    </row>
    <row r="2425" spans="1:22" x14ac:dyDescent="0.2">
      <c r="A2425" t="s">
        <v>4149</v>
      </c>
      <c r="B2425" t="s">
        <v>52</v>
      </c>
      <c r="C2425" t="s">
        <v>76</v>
      </c>
      <c r="D2425" t="s">
        <v>77</v>
      </c>
      <c r="E2425" s="1" t="s">
        <v>85</v>
      </c>
      <c r="F2425" t="s">
        <v>86</v>
      </c>
      <c r="G2425">
        <v>26</v>
      </c>
      <c r="H2425">
        <v>265504311</v>
      </c>
      <c r="I2425">
        <v>164324427</v>
      </c>
      <c r="J2425">
        <v>14</v>
      </c>
      <c r="K2425">
        <v>4</v>
      </c>
      <c r="L2425">
        <v>-101179884</v>
      </c>
      <c r="M2425" s="1" t="s">
        <v>4156</v>
      </c>
      <c r="N2425" s="1" t="s">
        <v>4157</v>
      </c>
      <c r="O2425">
        <v>8.7516904291785099E-3</v>
      </c>
      <c r="P2425">
        <v>0</v>
      </c>
      <c r="Q2425">
        <v>1</v>
      </c>
      <c r="R2425">
        <v>0</v>
      </c>
      <c r="S2425">
        <v>1</v>
      </c>
      <c r="T2425">
        <v>1307.598583</v>
      </c>
      <c r="U2425">
        <f t="shared" si="74"/>
        <v>1</v>
      </c>
      <c r="V2425">
        <f t="shared" si="75"/>
        <v>1</v>
      </c>
    </row>
    <row r="2426" spans="1:22" x14ac:dyDescent="0.2">
      <c r="A2426" t="s">
        <v>4149</v>
      </c>
      <c r="B2426" t="s">
        <v>52</v>
      </c>
      <c r="C2426" t="s">
        <v>76</v>
      </c>
      <c r="D2426" t="s">
        <v>77</v>
      </c>
      <c r="E2426">
        <v>16</v>
      </c>
      <c r="F2426" t="s">
        <v>95</v>
      </c>
      <c r="G2426">
        <v>85</v>
      </c>
      <c r="H2426">
        <v>637791829</v>
      </c>
      <c r="I2426">
        <v>795317393</v>
      </c>
      <c r="J2426">
        <v>4</v>
      </c>
      <c r="K2426">
        <v>25</v>
      </c>
      <c r="L2426">
        <v>157525564</v>
      </c>
      <c r="M2426" s="1" t="s">
        <v>4158</v>
      </c>
      <c r="N2426" s="1" t="s">
        <v>4159</v>
      </c>
      <c r="O2426" s="1" t="s">
        <v>4160</v>
      </c>
      <c r="P2426">
        <v>1</v>
      </c>
      <c r="Q2426">
        <v>0</v>
      </c>
      <c r="R2426">
        <v>1</v>
      </c>
      <c r="S2426">
        <v>0</v>
      </c>
      <c r="T2426">
        <v>1307.598583</v>
      </c>
      <c r="U2426">
        <f t="shared" si="74"/>
        <v>1</v>
      </c>
      <c r="V2426">
        <f t="shared" si="75"/>
        <v>1</v>
      </c>
    </row>
    <row r="2427" spans="1:22" x14ac:dyDescent="0.2">
      <c r="A2427" t="s">
        <v>4149</v>
      </c>
      <c r="B2427" t="s">
        <v>52</v>
      </c>
      <c r="C2427" t="s">
        <v>76</v>
      </c>
      <c r="D2427" t="s">
        <v>77</v>
      </c>
      <c r="E2427" s="1" t="s">
        <v>89</v>
      </c>
      <c r="F2427" t="s">
        <v>90</v>
      </c>
      <c r="G2427">
        <v>28</v>
      </c>
      <c r="H2427">
        <v>820663390</v>
      </c>
      <c r="I2427">
        <v>2982213777</v>
      </c>
      <c r="J2427">
        <v>11</v>
      </c>
      <c r="K2427">
        <v>2</v>
      </c>
      <c r="L2427">
        <v>2161550387</v>
      </c>
      <c r="M2427" s="1" t="s">
        <v>4161</v>
      </c>
      <c r="N2427" s="1" t="s">
        <v>4162</v>
      </c>
      <c r="O2427">
        <v>7.7429917461161901E-2</v>
      </c>
      <c r="P2427">
        <v>0</v>
      </c>
      <c r="Q2427">
        <v>1</v>
      </c>
      <c r="R2427">
        <v>0</v>
      </c>
      <c r="S2427">
        <v>1</v>
      </c>
      <c r="T2427">
        <v>1307.598583</v>
      </c>
      <c r="U2427">
        <f t="shared" si="74"/>
        <v>1</v>
      </c>
      <c r="V2427">
        <f t="shared" si="75"/>
        <v>1</v>
      </c>
    </row>
    <row r="2428" spans="1:22" x14ac:dyDescent="0.2">
      <c r="A2428" t="s">
        <v>4149</v>
      </c>
      <c r="B2428" t="s">
        <v>52</v>
      </c>
      <c r="C2428" t="s">
        <v>76</v>
      </c>
      <c r="D2428" t="s">
        <v>77</v>
      </c>
      <c r="E2428" s="1" t="s">
        <v>99</v>
      </c>
      <c r="F2428" t="s">
        <v>100</v>
      </c>
      <c r="G2428">
        <v>39</v>
      </c>
      <c r="H2428">
        <v>1231729008</v>
      </c>
      <c r="I2428">
        <v>850874035</v>
      </c>
      <c r="J2428">
        <v>4</v>
      </c>
      <c r="K2428">
        <v>11</v>
      </c>
      <c r="L2428">
        <v>-380854973</v>
      </c>
      <c r="M2428" s="1" t="s">
        <v>4163</v>
      </c>
      <c r="N2428" s="1" t="s">
        <v>4164</v>
      </c>
      <c r="O2428" s="1" t="s">
        <v>4165</v>
      </c>
      <c r="P2428">
        <v>1</v>
      </c>
      <c r="Q2428">
        <v>0</v>
      </c>
      <c r="R2428">
        <v>1</v>
      </c>
      <c r="S2428">
        <v>0</v>
      </c>
      <c r="T2428">
        <v>1307.598583</v>
      </c>
      <c r="U2428">
        <f t="shared" si="74"/>
        <v>1</v>
      </c>
      <c r="V2428">
        <f t="shared" si="75"/>
        <v>1</v>
      </c>
    </row>
    <row r="2429" spans="1:22" x14ac:dyDescent="0.2">
      <c r="A2429" t="s">
        <v>4149</v>
      </c>
      <c r="B2429" t="s">
        <v>52</v>
      </c>
      <c r="C2429" t="s">
        <v>76</v>
      </c>
      <c r="D2429" t="s">
        <v>77</v>
      </c>
      <c r="E2429">
        <v>17</v>
      </c>
      <c r="F2429" t="s">
        <v>97</v>
      </c>
      <c r="G2429">
        <v>87</v>
      </c>
      <c r="H2429">
        <v>447348178</v>
      </c>
      <c r="I2429">
        <v>217271941</v>
      </c>
      <c r="J2429">
        <v>4</v>
      </c>
      <c r="K2429">
        <v>28</v>
      </c>
      <c r="L2429">
        <v>-230076237</v>
      </c>
      <c r="M2429" s="1" t="s">
        <v>4166</v>
      </c>
      <c r="N2429" s="1" t="s">
        <v>4167</v>
      </c>
      <c r="O2429" s="1" t="s">
        <v>4168</v>
      </c>
      <c r="P2429">
        <v>1</v>
      </c>
      <c r="Q2429">
        <v>0</v>
      </c>
      <c r="R2429">
        <v>1</v>
      </c>
      <c r="S2429">
        <v>0</v>
      </c>
      <c r="T2429">
        <v>1307.598583</v>
      </c>
      <c r="U2429">
        <f t="shared" si="74"/>
        <v>1</v>
      </c>
      <c r="V2429">
        <f t="shared" si="75"/>
        <v>1</v>
      </c>
    </row>
    <row r="2430" spans="1:22" x14ac:dyDescent="0.2">
      <c r="A2430" t="s">
        <v>4149</v>
      </c>
      <c r="B2430" t="s">
        <v>52</v>
      </c>
      <c r="C2430" t="s">
        <v>76</v>
      </c>
      <c r="D2430" t="s">
        <v>77</v>
      </c>
      <c r="E2430">
        <v>15</v>
      </c>
      <c r="F2430" t="s">
        <v>88</v>
      </c>
      <c r="G2430">
        <v>75</v>
      </c>
      <c r="H2430">
        <v>311899342</v>
      </c>
      <c r="I2430">
        <v>15520887</v>
      </c>
      <c r="J2430">
        <v>6</v>
      </c>
      <c r="K2430">
        <v>7</v>
      </c>
      <c r="L2430">
        <v>-296378455</v>
      </c>
      <c r="M2430" s="1" t="s">
        <v>4169</v>
      </c>
      <c r="N2430">
        <v>4.7403567725193899E-2</v>
      </c>
      <c r="O2430">
        <v>6.6665632870241799E-3</v>
      </c>
      <c r="P2430">
        <v>0</v>
      </c>
      <c r="Q2430">
        <v>0</v>
      </c>
      <c r="R2430">
        <v>1</v>
      </c>
      <c r="S2430">
        <v>1</v>
      </c>
      <c r="T2430">
        <v>1307.598583</v>
      </c>
      <c r="U2430">
        <f t="shared" si="74"/>
        <v>0</v>
      </c>
      <c r="V2430">
        <f t="shared" si="75"/>
        <v>1</v>
      </c>
    </row>
    <row r="2431" spans="1:22" x14ac:dyDescent="0.2">
      <c r="A2431" t="s">
        <v>4149</v>
      </c>
      <c r="B2431" t="s">
        <v>52</v>
      </c>
      <c r="C2431" t="s">
        <v>76</v>
      </c>
      <c r="D2431" t="s">
        <v>77</v>
      </c>
      <c r="E2431">
        <v>15</v>
      </c>
      <c r="F2431" t="s">
        <v>88</v>
      </c>
      <c r="G2431">
        <v>72</v>
      </c>
      <c r="H2431">
        <v>1466050044</v>
      </c>
      <c r="I2431">
        <v>3209638443</v>
      </c>
      <c r="J2431">
        <v>17</v>
      </c>
      <c r="K2431">
        <v>2</v>
      </c>
      <c r="L2431">
        <v>1743588399</v>
      </c>
      <c r="M2431" s="1" t="s">
        <v>4170</v>
      </c>
      <c r="N2431" s="1" t="s">
        <v>4171</v>
      </c>
      <c r="O2431">
        <v>9.5201122130410099E-2</v>
      </c>
      <c r="P2431">
        <v>0</v>
      </c>
      <c r="Q2431">
        <v>1</v>
      </c>
      <c r="R2431">
        <v>0</v>
      </c>
      <c r="S2431">
        <v>1</v>
      </c>
      <c r="T2431">
        <v>1307.598583</v>
      </c>
      <c r="U2431">
        <f t="shared" si="74"/>
        <v>1</v>
      </c>
      <c r="V2431">
        <f t="shared" si="75"/>
        <v>1</v>
      </c>
    </row>
    <row r="2432" spans="1:22" x14ac:dyDescent="0.2">
      <c r="A2432" t="s">
        <v>4149</v>
      </c>
      <c r="B2432" t="s">
        <v>52</v>
      </c>
      <c r="C2432" t="s">
        <v>76</v>
      </c>
      <c r="D2432" t="s">
        <v>77</v>
      </c>
      <c r="E2432" s="1" t="s">
        <v>99</v>
      </c>
      <c r="F2432" t="s">
        <v>100</v>
      </c>
      <c r="G2432">
        <v>40</v>
      </c>
      <c r="H2432">
        <v>571220604</v>
      </c>
      <c r="I2432">
        <v>106073045</v>
      </c>
      <c r="J2432">
        <v>8</v>
      </c>
      <c r="K2432">
        <v>26</v>
      </c>
      <c r="L2432">
        <v>-465147559</v>
      </c>
      <c r="M2432" s="1" t="s">
        <v>4172</v>
      </c>
      <c r="N2432" s="1" t="s">
        <v>4173</v>
      </c>
      <c r="O2432" s="1" t="s">
        <v>4174</v>
      </c>
      <c r="P2432">
        <v>0</v>
      </c>
      <c r="Q2432">
        <v>0</v>
      </c>
      <c r="R2432">
        <v>1</v>
      </c>
      <c r="S2432">
        <v>0</v>
      </c>
      <c r="T2432">
        <v>1307.598583</v>
      </c>
      <c r="U2432">
        <f t="shared" si="74"/>
        <v>0</v>
      </c>
      <c r="V2432">
        <f t="shared" si="75"/>
        <v>1</v>
      </c>
    </row>
    <row r="2433" spans="1:22" x14ac:dyDescent="0.2">
      <c r="A2433" t="s">
        <v>4149</v>
      </c>
      <c r="B2433" t="s">
        <v>52</v>
      </c>
      <c r="C2433" t="s">
        <v>76</v>
      </c>
      <c r="D2433" t="s">
        <v>77</v>
      </c>
      <c r="E2433">
        <v>13</v>
      </c>
      <c r="F2433" t="s">
        <v>91</v>
      </c>
      <c r="G2433">
        <v>70</v>
      </c>
      <c r="H2433">
        <v>399370381</v>
      </c>
      <c r="I2433">
        <v>75757562</v>
      </c>
      <c r="J2433">
        <v>3</v>
      </c>
      <c r="K2433">
        <v>10</v>
      </c>
      <c r="L2433">
        <v>-323612819</v>
      </c>
      <c r="M2433" s="1" t="s">
        <v>4175</v>
      </c>
      <c r="N2433" s="1" t="s">
        <v>4176</v>
      </c>
      <c r="O2433">
        <v>9.6740220087107708E-3</v>
      </c>
      <c r="P2433">
        <v>1</v>
      </c>
      <c r="Q2433">
        <v>0</v>
      </c>
      <c r="R2433">
        <v>1</v>
      </c>
      <c r="S2433">
        <v>1</v>
      </c>
      <c r="T2433">
        <v>1307.598583</v>
      </c>
      <c r="U2433">
        <f t="shared" si="74"/>
        <v>1</v>
      </c>
      <c r="V2433">
        <f t="shared" si="75"/>
        <v>1</v>
      </c>
    </row>
    <row r="2434" spans="1:22" x14ac:dyDescent="0.2">
      <c r="A2434" t="s">
        <v>4149</v>
      </c>
      <c r="B2434" t="s">
        <v>52</v>
      </c>
      <c r="C2434" t="s">
        <v>76</v>
      </c>
      <c r="D2434" t="s">
        <v>77</v>
      </c>
      <c r="E2434">
        <v>20</v>
      </c>
      <c r="F2434" t="s">
        <v>104</v>
      </c>
      <c r="G2434">
        <v>96</v>
      </c>
      <c r="H2434">
        <v>100236725</v>
      </c>
      <c r="I2434">
        <v>2906049</v>
      </c>
      <c r="J2434">
        <v>3</v>
      </c>
      <c r="K2434">
        <v>41</v>
      </c>
      <c r="L2434">
        <v>-97330676</v>
      </c>
      <c r="M2434" s="1" t="s">
        <v>4177</v>
      </c>
      <c r="N2434" s="1" t="s">
        <v>4178</v>
      </c>
      <c r="O2434">
        <v>2.10007742212602E-3</v>
      </c>
      <c r="P2434">
        <v>1</v>
      </c>
      <c r="Q2434">
        <v>0</v>
      </c>
      <c r="R2434">
        <v>1</v>
      </c>
      <c r="S2434">
        <v>0</v>
      </c>
      <c r="T2434">
        <v>1307.598583</v>
      </c>
      <c r="U2434">
        <f t="shared" si="74"/>
        <v>1</v>
      </c>
      <c r="V2434">
        <f t="shared" si="75"/>
        <v>1</v>
      </c>
    </row>
    <row r="2435" spans="1:22" x14ac:dyDescent="0.2">
      <c r="A2435" t="s">
        <v>4149</v>
      </c>
      <c r="B2435" t="s">
        <v>52</v>
      </c>
      <c r="C2435" t="s">
        <v>76</v>
      </c>
      <c r="D2435" t="s">
        <v>77</v>
      </c>
      <c r="E2435">
        <v>15</v>
      </c>
      <c r="F2435" t="s">
        <v>88</v>
      </c>
      <c r="G2435">
        <v>76</v>
      </c>
      <c r="H2435">
        <v>410766863</v>
      </c>
      <c r="I2435">
        <v>65097447</v>
      </c>
      <c r="J2435">
        <v>21</v>
      </c>
      <c r="K2435">
        <v>15</v>
      </c>
      <c r="L2435">
        <v>-345669416</v>
      </c>
      <c r="M2435" s="1" t="s">
        <v>4179</v>
      </c>
      <c r="N2435" s="1" t="s">
        <v>4180</v>
      </c>
      <c r="O2435">
        <v>9.6890150872476904E-3</v>
      </c>
      <c r="P2435">
        <v>0</v>
      </c>
      <c r="Q2435">
        <v>0</v>
      </c>
      <c r="R2435">
        <v>0</v>
      </c>
      <c r="S2435">
        <v>0</v>
      </c>
      <c r="T2435">
        <v>1307.598583</v>
      </c>
      <c r="U2435">
        <f t="shared" ref="U2435:U2498" si="76">IF(OR(P2435=1,Q2435=1),1,0)</f>
        <v>0</v>
      </c>
      <c r="V2435">
        <f t="shared" ref="V2435:V2498" si="77">IF(OR(R2435=1,S2435=1),1,0)</f>
        <v>0</v>
      </c>
    </row>
    <row r="2436" spans="1:22" x14ac:dyDescent="0.2">
      <c r="A2436" t="s">
        <v>4149</v>
      </c>
      <c r="B2436" t="s">
        <v>52</v>
      </c>
      <c r="C2436" t="s">
        <v>76</v>
      </c>
      <c r="D2436" t="s">
        <v>77</v>
      </c>
      <c r="E2436">
        <v>15</v>
      </c>
      <c r="F2436" t="s">
        <v>88</v>
      </c>
      <c r="G2436">
        <v>73</v>
      </c>
      <c r="H2436">
        <v>374191698</v>
      </c>
      <c r="I2436">
        <v>922949176</v>
      </c>
      <c r="J2436">
        <v>8</v>
      </c>
      <c r="K2436">
        <v>7</v>
      </c>
      <c r="L2436">
        <v>548757478</v>
      </c>
      <c r="M2436" s="1" t="s">
        <v>4181</v>
      </c>
      <c r="N2436" s="1" t="s">
        <v>4182</v>
      </c>
      <c r="O2436" s="1" t="s">
        <v>4183</v>
      </c>
      <c r="P2436">
        <v>0</v>
      </c>
      <c r="Q2436">
        <v>0</v>
      </c>
      <c r="R2436">
        <v>1</v>
      </c>
      <c r="S2436">
        <v>1</v>
      </c>
      <c r="T2436">
        <v>1307.598583</v>
      </c>
      <c r="U2436">
        <f t="shared" si="76"/>
        <v>0</v>
      </c>
      <c r="V2436">
        <f t="shared" si="77"/>
        <v>1</v>
      </c>
    </row>
    <row r="2437" spans="1:22" x14ac:dyDescent="0.2">
      <c r="A2437" t="s">
        <v>4149</v>
      </c>
      <c r="B2437" t="s">
        <v>52</v>
      </c>
      <c r="C2437" t="s">
        <v>76</v>
      </c>
      <c r="D2437" t="s">
        <v>77</v>
      </c>
      <c r="E2437">
        <v>10</v>
      </c>
      <c r="F2437" t="s">
        <v>119</v>
      </c>
      <c r="G2437">
        <v>48</v>
      </c>
      <c r="H2437">
        <v>646296473</v>
      </c>
      <c r="I2437">
        <v>710401416</v>
      </c>
      <c r="J2437">
        <v>6</v>
      </c>
      <c r="K2437">
        <v>5</v>
      </c>
      <c r="L2437">
        <v>64104943</v>
      </c>
      <c r="M2437" s="1" t="s">
        <v>4184</v>
      </c>
      <c r="N2437" s="1" t="s">
        <v>4185</v>
      </c>
      <c r="O2437" s="1" t="s">
        <v>4186</v>
      </c>
      <c r="P2437">
        <v>0</v>
      </c>
      <c r="Q2437">
        <v>1</v>
      </c>
      <c r="R2437">
        <v>1</v>
      </c>
      <c r="S2437">
        <v>1</v>
      </c>
      <c r="T2437">
        <v>1307.598583</v>
      </c>
      <c r="U2437">
        <f t="shared" si="76"/>
        <v>1</v>
      </c>
      <c r="V2437">
        <f t="shared" si="77"/>
        <v>1</v>
      </c>
    </row>
    <row r="2438" spans="1:22" x14ac:dyDescent="0.2">
      <c r="A2438" t="s">
        <v>4149</v>
      </c>
      <c r="B2438" t="s">
        <v>52</v>
      </c>
      <c r="C2438" t="s">
        <v>76</v>
      </c>
      <c r="D2438" t="s">
        <v>77</v>
      </c>
      <c r="E2438" s="1" t="s">
        <v>138</v>
      </c>
      <c r="F2438" t="s">
        <v>139</v>
      </c>
      <c r="G2438">
        <v>24</v>
      </c>
      <c r="H2438">
        <v>84451740</v>
      </c>
      <c r="I2438">
        <v>7095817</v>
      </c>
      <c r="J2438">
        <v>6</v>
      </c>
      <c r="K2438">
        <v>33</v>
      </c>
      <c r="L2438">
        <v>-77355923</v>
      </c>
      <c r="M2438" s="1" t="s">
        <v>4187</v>
      </c>
      <c r="N2438">
        <v>7.7509627045536503E-2</v>
      </c>
      <c r="O2438">
        <v>1.8639886251895299E-3</v>
      </c>
      <c r="P2438">
        <v>0</v>
      </c>
      <c r="Q2438">
        <v>0</v>
      </c>
      <c r="R2438">
        <v>1</v>
      </c>
      <c r="S2438">
        <v>0</v>
      </c>
      <c r="T2438">
        <v>1307.598583</v>
      </c>
      <c r="U2438">
        <f t="shared" si="76"/>
        <v>0</v>
      </c>
      <c r="V2438">
        <f t="shared" si="77"/>
        <v>1</v>
      </c>
    </row>
    <row r="2439" spans="1:22" x14ac:dyDescent="0.2">
      <c r="A2439" t="s">
        <v>4149</v>
      </c>
      <c r="B2439" t="s">
        <v>52</v>
      </c>
      <c r="C2439" t="s">
        <v>76</v>
      </c>
      <c r="D2439" t="s">
        <v>77</v>
      </c>
      <c r="E2439" s="1" t="s">
        <v>89</v>
      </c>
      <c r="F2439" t="s">
        <v>90</v>
      </c>
      <c r="G2439">
        <v>29</v>
      </c>
      <c r="H2439">
        <v>548385654</v>
      </c>
      <c r="I2439">
        <v>90163666</v>
      </c>
      <c r="J2439">
        <v>9</v>
      </c>
      <c r="K2439">
        <v>20</v>
      </c>
      <c r="L2439">
        <v>-458221988</v>
      </c>
      <c r="M2439">
        <v>0.85879921381797097</v>
      </c>
      <c r="N2439" s="1" t="s">
        <v>4188</v>
      </c>
      <c r="O2439" s="1" t="s">
        <v>4189</v>
      </c>
      <c r="P2439">
        <v>0</v>
      </c>
      <c r="Q2439">
        <v>0</v>
      </c>
      <c r="R2439">
        <v>1</v>
      </c>
      <c r="S2439">
        <v>0</v>
      </c>
      <c r="T2439">
        <v>1307.598583</v>
      </c>
      <c r="U2439">
        <f t="shared" si="76"/>
        <v>0</v>
      </c>
      <c r="V2439">
        <f t="shared" si="77"/>
        <v>1</v>
      </c>
    </row>
    <row r="2440" spans="1:22" x14ac:dyDescent="0.2">
      <c r="A2440" t="s">
        <v>4149</v>
      </c>
      <c r="B2440" t="s">
        <v>52</v>
      </c>
      <c r="C2440" t="s">
        <v>76</v>
      </c>
      <c r="D2440" t="s">
        <v>77</v>
      </c>
      <c r="E2440" s="1" t="s">
        <v>85</v>
      </c>
      <c r="F2440" t="s">
        <v>86</v>
      </c>
      <c r="G2440">
        <v>25</v>
      </c>
      <c r="H2440">
        <v>327084084</v>
      </c>
      <c r="I2440">
        <v>464454140</v>
      </c>
      <c r="J2440">
        <v>8</v>
      </c>
      <c r="K2440">
        <v>3</v>
      </c>
      <c r="L2440">
        <v>137370056</v>
      </c>
      <c r="M2440" s="1" t="s">
        <v>4190</v>
      </c>
      <c r="N2440" s="1" t="s">
        <v>4191</v>
      </c>
      <c r="O2440" s="1" t="s">
        <v>4192</v>
      </c>
      <c r="P2440">
        <v>0</v>
      </c>
      <c r="Q2440">
        <v>1</v>
      </c>
      <c r="R2440">
        <v>1</v>
      </c>
      <c r="S2440">
        <v>1</v>
      </c>
      <c r="T2440">
        <v>1307.598583</v>
      </c>
      <c r="U2440">
        <f t="shared" si="76"/>
        <v>1</v>
      </c>
      <c r="V2440">
        <f t="shared" si="77"/>
        <v>1</v>
      </c>
    </row>
    <row r="2441" spans="1:22" x14ac:dyDescent="0.2">
      <c r="A2441" t="s">
        <v>4149</v>
      </c>
      <c r="B2441" t="s">
        <v>52</v>
      </c>
      <c r="C2441" t="s">
        <v>76</v>
      </c>
      <c r="D2441" t="s">
        <v>77</v>
      </c>
      <c r="E2441">
        <v>10</v>
      </c>
      <c r="F2441" t="s">
        <v>119</v>
      </c>
      <c r="G2441">
        <v>47</v>
      </c>
      <c r="H2441">
        <v>259676714</v>
      </c>
      <c r="I2441">
        <v>63162</v>
      </c>
      <c r="J2441">
        <v>4</v>
      </c>
      <c r="K2441">
        <v>24</v>
      </c>
      <c r="L2441">
        <v>-259613552</v>
      </c>
      <c r="M2441" s="1" t="s">
        <v>4193</v>
      </c>
      <c r="N2441" s="1" t="s">
        <v>4194</v>
      </c>
      <c r="O2441">
        <v>5.2885318870075498E-3</v>
      </c>
      <c r="P2441">
        <v>1</v>
      </c>
      <c r="Q2441">
        <v>0</v>
      </c>
      <c r="R2441">
        <v>1</v>
      </c>
      <c r="S2441">
        <v>0</v>
      </c>
      <c r="T2441">
        <v>1307.598583</v>
      </c>
      <c r="U2441">
        <f t="shared" si="76"/>
        <v>1</v>
      </c>
      <c r="V2441">
        <f t="shared" si="77"/>
        <v>1</v>
      </c>
    </row>
    <row r="2442" spans="1:22" x14ac:dyDescent="0.2">
      <c r="A2442" t="s">
        <v>4149</v>
      </c>
      <c r="B2442" t="s">
        <v>52</v>
      </c>
      <c r="C2442" t="s">
        <v>76</v>
      </c>
      <c r="D2442" t="s">
        <v>77</v>
      </c>
      <c r="E2442" s="1" t="s">
        <v>89</v>
      </c>
      <c r="F2442" t="s">
        <v>90</v>
      </c>
      <c r="G2442">
        <v>33</v>
      </c>
      <c r="H2442">
        <v>300149755</v>
      </c>
      <c r="I2442">
        <v>78702034</v>
      </c>
      <c r="J2442">
        <v>3</v>
      </c>
      <c r="K2442">
        <v>24</v>
      </c>
      <c r="L2442">
        <v>-221447721</v>
      </c>
      <c r="M2442" s="1" t="s">
        <v>4195</v>
      </c>
      <c r="N2442" s="1" t="s">
        <v>4196</v>
      </c>
      <c r="O2442">
        <v>7.7137549976205996E-3</v>
      </c>
      <c r="P2442">
        <v>1</v>
      </c>
      <c r="Q2442">
        <v>0</v>
      </c>
      <c r="R2442">
        <v>1</v>
      </c>
      <c r="S2442">
        <v>0</v>
      </c>
      <c r="T2442">
        <v>1307.598583</v>
      </c>
      <c r="U2442">
        <f t="shared" si="76"/>
        <v>1</v>
      </c>
      <c r="V2442">
        <f t="shared" si="77"/>
        <v>1</v>
      </c>
    </row>
    <row r="2443" spans="1:22" x14ac:dyDescent="0.2">
      <c r="A2443" t="s">
        <v>4149</v>
      </c>
      <c r="B2443" t="s">
        <v>52</v>
      </c>
      <c r="C2443" t="s">
        <v>76</v>
      </c>
      <c r="D2443" t="s">
        <v>77</v>
      </c>
      <c r="E2443" s="1" t="s">
        <v>89</v>
      </c>
      <c r="F2443" t="s">
        <v>90</v>
      </c>
      <c r="G2443">
        <v>34</v>
      </c>
      <c r="H2443">
        <v>97870498</v>
      </c>
      <c r="I2443">
        <v>35058437</v>
      </c>
      <c r="J2443">
        <v>3</v>
      </c>
      <c r="K2443">
        <v>25</v>
      </c>
      <c r="L2443">
        <v>-62812061</v>
      </c>
      <c r="M2443" s="1" t="s">
        <v>4197</v>
      </c>
      <c r="N2443" s="1" t="s">
        <v>4198</v>
      </c>
      <c r="O2443">
        <v>2.7065498077524799E-3</v>
      </c>
      <c r="P2443">
        <v>1</v>
      </c>
      <c r="Q2443">
        <v>0</v>
      </c>
      <c r="R2443">
        <v>1</v>
      </c>
      <c r="S2443">
        <v>0</v>
      </c>
      <c r="T2443">
        <v>1307.598583</v>
      </c>
      <c r="U2443">
        <f t="shared" si="76"/>
        <v>1</v>
      </c>
      <c r="V2443">
        <f t="shared" si="77"/>
        <v>1</v>
      </c>
    </row>
    <row r="2444" spans="1:22" x14ac:dyDescent="0.2">
      <c r="A2444" t="s">
        <v>4149</v>
      </c>
      <c r="B2444" t="s">
        <v>52</v>
      </c>
      <c r="C2444" t="s">
        <v>76</v>
      </c>
      <c r="D2444" t="s">
        <v>77</v>
      </c>
      <c r="E2444">
        <v>13</v>
      </c>
      <c r="F2444" t="s">
        <v>91</v>
      </c>
      <c r="G2444">
        <v>68</v>
      </c>
      <c r="H2444">
        <v>116078352</v>
      </c>
      <c r="I2444">
        <v>139093335</v>
      </c>
      <c r="J2444">
        <v>4</v>
      </c>
      <c r="K2444">
        <v>6</v>
      </c>
      <c r="L2444">
        <v>23014983</v>
      </c>
      <c r="M2444" s="1" t="s">
        <v>4199</v>
      </c>
      <c r="N2444" s="1" t="s">
        <v>4200</v>
      </c>
      <c r="O2444">
        <v>5.1955195488004704E-3</v>
      </c>
      <c r="P2444">
        <v>1</v>
      </c>
      <c r="Q2444">
        <v>0</v>
      </c>
      <c r="R2444">
        <v>1</v>
      </c>
      <c r="S2444">
        <v>1</v>
      </c>
      <c r="T2444">
        <v>1307.598583</v>
      </c>
      <c r="U2444">
        <f t="shared" si="76"/>
        <v>1</v>
      </c>
      <c r="V2444">
        <f t="shared" si="77"/>
        <v>1</v>
      </c>
    </row>
    <row r="2445" spans="1:22" x14ac:dyDescent="0.2">
      <c r="A2445" t="s">
        <v>4149</v>
      </c>
      <c r="B2445" t="s">
        <v>52</v>
      </c>
      <c r="C2445" t="s">
        <v>76</v>
      </c>
      <c r="D2445" t="s">
        <v>77</v>
      </c>
      <c r="E2445" s="1" t="s">
        <v>89</v>
      </c>
      <c r="F2445" t="s">
        <v>90</v>
      </c>
      <c r="G2445">
        <v>30</v>
      </c>
      <c r="H2445">
        <v>95635493</v>
      </c>
      <c r="I2445">
        <v>96216355</v>
      </c>
      <c r="J2445">
        <v>6</v>
      </c>
      <c r="K2445">
        <v>33</v>
      </c>
      <c r="L2445">
        <v>580862</v>
      </c>
      <c r="M2445">
        <v>0.49848617043292698</v>
      </c>
      <c r="N2445">
        <v>0.50151382956707302</v>
      </c>
      <c r="O2445">
        <v>3.9062720416842096E-3</v>
      </c>
      <c r="P2445">
        <v>0</v>
      </c>
      <c r="Q2445">
        <v>0</v>
      </c>
      <c r="R2445">
        <v>1</v>
      </c>
      <c r="S2445">
        <v>0</v>
      </c>
      <c r="T2445">
        <v>1307.598583</v>
      </c>
      <c r="U2445">
        <f t="shared" si="76"/>
        <v>0</v>
      </c>
      <c r="V2445">
        <f t="shared" si="77"/>
        <v>1</v>
      </c>
    </row>
    <row r="2446" spans="1:22" x14ac:dyDescent="0.2">
      <c r="A2446" t="s">
        <v>4149</v>
      </c>
      <c r="B2446" t="s">
        <v>52</v>
      </c>
      <c r="C2446" t="s">
        <v>76</v>
      </c>
      <c r="D2446" t="s">
        <v>77</v>
      </c>
      <c r="E2446" s="1" t="s">
        <v>93</v>
      </c>
      <c r="F2446" t="s">
        <v>94</v>
      </c>
      <c r="G2446">
        <v>44</v>
      </c>
      <c r="H2446">
        <v>171773993</v>
      </c>
      <c r="I2446">
        <v>114840430</v>
      </c>
      <c r="J2446">
        <v>31</v>
      </c>
      <c r="K2446">
        <v>7</v>
      </c>
      <c r="L2446">
        <v>-56933563</v>
      </c>
      <c r="M2446" s="1" t="s">
        <v>4201</v>
      </c>
      <c r="N2446" s="1" t="s">
        <v>4202</v>
      </c>
      <c r="O2446">
        <v>5.8357212556448997E-3</v>
      </c>
      <c r="P2446">
        <v>0</v>
      </c>
      <c r="Q2446">
        <v>0</v>
      </c>
      <c r="R2446">
        <v>0</v>
      </c>
      <c r="S2446">
        <v>1</v>
      </c>
      <c r="T2446">
        <v>1307.598583</v>
      </c>
      <c r="U2446">
        <f t="shared" si="76"/>
        <v>0</v>
      </c>
      <c r="V2446">
        <f t="shared" si="77"/>
        <v>1</v>
      </c>
    </row>
    <row r="2447" spans="1:22" x14ac:dyDescent="0.2">
      <c r="A2447" t="s">
        <v>4149</v>
      </c>
      <c r="B2447" t="s">
        <v>52</v>
      </c>
      <c r="C2447" t="s">
        <v>76</v>
      </c>
      <c r="D2447" t="s">
        <v>77</v>
      </c>
      <c r="E2447">
        <v>15</v>
      </c>
      <c r="F2447" t="s">
        <v>88</v>
      </c>
      <c r="G2447">
        <v>81</v>
      </c>
      <c r="H2447">
        <v>123258002</v>
      </c>
      <c r="I2447">
        <v>69567823</v>
      </c>
      <c r="J2447">
        <v>9</v>
      </c>
      <c r="K2447">
        <v>5</v>
      </c>
      <c r="L2447">
        <v>-53690179</v>
      </c>
      <c r="M2447" s="1" t="s">
        <v>4203</v>
      </c>
      <c r="N2447" s="1" t="s">
        <v>4204</v>
      </c>
      <c r="O2447">
        <v>3.9261030684061603E-3</v>
      </c>
      <c r="P2447">
        <v>0</v>
      </c>
      <c r="Q2447">
        <v>1</v>
      </c>
      <c r="R2447">
        <v>1</v>
      </c>
      <c r="S2447">
        <v>1</v>
      </c>
      <c r="T2447">
        <v>1307.598583</v>
      </c>
      <c r="U2447">
        <f t="shared" si="76"/>
        <v>1</v>
      </c>
      <c r="V2447">
        <f t="shared" si="77"/>
        <v>1</v>
      </c>
    </row>
    <row r="2448" spans="1:22" x14ac:dyDescent="0.2">
      <c r="A2448" t="s">
        <v>4149</v>
      </c>
      <c r="B2448" t="s">
        <v>52</v>
      </c>
      <c r="C2448" t="s">
        <v>76</v>
      </c>
      <c r="D2448" t="s">
        <v>77</v>
      </c>
      <c r="E2448" s="1" t="s">
        <v>89</v>
      </c>
      <c r="F2448" t="s">
        <v>90</v>
      </c>
      <c r="G2448">
        <v>38</v>
      </c>
      <c r="H2448">
        <v>243815218</v>
      </c>
      <c r="I2448">
        <v>90011104</v>
      </c>
      <c r="J2448">
        <v>4</v>
      </c>
      <c r="K2448">
        <v>26</v>
      </c>
      <c r="L2448">
        <v>-153804114</v>
      </c>
      <c r="M2448" s="1" t="s">
        <v>4205</v>
      </c>
      <c r="N2448" s="1" t="s">
        <v>4206</v>
      </c>
      <c r="O2448">
        <v>6.7969969640681903E-3</v>
      </c>
      <c r="P2448">
        <v>1</v>
      </c>
      <c r="Q2448">
        <v>0</v>
      </c>
      <c r="R2448">
        <v>1</v>
      </c>
      <c r="S2448">
        <v>0</v>
      </c>
      <c r="T2448">
        <v>1307.598583</v>
      </c>
      <c r="U2448">
        <f t="shared" si="76"/>
        <v>1</v>
      </c>
      <c r="V2448">
        <f t="shared" si="77"/>
        <v>1</v>
      </c>
    </row>
    <row r="2449" spans="1:22" x14ac:dyDescent="0.2">
      <c r="A2449" t="s">
        <v>4149</v>
      </c>
      <c r="B2449" t="s">
        <v>52</v>
      </c>
      <c r="C2449" t="s">
        <v>76</v>
      </c>
      <c r="D2449" t="s">
        <v>77</v>
      </c>
      <c r="E2449">
        <v>99</v>
      </c>
      <c r="F2449" t="s">
        <v>78</v>
      </c>
      <c r="G2449">
        <v>99</v>
      </c>
      <c r="H2449">
        <v>79926463</v>
      </c>
      <c r="I2449">
        <v>21738135</v>
      </c>
      <c r="J2449">
        <v>22</v>
      </c>
      <c r="K2449">
        <v>28</v>
      </c>
      <c r="L2449">
        <v>-58188328</v>
      </c>
      <c r="M2449" s="1" t="s">
        <v>4207</v>
      </c>
      <c r="N2449" s="1" t="s">
        <v>4208</v>
      </c>
      <c r="O2449">
        <v>2.0699804611549202E-3</v>
      </c>
      <c r="P2449">
        <v>0</v>
      </c>
      <c r="Q2449">
        <v>0</v>
      </c>
      <c r="R2449">
        <v>0</v>
      </c>
      <c r="S2449">
        <v>0</v>
      </c>
      <c r="T2449">
        <v>1307.598583</v>
      </c>
      <c r="U2449">
        <f t="shared" si="76"/>
        <v>0</v>
      </c>
      <c r="V2449">
        <f t="shared" si="77"/>
        <v>0</v>
      </c>
    </row>
    <row r="2450" spans="1:22" x14ac:dyDescent="0.2">
      <c r="A2450" t="s">
        <v>4149</v>
      </c>
      <c r="B2450" t="s">
        <v>52</v>
      </c>
      <c r="C2450" t="s">
        <v>76</v>
      </c>
      <c r="D2450" t="s">
        <v>77</v>
      </c>
      <c r="E2450">
        <v>15</v>
      </c>
      <c r="F2450" t="s">
        <v>88</v>
      </c>
      <c r="G2450">
        <v>82</v>
      </c>
      <c r="H2450">
        <v>60814635</v>
      </c>
      <c r="I2450">
        <v>48496637</v>
      </c>
      <c r="J2450">
        <v>4</v>
      </c>
      <c r="K2450">
        <v>20</v>
      </c>
      <c r="L2450">
        <v>-12317998</v>
      </c>
      <c r="M2450" s="1" t="s">
        <v>4209</v>
      </c>
      <c r="N2450" s="1" t="s">
        <v>4210</v>
      </c>
      <c r="O2450">
        <v>2.2256734563981802E-3</v>
      </c>
      <c r="P2450">
        <v>1</v>
      </c>
      <c r="Q2450">
        <v>0</v>
      </c>
      <c r="R2450">
        <v>1</v>
      </c>
      <c r="S2450">
        <v>0</v>
      </c>
      <c r="T2450">
        <v>1307.598583</v>
      </c>
      <c r="U2450">
        <f t="shared" si="76"/>
        <v>1</v>
      </c>
      <c r="V2450">
        <f t="shared" si="77"/>
        <v>1</v>
      </c>
    </row>
    <row r="2451" spans="1:22" x14ac:dyDescent="0.2">
      <c r="A2451" t="s">
        <v>4149</v>
      </c>
      <c r="B2451" t="s">
        <v>52</v>
      </c>
      <c r="C2451" t="s">
        <v>76</v>
      </c>
      <c r="D2451" t="s">
        <v>77</v>
      </c>
      <c r="E2451">
        <v>18</v>
      </c>
      <c r="F2451" t="s">
        <v>147</v>
      </c>
      <c r="G2451">
        <v>90</v>
      </c>
      <c r="H2451">
        <v>102277741</v>
      </c>
      <c r="I2451">
        <v>133759128</v>
      </c>
      <c r="J2451">
        <v>9</v>
      </c>
      <c r="K2451">
        <v>29</v>
      </c>
      <c r="L2451">
        <v>31481387</v>
      </c>
      <c r="M2451" s="1" t="s">
        <v>4211</v>
      </c>
      <c r="N2451" s="1" t="s">
        <v>4212</v>
      </c>
      <c r="O2451">
        <v>4.8059178568943496E-3</v>
      </c>
      <c r="P2451">
        <v>0</v>
      </c>
      <c r="Q2451">
        <v>0</v>
      </c>
      <c r="R2451">
        <v>1</v>
      </c>
      <c r="S2451">
        <v>0</v>
      </c>
      <c r="T2451">
        <v>1307.598583</v>
      </c>
      <c r="U2451">
        <f t="shared" si="76"/>
        <v>0</v>
      </c>
      <c r="V2451">
        <f t="shared" si="77"/>
        <v>1</v>
      </c>
    </row>
    <row r="2452" spans="1:22" x14ac:dyDescent="0.2">
      <c r="A2452" t="s">
        <v>4149</v>
      </c>
      <c r="B2452" t="s">
        <v>52</v>
      </c>
      <c r="C2452" t="s">
        <v>76</v>
      </c>
      <c r="D2452" t="s">
        <v>77</v>
      </c>
      <c r="E2452">
        <v>15</v>
      </c>
      <c r="F2452" t="s">
        <v>88</v>
      </c>
      <c r="G2452">
        <v>78</v>
      </c>
      <c r="H2452">
        <v>36345887</v>
      </c>
      <c r="I2452">
        <v>414</v>
      </c>
      <c r="J2452">
        <v>10</v>
      </c>
      <c r="K2452">
        <v>39</v>
      </c>
      <c r="L2452">
        <v>-36345473</v>
      </c>
      <c r="M2452" s="1" t="s">
        <v>4213</v>
      </c>
      <c r="N2452" s="1" t="s">
        <v>4214</v>
      </c>
      <c r="O2452" s="1" t="s">
        <v>4215</v>
      </c>
      <c r="P2452">
        <v>0</v>
      </c>
      <c r="Q2452">
        <v>0</v>
      </c>
      <c r="R2452">
        <v>1</v>
      </c>
      <c r="S2452">
        <v>0</v>
      </c>
      <c r="T2452">
        <v>1307.598583</v>
      </c>
      <c r="U2452">
        <f t="shared" si="76"/>
        <v>0</v>
      </c>
      <c r="V2452">
        <f t="shared" si="77"/>
        <v>1</v>
      </c>
    </row>
    <row r="2453" spans="1:22" x14ac:dyDescent="0.2">
      <c r="A2453" t="s">
        <v>4149</v>
      </c>
      <c r="B2453" t="s">
        <v>52</v>
      </c>
      <c r="C2453" t="s">
        <v>76</v>
      </c>
      <c r="D2453" t="s">
        <v>77</v>
      </c>
      <c r="E2453" s="1" t="s">
        <v>82</v>
      </c>
      <c r="F2453" t="s">
        <v>83</v>
      </c>
      <c r="G2453">
        <v>11</v>
      </c>
      <c r="H2453">
        <v>19276934</v>
      </c>
      <c r="I2453">
        <v>5988481</v>
      </c>
      <c r="J2453">
        <v>18</v>
      </c>
      <c r="K2453">
        <v>15</v>
      </c>
      <c r="L2453">
        <v>-13288453</v>
      </c>
      <c r="M2453" s="1" t="s">
        <v>4216</v>
      </c>
      <c r="N2453" s="1" t="s">
        <v>4217</v>
      </c>
      <c r="O2453" s="1" t="s">
        <v>4218</v>
      </c>
      <c r="P2453">
        <v>0</v>
      </c>
      <c r="Q2453">
        <v>0</v>
      </c>
      <c r="R2453">
        <v>0</v>
      </c>
      <c r="S2453">
        <v>0</v>
      </c>
      <c r="T2453">
        <v>1307.598583</v>
      </c>
      <c r="U2453">
        <f t="shared" si="76"/>
        <v>0</v>
      </c>
      <c r="V2453">
        <f t="shared" si="77"/>
        <v>0</v>
      </c>
    </row>
    <row r="2454" spans="1:22" x14ac:dyDescent="0.2">
      <c r="A2454" t="s">
        <v>4149</v>
      </c>
      <c r="B2454" t="s">
        <v>52</v>
      </c>
      <c r="C2454" t="s">
        <v>76</v>
      </c>
      <c r="D2454" t="s">
        <v>77</v>
      </c>
      <c r="E2454" s="1" t="s">
        <v>163</v>
      </c>
      <c r="F2454" t="s">
        <v>224</v>
      </c>
      <c r="G2454">
        <v>41</v>
      </c>
      <c r="H2454">
        <v>11803495</v>
      </c>
      <c r="I2454">
        <v>824067</v>
      </c>
      <c r="J2454">
        <v>10</v>
      </c>
      <c r="K2454">
        <v>24</v>
      </c>
      <c r="L2454">
        <v>-10979428</v>
      </c>
      <c r="M2454" s="1" t="s">
        <v>4219</v>
      </c>
      <c r="N2454">
        <v>6.5259390530016795E-2</v>
      </c>
      <c r="O2454" s="1" t="s">
        <v>4220</v>
      </c>
      <c r="P2454">
        <v>0</v>
      </c>
      <c r="Q2454">
        <v>0</v>
      </c>
      <c r="R2454">
        <v>1</v>
      </c>
      <c r="S2454">
        <v>0</v>
      </c>
      <c r="T2454">
        <v>1307.598583</v>
      </c>
      <c r="U2454">
        <f t="shared" si="76"/>
        <v>0</v>
      </c>
      <c r="V2454">
        <f t="shared" si="77"/>
        <v>1</v>
      </c>
    </row>
    <row r="2455" spans="1:22" x14ac:dyDescent="0.2">
      <c r="A2455" t="s">
        <v>4149</v>
      </c>
      <c r="B2455" t="s">
        <v>52</v>
      </c>
      <c r="C2455" t="s">
        <v>76</v>
      </c>
      <c r="D2455" t="s">
        <v>77</v>
      </c>
      <c r="E2455">
        <v>17</v>
      </c>
      <c r="F2455" t="s">
        <v>97</v>
      </c>
      <c r="G2455">
        <v>88</v>
      </c>
      <c r="H2455">
        <v>24592981</v>
      </c>
      <c r="I2455">
        <v>6205276</v>
      </c>
      <c r="J2455">
        <v>30</v>
      </c>
      <c r="K2455">
        <v>34</v>
      </c>
      <c r="L2455">
        <v>-18387705</v>
      </c>
      <c r="M2455">
        <v>0.79851859798429503</v>
      </c>
      <c r="N2455" s="1" t="s">
        <v>4221</v>
      </c>
      <c r="O2455" s="1" t="s">
        <v>4222</v>
      </c>
      <c r="P2455">
        <v>0</v>
      </c>
      <c r="Q2455">
        <v>0</v>
      </c>
      <c r="R2455">
        <v>0</v>
      </c>
      <c r="S2455">
        <v>0</v>
      </c>
      <c r="T2455">
        <v>1307.598583</v>
      </c>
      <c r="U2455">
        <f t="shared" si="76"/>
        <v>0</v>
      </c>
      <c r="V2455">
        <f t="shared" si="77"/>
        <v>0</v>
      </c>
    </row>
    <row r="2456" spans="1:22" x14ac:dyDescent="0.2">
      <c r="A2456" t="s">
        <v>4149</v>
      </c>
      <c r="B2456" t="s">
        <v>52</v>
      </c>
      <c r="C2456" t="s">
        <v>76</v>
      </c>
      <c r="D2456" t="s">
        <v>77</v>
      </c>
      <c r="E2456">
        <v>11</v>
      </c>
      <c r="F2456" t="s">
        <v>127</v>
      </c>
      <c r="G2456">
        <v>53</v>
      </c>
      <c r="H2456">
        <v>5882889</v>
      </c>
      <c r="I2456">
        <v>0</v>
      </c>
      <c r="J2456">
        <v>2</v>
      </c>
      <c r="K2456">
        <v>49</v>
      </c>
      <c r="L2456">
        <v>-5882889</v>
      </c>
      <c r="M2456">
        <v>1</v>
      </c>
      <c r="N2456">
        <v>0</v>
      </c>
      <c r="O2456" s="1" t="s">
        <v>4223</v>
      </c>
      <c r="P2456">
        <v>1</v>
      </c>
      <c r="Q2456">
        <v>0</v>
      </c>
      <c r="R2456">
        <v>1</v>
      </c>
      <c r="S2456">
        <v>0</v>
      </c>
      <c r="T2456">
        <v>1307.598583</v>
      </c>
      <c r="U2456">
        <f t="shared" si="76"/>
        <v>1</v>
      </c>
      <c r="V2456">
        <f t="shared" si="77"/>
        <v>1</v>
      </c>
    </row>
    <row r="2457" spans="1:22" x14ac:dyDescent="0.2">
      <c r="A2457" t="s">
        <v>4149</v>
      </c>
      <c r="B2457" t="s">
        <v>52</v>
      </c>
      <c r="C2457" t="s">
        <v>76</v>
      </c>
      <c r="D2457" t="s">
        <v>77</v>
      </c>
      <c r="E2457">
        <v>15</v>
      </c>
      <c r="F2457" t="s">
        <v>88</v>
      </c>
      <c r="G2457">
        <v>74</v>
      </c>
      <c r="H2457">
        <v>57599949</v>
      </c>
      <c r="I2457">
        <v>91188205</v>
      </c>
      <c r="J2457">
        <v>28</v>
      </c>
      <c r="K2457">
        <v>13</v>
      </c>
      <c r="L2457">
        <v>33588256</v>
      </c>
      <c r="M2457" s="1" t="s">
        <v>4224</v>
      </c>
      <c r="N2457" s="1" t="s">
        <v>4225</v>
      </c>
      <c r="O2457">
        <v>3.0294574285466601E-3</v>
      </c>
      <c r="P2457">
        <v>0</v>
      </c>
      <c r="Q2457">
        <v>0</v>
      </c>
      <c r="R2457">
        <v>0</v>
      </c>
      <c r="S2457">
        <v>0</v>
      </c>
      <c r="T2457">
        <v>1307.598583</v>
      </c>
      <c r="U2457">
        <f t="shared" si="76"/>
        <v>0</v>
      </c>
      <c r="V2457">
        <f t="shared" si="77"/>
        <v>0</v>
      </c>
    </row>
    <row r="2458" spans="1:22" x14ac:dyDescent="0.2">
      <c r="A2458" t="s">
        <v>4149</v>
      </c>
      <c r="B2458" t="s">
        <v>52</v>
      </c>
      <c r="C2458" t="s">
        <v>76</v>
      </c>
      <c r="D2458" t="s">
        <v>77</v>
      </c>
      <c r="E2458">
        <v>11</v>
      </c>
      <c r="F2458" t="s">
        <v>127</v>
      </c>
      <c r="G2458">
        <v>56</v>
      </c>
      <c r="H2458">
        <v>87437094</v>
      </c>
      <c r="I2458">
        <v>64070309</v>
      </c>
      <c r="J2458">
        <v>3</v>
      </c>
      <c r="K2458">
        <v>13</v>
      </c>
      <c r="L2458">
        <v>-23366785</v>
      </c>
      <c r="M2458" s="1" t="s">
        <v>4226</v>
      </c>
      <c r="N2458" s="1" t="s">
        <v>4227</v>
      </c>
      <c r="O2458">
        <v>3.0848237252689001E-3</v>
      </c>
      <c r="P2458">
        <v>1</v>
      </c>
      <c r="Q2458">
        <v>0</v>
      </c>
      <c r="R2458">
        <v>1</v>
      </c>
      <c r="S2458">
        <v>0</v>
      </c>
      <c r="T2458">
        <v>1307.598583</v>
      </c>
      <c r="U2458">
        <f t="shared" si="76"/>
        <v>1</v>
      </c>
      <c r="V2458">
        <f t="shared" si="77"/>
        <v>1</v>
      </c>
    </row>
    <row r="2459" spans="1:22" x14ac:dyDescent="0.2">
      <c r="A2459" t="s">
        <v>4149</v>
      </c>
      <c r="B2459" t="s">
        <v>52</v>
      </c>
      <c r="C2459" t="s">
        <v>76</v>
      </c>
      <c r="D2459" t="s">
        <v>77</v>
      </c>
      <c r="E2459" s="1" t="s">
        <v>89</v>
      </c>
      <c r="F2459" t="s">
        <v>90</v>
      </c>
      <c r="G2459">
        <v>36</v>
      </c>
      <c r="H2459">
        <v>4597673</v>
      </c>
      <c r="I2459">
        <v>1040980</v>
      </c>
      <c r="J2459">
        <v>14</v>
      </c>
      <c r="K2459">
        <v>11</v>
      </c>
      <c r="L2459">
        <v>-3556693</v>
      </c>
      <c r="M2459">
        <v>0.81538498644977797</v>
      </c>
      <c r="N2459">
        <v>0.184615013550222</v>
      </c>
      <c r="O2459" s="1" t="s">
        <v>4228</v>
      </c>
      <c r="P2459">
        <v>0</v>
      </c>
      <c r="Q2459">
        <v>0</v>
      </c>
      <c r="R2459">
        <v>0</v>
      </c>
      <c r="S2459">
        <v>0</v>
      </c>
      <c r="T2459">
        <v>1307.598583</v>
      </c>
      <c r="U2459">
        <f t="shared" si="76"/>
        <v>0</v>
      </c>
      <c r="V2459">
        <f t="shared" si="77"/>
        <v>0</v>
      </c>
    </row>
    <row r="2460" spans="1:22" x14ac:dyDescent="0.2">
      <c r="A2460" t="s">
        <v>4149</v>
      </c>
      <c r="B2460" t="s">
        <v>52</v>
      </c>
      <c r="C2460" t="s">
        <v>76</v>
      </c>
      <c r="D2460" t="s">
        <v>77</v>
      </c>
      <c r="E2460" s="1" t="s">
        <v>138</v>
      </c>
      <c r="F2460" t="s">
        <v>139</v>
      </c>
      <c r="G2460">
        <v>21</v>
      </c>
      <c r="H2460">
        <v>20075772</v>
      </c>
      <c r="I2460">
        <v>71792095</v>
      </c>
      <c r="J2460">
        <v>20</v>
      </c>
      <c r="K2460">
        <v>22</v>
      </c>
      <c r="L2460">
        <v>51716323</v>
      </c>
      <c r="M2460" s="1" t="s">
        <v>4229</v>
      </c>
      <c r="N2460" s="1" t="s">
        <v>4230</v>
      </c>
      <c r="O2460">
        <v>1.87051041797243E-3</v>
      </c>
      <c r="P2460">
        <v>0</v>
      </c>
      <c r="Q2460">
        <v>0</v>
      </c>
      <c r="R2460">
        <v>0</v>
      </c>
      <c r="S2460">
        <v>0</v>
      </c>
      <c r="T2460">
        <v>1307.598583</v>
      </c>
      <c r="U2460">
        <f t="shared" si="76"/>
        <v>0</v>
      </c>
      <c r="V2460">
        <f t="shared" si="77"/>
        <v>0</v>
      </c>
    </row>
    <row r="2461" spans="1:22" x14ac:dyDescent="0.2">
      <c r="A2461" t="s">
        <v>4149</v>
      </c>
      <c r="B2461" t="s">
        <v>52</v>
      </c>
      <c r="C2461" t="s">
        <v>76</v>
      </c>
      <c r="D2461" t="s">
        <v>77</v>
      </c>
      <c r="E2461">
        <v>13</v>
      </c>
      <c r="F2461" t="s">
        <v>91</v>
      </c>
      <c r="G2461">
        <v>69</v>
      </c>
      <c r="H2461">
        <v>53403322</v>
      </c>
      <c r="I2461">
        <v>225256567</v>
      </c>
      <c r="J2461">
        <v>5</v>
      </c>
      <c r="K2461">
        <v>7</v>
      </c>
      <c r="L2461">
        <v>171853245</v>
      </c>
      <c r="M2461" s="1" t="s">
        <v>4231</v>
      </c>
      <c r="N2461" s="1" t="s">
        <v>4232</v>
      </c>
      <c r="O2461">
        <v>5.6737599605479298E-3</v>
      </c>
      <c r="P2461">
        <v>1</v>
      </c>
      <c r="Q2461">
        <v>0</v>
      </c>
      <c r="R2461">
        <v>1</v>
      </c>
      <c r="S2461">
        <v>1</v>
      </c>
      <c r="T2461">
        <v>1307.598583</v>
      </c>
      <c r="U2461">
        <f t="shared" si="76"/>
        <v>1</v>
      </c>
      <c r="V2461">
        <f t="shared" si="77"/>
        <v>1</v>
      </c>
    </row>
    <row r="2462" spans="1:22" x14ac:dyDescent="0.2">
      <c r="A2462" t="s">
        <v>4149</v>
      </c>
      <c r="B2462" t="s">
        <v>52</v>
      </c>
      <c r="C2462" t="s">
        <v>76</v>
      </c>
      <c r="D2462" t="s">
        <v>77</v>
      </c>
      <c r="E2462" s="1" t="s">
        <v>89</v>
      </c>
      <c r="F2462" t="s">
        <v>90</v>
      </c>
      <c r="G2462">
        <v>32</v>
      </c>
      <c r="H2462">
        <v>56389079</v>
      </c>
      <c r="I2462">
        <v>35863335</v>
      </c>
      <c r="J2462">
        <v>5</v>
      </c>
      <c r="K2462">
        <v>28</v>
      </c>
      <c r="L2462">
        <v>-20525744</v>
      </c>
      <c r="M2462" s="1" t="s">
        <v>4233</v>
      </c>
      <c r="N2462" s="1" t="s">
        <v>4234</v>
      </c>
      <c r="O2462">
        <v>1.8783401324655299E-3</v>
      </c>
      <c r="P2462">
        <v>1</v>
      </c>
      <c r="Q2462">
        <v>0</v>
      </c>
      <c r="R2462">
        <v>1</v>
      </c>
      <c r="S2462">
        <v>0</v>
      </c>
      <c r="T2462">
        <v>1307.598583</v>
      </c>
      <c r="U2462">
        <f t="shared" si="76"/>
        <v>1</v>
      </c>
      <c r="V2462">
        <f t="shared" si="77"/>
        <v>1</v>
      </c>
    </row>
    <row r="2463" spans="1:22" x14ac:dyDescent="0.2">
      <c r="A2463" t="s">
        <v>4149</v>
      </c>
      <c r="B2463" t="s">
        <v>52</v>
      </c>
      <c r="C2463" t="s">
        <v>76</v>
      </c>
      <c r="D2463" t="s">
        <v>77</v>
      </c>
      <c r="E2463">
        <v>11</v>
      </c>
      <c r="F2463" t="s">
        <v>127</v>
      </c>
      <c r="G2463">
        <v>52</v>
      </c>
      <c r="H2463">
        <v>53823033</v>
      </c>
      <c r="I2463">
        <v>5192155</v>
      </c>
      <c r="J2463">
        <v>2</v>
      </c>
      <c r="K2463">
        <v>23</v>
      </c>
      <c r="L2463">
        <v>-48630878</v>
      </c>
      <c r="M2463" s="1" t="s">
        <v>4235</v>
      </c>
      <c r="N2463">
        <v>8.7979978984392901E-2</v>
      </c>
      <c r="O2463">
        <v>1.2016010339349801E-3</v>
      </c>
      <c r="P2463">
        <v>1</v>
      </c>
      <c r="Q2463">
        <v>0</v>
      </c>
      <c r="R2463">
        <v>1</v>
      </c>
      <c r="S2463">
        <v>0</v>
      </c>
      <c r="T2463">
        <v>1307.598583</v>
      </c>
      <c r="U2463">
        <f t="shared" si="76"/>
        <v>1</v>
      </c>
      <c r="V2463">
        <f t="shared" si="77"/>
        <v>1</v>
      </c>
    </row>
    <row r="2464" spans="1:22" x14ac:dyDescent="0.2">
      <c r="A2464" t="s">
        <v>4149</v>
      </c>
      <c r="B2464" t="s">
        <v>52</v>
      </c>
      <c r="C2464" t="s">
        <v>76</v>
      </c>
      <c r="D2464" t="s">
        <v>77</v>
      </c>
      <c r="E2464">
        <v>15</v>
      </c>
      <c r="F2464" t="s">
        <v>88</v>
      </c>
      <c r="G2464">
        <v>83</v>
      </c>
      <c r="H2464">
        <v>40703366</v>
      </c>
      <c r="I2464">
        <v>219231782</v>
      </c>
      <c r="J2464">
        <v>4</v>
      </c>
      <c r="K2464">
        <v>9</v>
      </c>
      <c r="L2464">
        <v>178528416</v>
      </c>
      <c r="M2464" s="1" t="s">
        <v>4236</v>
      </c>
      <c r="N2464" s="1" t="s">
        <v>4237</v>
      </c>
      <c r="O2464">
        <v>5.2925077963463197E-3</v>
      </c>
      <c r="P2464">
        <v>1</v>
      </c>
      <c r="Q2464">
        <v>0</v>
      </c>
      <c r="R2464">
        <v>1</v>
      </c>
      <c r="S2464">
        <v>1</v>
      </c>
      <c r="T2464">
        <v>1307.598583</v>
      </c>
      <c r="U2464">
        <f t="shared" si="76"/>
        <v>1</v>
      </c>
      <c r="V2464">
        <f t="shared" si="77"/>
        <v>1</v>
      </c>
    </row>
    <row r="2465" spans="1:22" x14ac:dyDescent="0.2">
      <c r="A2465" t="s">
        <v>4149</v>
      </c>
      <c r="B2465" t="s">
        <v>52</v>
      </c>
      <c r="C2465" t="s">
        <v>76</v>
      </c>
      <c r="D2465" t="s">
        <v>77</v>
      </c>
      <c r="E2465" s="1" t="s">
        <v>138</v>
      </c>
      <c r="F2465" t="s">
        <v>139</v>
      </c>
      <c r="G2465">
        <v>22</v>
      </c>
      <c r="H2465">
        <v>8770864</v>
      </c>
      <c r="I2465">
        <v>59014982</v>
      </c>
      <c r="J2465">
        <v>33</v>
      </c>
      <c r="K2465">
        <v>25</v>
      </c>
      <c r="L2465">
        <v>50244118</v>
      </c>
      <c r="M2465" s="1" t="s">
        <v>4238</v>
      </c>
      <c r="N2465" s="1" t="s">
        <v>4239</v>
      </c>
      <c r="O2465">
        <v>1.3801793301032499E-3</v>
      </c>
      <c r="P2465">
        <v>0</v>
      </c>
      <c r="Q2465">
        <v>0</v>
      </c>
      <c r="R2465">
        <v>0</v>
      </c>
      <c r="S2465">
        <v>0</v>
      </c>
      <c r="T2465">
        <v>1307.598583</v>
      </c>
      <c r="U2465">
        <f t="shared" si="76"/>
        <v>0</v>
      </c>
      <c r="V2465">
        <f t="shared" si="77"/>
        <v>0</v>
      </c>
    </row>
    <row r="2466" spans="1:22" x14ac:dyDescent="0.2">
      <c r="A2466" t="s">
        <v>4149</v>
      </c>
      <c r="B2466" t="s">
        <v>52</v>
      </c>
      <c r="C2466" t="s">
        <v>76</v>
      </c>
      <c r="D2466" t="s">
        <v>77</v>
      </c>
      <c r="E2466">
        <v>20</v>
      </c>
      <c r="F2466" t="s">
        <v>104</v>
      </c>
      <c r="G2466">
        <v>94</v>
      </c>
      <c r="H2466">
        <v>42095577</v>
      </c>
      <c r="I2466">
        <v>146413269</v>
      </c>
      <c r="J2466">
        <v>11</v>
      </c>
      <c r="K2466">
        <v>18</v>
      </c>
      <c r="L2466">
        <v>104317692</v>
      </c>
      <c r="M2466" s="1" t="s">
        <v>4240</v>
      </c>
      <c r="N2466" s="1" t="s">
        <v>4241</v>
      </c>
      <c r="O2466">
        <v>3.8382055863228101E-3</v>
      </c>
      <c r="P2466">
        <v>0</v>
      </c>
      <c r="Q2466">
        <v>0</v>
      </c>
      <c r="R2466">
        <v>0</v>
      </c>
      <c r="S2466">
        <v>0</v>
      </c>
      <c r="T2466">
        <v>1307.598583</v>
      </c>
      <c r="U2466">
        <f t="shared" si="76"/>
        <v>0</v>
      </c>
      <c r="V2466">
        <f t="shared" si="77"/>
        <v>0</v>
      </c>
    </row>
    <row r="2467" spans="1:22" x14ac:dyDescent="0.2">
      <c r="A2467" t="s">
        <v>4149</v>
      </c>
      <c r="B2467" t="s">
        <v>52</v>
      </c>
      <c r="C2467" t="s">
        <v>76</v>
      </c>
      <c r="D2467" t="s">
        <v>77</v>
      </c>
      <c r="E2467">
        <v>11</v>
      </c>
      <c r="F2467" t="s">
        <v>127</v>
      </c>
      <c r="G2467">
        <v>59</v>
      </c>
      <c r="H2467">
        <v>18949951</v>
      </c>
      <c r="I2467">
        <v>9129384</v>
      </c>
      <c r="J2467">
        <v>4</v>
      </c>
      <c r="K2467">
        <v>23</v>
      </c>
      <c r="L2467">
        <v>-9820567</v>
      </c>
      <c r="M2467" s="1" t="s">
        <v>4242</v>
      </c>
      <c r="N2467" s="1" t="s">
        <v>4243</v>
      </c>
      <c r="O2467" s="1" t="s">
        <v>4244</v>
      </c>
      <c r="P2467">
        <v>1</v>
      </c>
      <c r="Q2467">
        <v>0</v>
      </c>
      <c r="R2467">
        <v>1</v>
      </c>
      <c r="S2467">
        <v>0</v>
      </c>
      <c r="T2467">
        <v>1307.598583</v>
      </c>
      <c r="U2467">
        <f t="shared" si="76"/>
        <v>1</v>
      </c>
      <c r="V2467">
        <f t="shared" si="77"/>
        <v>1</v>
      </c>
    </row>
    <row r="2468" spans="1:22" x14ac:dyDescent="0.2">
      <c r="A2468" t="s">
        <v>4149</v>
      </c>
      <c r="B2468" t="s">
        <v>52</v>
      </c>
      <c r="C2468" t="s">
        <v>76</v>
      </c>
      <c r="D2468" t="s">
        <v>77</v>
      </c>
      <c r="E2468">
        <v>17</v>
      </c>
      <c r="F2468" t="s">
        <v>97</v>
      </c>
      <c r="G2468">
        <v>86</v>
      </c>
      <c r="H2468">
        <v>318543729</v>
      </c>
      <c r="I2468">
        <v>676685049</v>
      </c>
      <c r="J2468">
        <v>3</v>
      </c>
      <c r="K2468">
        <v>1</v>
      </c>
      <c r="L2468">
        <v>358141320</v>
      </c>
      <c r="M2468" s="1" t="s">
        <v>4245</v>
      </c>
      <c r="N2468" s="1" t="s">
        <v>4246</v>
      </c>
      <c r="O2468" s="1" t="s">
        <v>4247</v>
      </c>
      <c r="P2468">
        <v>1</v>
      </c>
      <c r="Q2468">
        <v>1</v>
      </c>
      <c r="R2468">
        <v>1</v>
      </c>
      <c r="S2468">
        <v>1</v>
      </c>
      <c r="T2468">
        <v>1307.598583</v>
      </c>
      <c r="U2468">
        <f t="shared" si="76"/>
        <v>1</v>
      </c>
      <c r="V2468">
        <f t="shared" si="77"/>
        <v>1</v>
      </c>
    </row>
    <row r="2469" spans="1:22" x14ac:dyDescent="0.2">
      <c r="A2469" t="s">
        <v>4149</v>
      </c>
      <c r="B2469" t="s">
        <v>52</v>
      </c>
      <c r="C2469" t="s">
        <v>76</v>
      </c>
      <c r="D2469" t="s">
        <v>77</v>
      </c>
      <c r="E2469" s="1" t="s">
        <v>82</v>
      </c>
      <c r="F2469" t="s">
        <v>83</v>
      </c>
      <c r="G2469">
        <v>10</v>
      </c>
      <c r="H2469">
        <v>25253464</v>
      </c>
      <c r="I2469">
        <v>885</v>
      </c>
      <c r="J2469">
        <v>74</v>
      </c>
      <c r="K2469">
        <v>59</v>
      </c>
      <c r="L2469">
        <v>-25252579</v>
      </c>
      <c r="M2469" s="1" t="s">
        <v>4248</v>
      </c>
      <c r="N2469" s="1" t="s">
        <v>4249</v>
      </c>
      <c r="O2469" s="1" t="s">
        <v>4250</v>
      </c>
      <c r="P2469">
        <v>0</v>
      </c>
      <c r="Q2469">
        <v>0</v>
      </c>
      <c r="R2469">
        <v>0</v>
      </c>
      <c r="S2469">
        <v>0</v>
      </c>
      <c r="T2469">
        <v>1307.598583</v>
      </c>
      <c r="U2469">
        <f t="shared" si="76"/>
        <v>0</v>
      </c>
      <c r="V2469">
        <f t="shared" si="77"/>
        <v>0</v>
      </c>
    </row>
    <row r="2470" spans="1:22" x14ac:dyDescent="0.2">
      <c r="A2470" t="s">
        <v>4149</v>
      </c>
      <c r="B2470" t="s">
        <v>52</v>
      </c>
      <c r="C2470" t="s">
        <v>76</v>
      </c>
      <c r="D2470" t="s">
        <v>77</v>
      </c>
      <c r="E2470">
        <v>11</v>
      </c>
      <c r="F2470" t="s">
        <v>127</v>
      </c>
      <c r="G2470">
        <v>54</v>
      </c>
      <c r="H2470">
        <v>14991602</v>
      </c>
      <c r="I2470">
        <v>12198491</v>
      </c>
      <c r="J2470">
        <v>6</v>
      </c>
      <c r="K2470">
        <v>15</v>
      </c>
      <c r="L2470">
        <v>-2793111</v>
      </c>
      <c r="M2470">
        <v>0.55136265992175904</v>
      </c>
      <c r="N2470">
        <v>0.44863734007824102</v>
      </c>
      <c r="O2470" s="1" t="s">
        <v>4251</v>
      </c>
      <c r="P2470">
        <v>0</v>
      </c>
      <c r="Q2470">
        <v>0</v>
      </c>
      <c r="R2470">
        <v>1</v>
      </c>
      <c r="S2470">
        <v>0</v>
      </c>
      <c r="T2470">
        <v>1307.598583</v>
      </c>
      <c r="U2470">
        <f t="shared" si="76"/>
        <v>0</v>
      </c>
      <c r="V2470">
        <f t="shared" si="77"/>
        <v>1</v>
      </c>
    </row>
    <row r="2471" spans="1:22" x14ac:dyDescent="0.2">
      <c r="A2471" t="s">
        <v>4149</v>
      </c>
      <c r="B2471" t="s">
        <v>52</v>
      </c>
      <c r="C2471" t="s">
        <v>76</v>
      </c>
      <c r="D2471" t="s">
        <v>77</v>
      </c>
      <c r="E2471" s="1" t="s">
        <v>155</v>
      </c>
      <c r="F2471" t="s">
        <v>156</v>
      </c>
      <c r="G2471" s="1" t="s">
        <v>85</v>
      </c>
      <c r="H2471">
        <v>932418</v>
      </c>
      <c r="I2471">
        <v>4295104</v>
      </c>
      <c r="J2471">
        <v>23</v>
      </c>
      <c r="K2471">
        <v>17</v>
      </c>
      <c r="L2471">
        <v>3362686</v>
      </c>
      <c r="M2471" s="1" t="s">
        <v>4252</v>
      </c>
      <c r="N2471" s="1" t="s">
        <v>4253</v>
      </c>
      <c r="O2471" s="1" t="s">
        <v>4254</v>
      </c>
      <c r="P2471">
        <v>0</v>
      </c>
      <c r="Q2471">
        <v>0</v>
      </c>
      <c r="R2471">
        <v>0</v>
      </c>
      <c r="S2471">
        <v>0</v>
      </c>
      <c r="T2471">
        <v>1307.598583</v>
      </c>
      <c r="U2471">
        <f t="shared" si="76"/>
        <v>0</v>
      </c>
      <c r="V2471">
        <f t="shared" si="77"/>
        <v>0</v>
      </c>
    </row>
    <row r="2472" spans="1:22" x14ac:dyDescent="0.2">
      <c r="A2472" t="s">
        <v>4149</v>
      </c>
      <c r="B2472" t="s">
        <v>52</v>
      </c>
      <c r="C2472" t="s">
        <v>76</v>
      </c>
      <c r="D2472" t="s">
        <v>77</v>
      </c>
      <c r="E2472">
        <v>11</v>
      </c>
      <c r="F2472" t="s">
        <v>127</v>
      </c>
      <c r="G2472">
        <v>62</v>
      </c>
      <c r="H2472">
        <v>5044127</v>
      </c>
      <c r="I2472">
        <v>9484821</v>
      </c>
      <c r="J2472">
        <v>16</v>
      </c>
      <c r="K2472">
        <v>38</v>
      </c>
      <c r="L2472">
        <v>4440694</v>
      </c>
      <c r="M2472" s="1" t="s">
        <v>4255</v>
      </c>
      <c r="N2472" s="1" t="s">
        <v>4256</v>
      </c>
      <c r="O2472" s="1" t="s">
        <v>4257</v>
      </c>
      <c r="P2472">
        <v>0</v>
      </c>
      <c r="Q2472">
        <v>0</v>
      </c>
      <c r="R2472">
        <v>0</v>
      </c>
      <c r="S2472">
        <v>0</v>
      </c>
      <c r="T2472">
        <v>1307.598583</v>
      </c>
      <c r="U2472">
        <f t="shared" si="76"/>
        <v>0</v>
      </c>
      <c r="V2472">
        <f t="shared" si="77"/>
        <v>0</v>
      </c>
    </row>
    <row r="2473" spans="1:22" x14ac:dyDescent="0.2">
      <c r="A2473" t="s">
        <v>4149</v>
      </c>
      <c r="B2473" t="s">
        <v>52</v>
      </c>
      <c r="C2473" t="s">
        <v>76</v>
      </c>
      <c r="D2473" t="s">
        <v>77</v>
      </c>
      <c r="E2473" s="1" t="s">
        <v>110</v>
      </c>
      <c r="F2473" t="s">
        <v>111</v>
      </c>
      <c r="G2473">
        <v>15</v>
      </c>
      <c r="H2473">
        <v>9444994</v>
      </c>
      <c r="I2473">
        <v>24081105</v>
      </c>
      <c r="J2473">
        <v>41</v>
      </c>
      <c r="K2473">
        <v>16</v>
      </c>
      <c r="L2473">
        <v>14636111</v>
      </c>
      <c r="M2473" s="1" t="s">
        <v>4258</v>
      </c>
      <c r="N2473" s="1" t="s">
        <v>4259</v>
      </c>
      <c r="O2473" s="1" t="s">
        <v>4260</v>
      </c>
      <c r="P2473">
        <v>0</v>
      </c>
      <c r="Q2473">
        <v>0</v>
      </c>
      <c r="R2473">
        <v>0</v>
      </c>
      <c r="S2473">
        <v>0</v>
      </c>
      <c r="T2473">
        <v>1307.598583</v>
      </c>
      <c r="U2473">
        <f t="shared" si="76"/>
        <v>0</v>
      </c>
      <c r="V2473">
        <f t="shared" si="77"/>
        <v>0</v>
      </c>
    </row>
    <row r="2474" spans="1:22" x14ac:dyDescent="0.2">
      <c r="A2474" t="s">
        <v>4149</v>
      </c>
      <c r="B2474" t="s">
        <v>52</v>
      </c>
      <c r="C2474" t="s">
        <v>76</v>
      </c>
      <c r="D2474" t="s">
        <v>77</v>
      </c>
      <c r="E2474">
        <v>12</v>
      </c>
      <c r="F2474" t="s">
        <v>194</v>
      </c>
      <c r="G2474">
        <v>64</v>
      </c>
      <c r="H2474">
        <v>8254475</v>
      </c>
      <c r="I2474">
        <v>65624989</v>
      </c>
      <c r="J2474">
        <v>6</v>
      </c>
      <c r="K2474">
        <v>19</v>
      </c>
      <c r="L2474">
        <v>57370514</v>
      </c>
      <c r="M2474" s="1" t="s">
        <v>4261</v>
      </c>
      <c r="N2474" s="1" t="s">
        <v>4262</v>
      </c>
      <c r="O2474">
        <v>1.50425074184229E-3</v>
      </c>
      <c r="P2474">
        <v>0</v>
      </c>
      <c r="Q2474">
        <v>0</v>
      </c>
      <c r="R2474">
        <v>1</v>
      </c>
      <c r="S2474">
        <v>0</v>
      </c>
      <c r="T2474">
        <v>1307.598583</v>
      </c>
      <c r="U2474">
        <f t="shared" si="76"/>
        <v>0</v>
      </c>
      <c r="V2474">
        <f t="shared" si="77"/>
        <v>1</v>
      </c>
    </row>
    <row r="2475" spans="1:22" x14ac:dyDescent="0.2">
      <c r="A2475" t="s">
        <v>4149</v>
      </c>
      <c r="B2475" t="s">
        <v>52</v>
      </c>
      <c r="C2475" t="s">
        <v>76</v>
      </c>
      <c r="D2475" t="s">
        <v>77</v>
      </c>
      <c r="E2475">
        <v>11</v>
      </c>
      <c r="F2475" t="s">
        <v>127</v>
      </c>
      <c r="G2475">
        <v>55</v>
      </c>
      <c r="H2475">
        <v>5925871</v>
      </c>
      <c r="I2475">
        <v>31717283</v>
      </c>
      <c r="J2475">
        <v>10</v>
      </c>
      <c r="K2475">
        <v>14</v>
      </c>
      <c r="L2475">
        <v>25791412</v>
      </c>
      <c r="M2475" s="1" t="s">
        <v>4263</v>
      </c>
      <c r="N2475" s="1" t="s">
        <v>4264</v>
      </c>
      <c r="O2475" s="1" t="s">
        <v>4265</v>
      </c>
      <c r="P2475">
        <v>0</v>
      </c>
      <c r="Q2475">
        <v>0</v>
      </c>
      <c r="R2475">
        <v>1</v>
      </c>
      <c r="S2475">
        <v>0</v>
      </c>
      <c r="T2475">
        <v>1307.598583</v>
      </c>
      <c r="U2475">
        <f t="shared" si="76"/>
        <v>0</v>
      </c>
      <c r="V2475">
        <f t="shared" si="77"/>
        <v>1</v>
      </c>
    </row>
    <row r="2476" spans="1:22" x14ac:dyDescent="0.2">
      <c r="A2476" t="s">
        <v>4149</v>
      </c>
      <c r="B2476" t="s">
        <v>52</v>
      </c>
      <c r="C2476" t="s">
        <v>76</v>
      </c>
      <c r="D2476" t="s">
        <v>77</v>
      </c>
      <c r="E2476" s="1" t="s">
        <v>93</v>
      </c>
      <c r="F2476" t="s">
        <v>94</v>
      </c>
      <c r="G2476">
        <v>45</v>
      </c>
      <c r="H2476">
        <v>897912</v>
      </c>
      <c r="I2476">
        <v>1746739</v>
      </c>
      <c r="J2476">
        <v>5</v>
      </c>
      <c r="K2476">
        <v>9</v>
      </c>
      <c r="L2476">
        <v>848827</v>
      </c>
      <c r="M2476" s="1" t="s">
        <v>4266</v>
      </c>
      <c r="N2476" s="1" t="s">
        <v>4267</v>
      </c>
      <c r="O2476" s="1" t="s">
        <v>4268</v>
      </c>
      <c r="P2476">
        <v>1</v>
      </c>
      <c r="Q2476">
        <v>0</v>
      </c>
      <c r="R2476">
        <v>1</v>
      </c>
      <c r="S2476">
        <v>1</v>
      </c>
      <c r="T2476">
        <v>1307.598583</v>
      </c>
      <c r="U2476">
        <f t="shared" si="76"/>
        <v>1</v>
      </c>
      <c r="V2476">
        <f t="shared" si="77"/>
        <v>1</v>
      </c>
    </row>
    <row r="2477" spans="1:22" x14ac:dyDescent="0.2">
      <c r="A2477" t="s">
        <v>4149</v>
      </c>
      <c r="B2477" t="s">
        <v>52</v>
      </c>
      <c r="C2477" t="s">
        <v>76</v>
      </c>
      <c r="D2477" t="s">
        <v>77</v>
      </c>
      <c r="E2477">
        <v>11</v>
      </c>
      <c r="F2477" t="s">
        <v>127</v>
      </c>
      <c r="G2477">
        <v>60</v>
      </c>
      <c r="H2477">
        <v>1519837</v>
      </c>
      <c r="I2477">
        <v>3970200</v>
      </c>
      <c r="J2477">
        <v>5</v>
      </c>
      <c r="K2477">
        <v>21</v>
      </c>
      <c r="L2477">
        <v>2450363</v>
      </c>
      <c r="M2477" s="1" t="s">
        <v>4269</v>
      </c>
      <c r="N2477" s="1" t="s">
        <v>4270</v>
      </c>
      <c r="O2477" s="1" t="s">
        <v>4271</v>
      </c>
      <c r="P2477">
        <v>1</v>
      </c>
      <c r="Q2477">
        <v>0</v>
      </c>
      <c r="R2477">
        <v>1</v>
      </c>
      <c r="S2477">
        <v>0</v>
      </c>
      <c r="T2477">
        <v>1307.598583</v>
      </c>
      <c r="U2477">
        <f t="shared" si="76"/>
        <v>1</v>
      </c>
      <c r="V2477">
        <f t="shared" si="77"/>
        <v>1</v>
      </c>
    </row>
    <row r="2478" spans="1:22" x14ac:dyDescent="0.2">
      <c r="A2478" t="s">
        <v>4149</v>
      </c>
      <c r="B2478" t="s">
        <v>52</v>
      </c>
      <c r="C2478" t="s">
        <v>76</v>
      </c>
      <c r="D2478" t="s">
        <v>77</v>
      </c>
      <c r="E2478" s="1" t="s">
        <v>138</v>
      </c>
      <c r="F2478" t="s">
        <v>139</v>
      </c>
      <c r="G2478">
        <v>18</v>
      </c>
      <c r="H2478">
        <v>3182316</v>
      </c>
      <c r="I2478">
        <v>144401973</v>
      </c>
      <c r="J2478">
        <v>36</v>
      </c>
      <c r="K2478">
        <v>10</v>
      </c>
      <c r="L2478">
        <v>141219657</v>
      </c>
      <c r="M2478">
        <v>2.15627017046509E-2</v>
      </c>
      <c r="N2478" s="1" t="s">
        <v>4272</v>
      </c>
      <c r="O2478">
        <v>3.0049456803384199E-3</v>
      </c>
      <c r="P2478">
        <v>0</v>
      </c>
      <c r="Q2478">
        <v>0</v>
      </c>
      <c r="R2478">
        <v>0</v>
      </c>
      <c r="S2478">
        <v>1</v>
      </c>
      <c r="T2478">
        <v>1307.598583</v>
      </c>
      <c r="U2478">
        <f t="shared" si="76"/>
        <v>0</v>
      </c>
      <c r="V2478">
        <f t="shared" si="77"/>
        <v>1</v>
      </c>
    </row>
    <row r="2479" spans="1:22" x14ac:dyDescent="0.2">
      <c r="A2479" t="s">
        <v>4149</v>
      </c>
      <c r="B2479" t="s">
        <v>52</v>
      </c>
      <c r="C2479" t="s">
        <v>76</v>
      </c>
      <c r="D2479" t="s">
        <v>77</v>
      </c>
      <c r="E2479">
        <v>11</v>
      </c>
      <c r="F2479" t="s">
        <v>127</v>
      </c>
      <c r="G2479">
        <v>61</v>
      </c>
      <c r="H2479">
        <v>4474459</v>
      </c>
      <c r="I2479">
        <v>48800832</v>
      </c>
      <c r="J2479">
        <v>8</v>
      </c>
      <c r="K2479">
        <v>28</v>
      </c>
      <c r="L2479">
        <v>44326373</v>
      </c>
      <c r="M2479">
        <v>8.3987509331483495E-2</v>
      </c>
      <c r="N2479" s="1" t="s">
        <v>4273</v>
      </c>
      <c r="O2479">
        <v>1.08473169226856E-3</v>
      </c>
      <c r="P2479">
        <v>0</v>
      </c>
      <c r="Q2479">
        <v>0</v>
      </c>
      <c r="R2479">
        <v>1</v>
      </c>
      <c r="S2479">
        <v>0</v>
      </c>
      <c r="T2479">
        <v>1307.598583</v>
      </c>
      <c r="U2479">
        <f t="shared" si="76"/>
        <v>0</v>
      </c>
      <c r="V2479">
        <f t="shared" si="77"/>
        <v>1</v>
      </c>
    </row>
    <row r="2480" spans="1:22" x14ac:dyDescent="0.2">
      <c r="A2480" t="s">
        <v>4149</v>
      </c>
      <c r="B2480" t="s">
        <v>52</v>
      </c>
      <c r="C2480" t="s">
        <v>76</v>
      </c>
      <c r="D2480" t="s">
        <v>77</v>
      </c>
      <c r="E2480" s="1" t="s">
        <v>82</v>
      </c>
      <c r="F2480" t="s">
        <v>83</v>
      </c>
      <c r="G2480">
        <v>13</v>
      </c>
      <c r="H2480">
        <v>3783362</v>
      </c>
      <c r="I2480">
        <v>1774833</v>
      </c>
      <c r="J2480">
        <v>4</v>
      </c>
      <c r="K2480">
        <v>27</v>
      </c>
      <c r="L2480">
        <v>-2008529</v>
      </c>
      <c r="M2480" s="1" t="s">
        <v>4274</v>
      </c>
      <c r="N2480" s="1" t="s">
        <v>4275</v>
      </c>
      <c r="O2480" s="1" t="s">
        <v>4276</v>
      </c>
      <c r="P2480">
        <v>1</v>
      </c>
      <c r="Q2480">
        <v>0</v>
      </c>
      <c r="R2480">
        <v>1</v>
      </c>
      <c r="S2480">
        <v>0</v>
      </c>
      <c r="T2480">
        <v>1307.598583</v>
      </c>
      <c r="U2480">
        <f t="shared" si="76"/>
        <v>1</v>
      </c>
      <c r="V2480">
        <f t="shared" si="77"/>
        <v>1</v>
      </c>
    </row>
    <row r="2481" spans="1:22" x14ac:dyDescent="0.2">
      <c r="A2481" t="s">
        <v>4149</v>
      </c>
      <c r="B2481" t="s">
        <v>52</v>
      </c>
      <c r="C2481" t="s">
        <v>76</v>
      </c>
      <c r="D2481" t="s">
        <v>77</v>
      </c>
      <c r="E2481">
        <v>17</v>
      </c>
      <c r="F2481" t="s">
        <v>97</v>
      </c>
      <c r="G2481">
        <v>89</v>
      </c>
      <c r="H2481">
        <v>3259722</v>
      </c>
      <c r="I2481">
        <v>162101204</v>
      </c>
      <c r="J2481">
        <v>23</v>
      </c>
      <c r="K2481">
        <v>6</v>
      </c>
      <c r="L2481">
        <v>158841482</v>
      </c>
      <c r="M2481" s="1" t="s">
        <v>4277</v>
      </c>
      <c r="N2481" s="1" t="s">
        <v>4278</v>
      </c>
      <c r="O2481">
        <v>3.3668936148105902E-3</v>
      </c>
      <c r="P2481">
        <v>0</v>
      </c>
      <c r="Q2481">
        <v>0</v>
      </c>
      <c r="R2481">
        <v>0</v>
      </c>
      <c r="S2481">
        <v>1</v>
      </c>
      <c r="T2481">
        <v>1307.598583</v>
      </c>
      <c r="U2481">
        <f t="shared" si="76"/>
        <v>0</v>
      </c>
      <c r="V2481">
        <f t="shared" si="77"/>
        <v>1</v>
      </c>
    </row>
    <row r="2482" spans="1:22" x14ac:dyDescent="0.2">
      <c r="A2482" t="s">
        <v>4149</v>
      </c>
      <c r="B2482" t="s">
        <v>52</v>
      </c>
      <c r="C2482" t="s">
        <v>76</v>
      </c>
      <c r="D2482" t="s">
        <v>77</v>
      </c>
      <c r="E2482">
        <v>14</v>
      </c>
      <c r="F2482" t="s">
        <v>261</v>
      </c>
      <c r="G2482">
        <v>71</v>
      </c>
      <c r="H2482">
        <v>3973798</v>
      </c>
      <c r="I2482">
        <v>905826</v>
      </c>
      <c r="J2482">
        <v>39</v>
      </c>
      <c r="K2482">
        <v>38</v>
      </c>
      <c r="L2482">
        <v>-3067972</v>
      </c>
      <c r="M2482" s="1" t="s">
        <v>4279</v>
      </c>
      <c r="N2482" s="1" t="s">
        <v>4280</v>
      </c>
      <c r="O2482" s="1" t="s">
        <v>4281</v>
      </c>
      <c r="P2482">
        <v>0</v>
      </c>
      <c r="Q2482">
        <v>0</v>
      </c>
      <c r="R2482">
        <v>0</v>
      </c>
      <c r="S2482">
        <v>0</v>
      </c>
      <c r="T2482">
        <v>1307.598583</v>
      </c>
      <c r="U2482">
        <f t="shared" si="76"/>
        <v>0</v>
      </c>
      <c r="V2482">
        <f t="shared" si="77"/>
        <v>0</v>
      </c>
    </row>
    <row r="2483" spans="1:22" x14ac:dyDescent="0.2">
      <c r="A2483" t="s">
        <v>4149</v>
      </c>
      <c r="B2483" t="s">
        <v>52</v>
      </c>
      <c r="C2483" t="s">
        <v>76</v>
      </c>
      <c r="D2483" t="s">
        <v>77</v>
      </c>
      <c r="E2483" s="1" t="s">
        <v>138</v>
      </c>
      <c r="F2483" t="s">
        <v>139</v>
      </c>
      <c r="G2483">
        <v>19</v>
      </c>
      <c r="H2483">
        <v>3001689</v>
      </c>
      <c r="I2483">
        <v>24105724</v>
      </c>
      <c r="J2483">
        <v>23</v>
      </c>
      <c r="K2483">
        <v>22</v>
      </c>
      <c r="L2483">
        <v>21104035</v>
      </c>
      <c r="M2483" s="1" t="s">
        <v>4282</v>
      </c>
      <c r="N2483" s="1" t="s">
        <v>4283</v>
      </c>
      <c r="O2483" s="1" t="s">
        <v>4284</v>
      </c>
      <c r="P2483">
        <v>0</v>
      </c>
      <c r="Q2483">
        <v>0</v>
      </c>
      <c r="R2483">
        <v>0</v>
      </c>
      <c r="S2483">
        <v>0</v>
      </c>
      <c r="T2483">
        <v>1307.598583</v>
      </c>
      <c r="U2483">
        <f t="shared" si="76"/>
        <v>0</v>
      </c>
      <c r="V2483">
        <f t="shared" si="77"/>
        <v>0</v>
      </c>
    </row>
    <row r="2484" spans="1:22" x14ac:dyDescent="0.2">
      <c r="A2484" t="s">
        <v>4149</v>
      </c>
      <c r="B2484" t="s">
        <v>52</v>
      </c>
      <c r="C2484" t="s">
        <v>76</v>
      </c>
      <c r="D2484" t="s">
        <v>77</v>
      </c>
      <c r="E2484">
        <v>11</v>
      </c>
      <c r="F2484" t="s">
        <v>127</v>
      </c>
      <c r="G2484">
        <v>51</v>
      </c>
      <c r="H2484">
        <v>1087162</v>
      </c>
      <c r="I2484">
        <v>2356516</v>
      </c>
      <c r="J2484">
        <v>11</v>
      </c>
      <c r="K2484">
        <v>15</v>
      </c>
      <c r="L2484">
        <v>1269354</v>
      </c>
      <c r="M2484" s="1" t="s">
        <v>4285</v>
      </c>
      <c r="N2484">
        <v>0.68430207470036397</v>
      </c>
      <c r="O2484" s="1" t="s">
        <v>4286</v>
      </c>
      <c r="P2484">
        <v>0</v>
      </c>
      <c r="Q2484">
        <v>0</v>
      </c>
      <c r="R2484">
        <v>0</v>
      </c>
      <c r="S2484">
        <v>0</v>
      </c>
      <c r="T2484">
        <v>1307.598583</v>
      </c>
      <c r="U2484">
        <f t="shared" si="76"/>
        <v>0</v>
      </c>
      <c r="V2484">
        <f t="shared" si="77"/>
        <v>0</v>
      </c>
    </row>
    <row r="2485" spans="1:22" x14ac:dyDescent="0.2">
      <c r="A2485" t="s">
        <v>4149</v>
      </c>
      <c r="B2485" t="s">
        <v>52</v>
      </c>
      <c r="C2485" t="s">
        <v>76</v>
      </c>
      <c r="D2485" t="s">
        <v>77</v>
      </c>
      <c r="E2485">
        <v>11</v>
      </c>
      <c r="F2485" t="s">
        <v>127</v>
      </c>
      <c r="G2485">
        <v>63</v>
      </c>
      <c r="H2485">
        <v>6502674</v>
      </c>
      <c r="I2485">
        <v>41913388</v>
      </c>
      <c r="J2485">
        <v>14</v>
      </c>
      <c r="K2485">
        <v>16</v>
      </c>
      <c r="L2485">
        <v>35410714</v>
      </c>
      <c r="M2485" s="1" t="s">
        <v>4287</v>
      </c>
      <c r="N2485" s="1" t="s">
        <v>4288</v>
      </c>
      <c r="O2485" s="1" t="s">
        <v>4289</v>
      </c>
      <c r="P2485">
        <v>0</v>
      </c>
      <c r="Q2485">
        <v>0</v>
      </c>
      <c r="R2485">
        <v>0</v>
      </c>
      <c r="S2485">
        <v>0</v>
      </c>
      <c r="T2485">
        <v>1307.598583</v>
      </c>
      <c r="U2485">
        <f t="shared" si="76"/>
        <v>0</v>
      </c>
      <c r="V2485">
        <f t="shared" si="77"/>
        <v>0</v>
      </c>
    </row>
    <row r="2486" spans="1:22" x14ac:dyDescent="0.2">
      <c r="A2486" t="s">
        <v>4149</v>
      </c>
      <c r="B2486" t="s">
        <v>52</v>
      </c>
      <c r="C2486" t="s">
        <v>76</v>
      </c>
      <c r="D2486" t="s">
        <v>77</v>
      </c>
      <c r="E2486" s="1" t="s">
        <v>89</v>
      </c>
      <c r="F2486" t="s">
        <v>90</v>
      </c>
      <c r="G2486">
        <v>35</v>
      </c>
      <c r="H2486">
        <v>6577608</v>
      </c>
      <c r="I2486">
        <v>25478524</v>
      </c>
      <c r="J2486">
        <v>4</v>
      </c>
      <c r="K2486">
        <v>23</v>
      </c>
      <c r="L2486">
        <v>18900916</v>
      </c>
      <c r="M2486" s="1" t="s">
        <v>4290</v>
      </c>
      <c r="N2486" s="1" t="s">
        <v>4291</v>
      </c>
      <c r="O2486" s="1" t="s">
        <v>4292</v>
      </c>
      <c r="P2486">
        <v>1</v>
      </c>
      <c r="Q2486">
        <v>0</v>
      </c>
      <c r="R2486">
        <v>1</v>
      </c>
      <c r="S2486">
        <v>0</v>
      </c>
      <c r="T2486">
        <v>1307.598583</v>
      </c>
      <c r="U2486">
        <f t="shared" si="76"/>
        <v>1</v>
      </c>
      <c r="V2486">
        <f t="shared" si="77"/>
        <v>1</v>
      </c>
    </row>
    <row r="2487" spans="1:22" x14ac:dyDescent="0.2">
      <c r="A2487" t="s">
        <v>4149</v>
      </c>
      <c r="B2487" t="s">
        <v>52</v>
      </c>
      <c r="C2487" t="s">
        <v>76</v>
      </c>
      <c r="D2487" t="s">
        <v>77</v>
      </c>
      <c r="E2487" s="1" t="s">
        <v>138</v>
      </c>
      <c r="F2487" t="s">
        <v>139</v>
      </c>
      <c r="G2487">
        <v>20</v>
      </c>
      <c r="H2487">
        <v>6422672</v>
      </c>
      <c r="I2487">
        <v>29647378</v>
      </c>
      <c r="J2487">
        <v>14</v>
      </c>
      <c r="K2487">
        <v>32</v>
      </c>
      <c r="L2487">
        <v>23224706</v>
      </c>
      <c r="M2487" s="1" t="s">
        <v>4293</v>
      </c>
      <c r="N2487" s="1" t="s">
        <v>4294</v>
      </c>
      <c r="O2487" s="1" t="s">
        <v>4295</v>
      </c>
      <c r="P2487">
        <v>0</v>
      </c>
      <c r="Q2487">
        <v>0</v>
      </c>
      <c r="R2487">
        <v>0</v>
      </c>
      <c r="S2487">
        <v>0</v>
      </c>
      <c r="T2487">
        <v>1307.598583</v>
      </c>
      <c r="U2487">
        <f t="shared" si="76"/>
        <v>0</v>
      </c>
      <c r="V2487">
        <f t="shared" si="77"/>
        <v>0</v>
      </c>
    </row>
    <row r="2488" spans="1:22" x14ac:dyDescent="0.2">
      <c r="A2488" t="s">
        <v>4149</v>
      </c>
      <c r="B2488" t="s">
        <v>52</v>
      </c>
      <c r="C2488" t="s">
        <v>76</v>
      </c>
      <c r="D2488" t="s">
        <v>77</v>
      </c>
      <c r="E2488">
        <v>12</v>
      </c>
      <c r="F2488" t="s">
        <v>194</v>
      </c>
      <c r="G2488">
        <v>65</v>
      </c>
      <c r="H2488">
        <v>714933</v>
      </c>
      <c r="I2488">
        <v>655720</v>
      </c>
      <c r="J2488">
        <v>4</v>
      </c>
      <c r="K2488">
        <v>37</v>
      </c>
      <c r="L2488">
        <v>-59213</v>
      </c>
      <c r="M2488" s="1" t="s">
        <v>4296</v>
      </c>
      <c r="N2488" s="1" t="s">
        <v>4297</v>
      </c>
      <c r="O2488" s="1" t="s">
        <v>4298</v>
      </c>
      <c r="P2488">
        <v>1</v>
      </c>
      <c r="Q2488">
        <v>0</v>
      </c>
      <c r="R2488">
        <v>1</v>
      </c>
      <c r="S2488">
        <v>0</v>
      </c>
      <c r="T2488">
        <v>1307.598583</v>
      </c>
      <c r="U2488">
        <f t="shared" si="76"/>
        <v>1</v>
      </c>
      <c r="V2488">
        <f t="shared" si="77"/>
        <v>1</v>
      </c>
    </row>
    <row r="2489" spans="1:22" x14ac:dyDescent="0.2">
      <c r="A2489" t="s">
        <v>4149</v>
      </c>
      <c r="B2489" t="s">
        <v>52</v>
      </c>
      <c r="C2489" t="s">
        <v>76</v>
      </c>
      <c r="D2489" t="s">
        <v>77</v>
      </c>
      <c r="E2489" s="1" t="s">
        <v>82</v>
      </c>
      <c r="F2489" t="s">
        <v>83</v>
      </c>
      <c r="G2489">
        <v>12</v>
      </c>
      <c r="H2489">
        <v>6987496</v>
      </c>
      <c r="I2489">
        <v>4074305</v>
      </c>
      <c r="J2489">
        <v>30</v>
      </c>
      <c r="K2489">
        <v>36</v>
      </c>
      <c r="L2489">
        <v>-2913191</v>
      </c>
      <c r="M2489" s="1" t="s">
        <v>4299</v>
      </c>
      <c r="N2489" s="1" t="s">
        <v>4300</v>
      </c>
      <c r="O2489" s="1" t="s">
        <v>4301</v>
      </c>
      <c r="P2489">
        <v>0</v>
      </c>
      <c r="Q2489">
        <v>0</v>
      </c>
      <c r="R2489">
        <v>0</v>
      </c>
      <c r="S2489">
        <v>0</v>
      </c>
      <c r="T2489">
        <v>1307.598583</v>
      </c>
      <c r="U2489">
        <f t="shared" si="76"/>
        <v>0</v>
      </c>
      <c r="V2489">
        <f t="shared" si="77"/>
        <v>0</v>
      </c>
    </row>
    <row r="2490" spans="1:22" x14ac:dyDescent="0.2">
      <c r="A2490" t="s">
        <v>4149</v>
      </c>
      <c r="B2490" t="s">
        <v>52</v>
      </c>
      <c r="C2490" t="s">
        <v>76</v>
      </c>
      <c r="D2490" t="s">
        <v>77</v>
      </c>
      <c r="E2490" s="1" t="s">
        <v>155</v>
      </c>
      <c r="F2490" t="s">
        <v>156</v>
      </c>
      <c r="G2490" s="1" t="s">
        <v>138</v>
      </c>
      <c r="H2490">
        <v>196856</v>
      </c>
      <c r="I2490">
        <v>24260</v>
      </c>
      <c r="J2490">
        <v>34</v>
      </c>
      <c r="K2490">
        <v>56</v>
      </c>
      <c r="L2490">
        <v>-172596</v>
      </c>
      <c r="M2490" s="1" t="s">
        <v>4302</v>
      </c>
      <c r="N2490" s="1" t="s">
        <v>4303</v>
      </c>
      <c r="O2490" s="1" t="s">
        <v>4304</v>
      </c>
      <c r="P2490">
        <v>0</v>
      </c>
      <c r="Q2490">
        <v>0</v>
      </c>
      <c r="R2490">
        <v>0</v>
      </c>
      <c r="S2490">
        <v>0</v>
      </c>
      <c r="T2490">
        <v>1307.598583</v>
      </c>
      <c r="U2490">
        <f t="shared" si="76"/>
        <v>0</v>
      </c>
      <c r="V2490">
        <f t="shared" si="77"/>
        <v>0</v>
      </c>
    </row>
    <row r="2491" spans="1:22" x14ac:dyDescent="0.2">
      <c r="A2491" t="s">
        <v>4149</v>
      </c>
      <c r="B2491" t="s">
        <v>52</v>
      </c>
      <c r="C2491" t="s">
        <v>76</v>
      </c>
      <c r="D2491" t="s">
        <v>77</v>
      </c>
      <c r="E2491" s="1" t="s">
        <v>155</v>
      </c>
      <c r="F2491" t="s">
        <v>156</v>
      </c>
      <c r="G2491" s="1" t="s">
        <v>110</v>
      </c>
      <c r="H2491">
        <v>232075</v>
      </c>
      <c r="I2491">
        <v>7546</v>
      </c>
      <c r="J2491">
        <v>73</v>
      </c>
      <c r="K2491">
        <v>67</v>
      </c>
      <c r="L2491">
        <v>-224529</v>
      </c>
      <c r="M2491" s="1" t="s">
        <v>4305</v>
      </c>
      <c r="N2491">
        <v>3.1491396830828598E-2</v>
      </c>
      <c r="O2491" s="1" t="s">
        <v>4306</v>
      </c>
      <c r="P2491">
        <v>0</v>
      </c>
      <c r="Q2491">
        <v>0</v>
      </c>
      <c r="R2491">
        <v>0</v>
      </c>
      <c r="S2491">
        <v>0</v>
      </c>
      <c r="T2491">
        <v>1307.598583</v>
      </c>
      <c r="U2491">
        <f t="shared" si="76"/>
        <v>0</v>
      </c>
      <c r="V2491">
        <f t="shared" si="77"/>
        <v>0</v>
      </c>
    </row>
    <row r="2492" spans="1:22" x14ac:dyDescent="0.2">
      <c r="A2492" t="s">
        <v>4149</v>
      </c>
      <c r="B2492" t="s">
        <v>52</v>
      </c>
      <c r="C2492" t="s">
        <v>76</v>
      </c>
      <c r="D2492" t="s">
        <v>77</v>
      </c>
      <c r="E2492">
        <v>10</v>
      </c>
      <c r="F2492" t="s">
        <v>119</v>
      </c>
      <c r="G2492">
        <v>49</v>
      </c>
      <c r="H2492">
        <v>18238725</v>
      </c>
      <c r="I2492">
        <v>156761156</v>
      </c>
      <c r="J2492">
        <v>9</v>
      </c>
      <c r="K2492">
        <v>3</v>
      </c>
      <c r="L2492">
        <v>138522431</v>
      </c>
      <c r="M2492" s="1" t="s">
        <v>4307</v>
      </c>
      <c r="N2492" s="1" t="s">
        <v>4308</v>
      </c>
      <c r="O2492">
        <v>3.5631512001300298E-3</v>
      </c>
      <c r="P2492">
        <v>0</v>
      </c>
      <c r="Q2492">
        <v>1</v>
      </c>
      <c r="R2492">
        <v>1</v>
      </c>
      <c r="S2492">
        <v>1</v>
      </c>
      <c r="T2492">
        <v>1307.598583</v>
      </c>
      <c r="U2492">
        <f t="shared" si="76"/>
        <v>1</v>
      </c>
      <c r="V2492">
        <f t="shared" si="77"/>
        <v>1</v>
      </c>
    </row>
    <row r="2493" spans="1:22" x14ac:dyDescent="0.2">
      <c r="A2493" t="s">
        <v>4149</v>
      </c>
      <c r="B2493" t="s">
        <v>52</v>
      </c>
      <c r="C2493" t="s">
        <v>76</v>
      </c>
      <c r="D2493" t="s">
        <v>77</v>
      </c>
      <c r="E2493" s="1" t="s">
        <v>138</v>
      </c>
      <c r="F2493" t="s">
        <v>139</v>
      </c>
      <c r="G2493">
        <v>17</v>
      </c>
      <c r="H2493">
        <v>8106986</v>
      </c>
      <c r="I2493">
        <v>14418166</v>
      </c>
      <c r="J2493">
        <v>28</v>
      </c>
      <c r="K2493">
        <v>18</v>
      </c>
      <c r="L2493">
        <v>6311180</v>
      </c>
      <c r="M2493" s="1" t="s">
        <v>4309</v>
      </c>
      <c r="N2493" s="1" t="s">
        <v>4310</v>
      </c>
      <c r="O2493" s="1" t="s">
        <v>4311</v>
      </c>
      <c r="P2493">
        <v>0</v>
      </c>
      <c r="Q2493">
        <v>0</v>
      </c>
      <c r="R2493">
        <v>0</v>
      </c>
      <c r="S2493">
        <v>0</v>
      </c>
      <c r="T2493">
        <v>1307.598583</v>
      </c>
      <c r="U2493">
        <f t="shared" si="76"/>
        <v>0</v>
      </c>
      <c r="V2493">
        <f t="shared" si="77"/>
        <v>0</v>
      </c>
    </row>
    <row r="2494" spans="1:22" x14ac:dyDescent="0.2">
      <c r="A2494" t="s">
        <v>4149</v>
      </c>
      <c r="B2494" t="s">
        <v>52</v>
      </c>
      <c r="C2494" t="s">
        <v>76</v>
      </c>
      <c r="D2494" t="s">
        <v>77</v>
      </c>
      <c r="E2494">
        <v>11</v>
      </c>
      <c r="F2494" t="s">
        <v>127</v>
      </c>
      <c r="G2494">
        <v>57</v>
      </c>
      <c r="H2494">
        <v>475073</v>
      </c>
      <c r="I2494">
        <v>11446241</v>
      </c>
      <c r="J2494">
        <v>11</v>
      </c>
      <c r="K2494">
        <v>16</v>
      </c>
      <c r="L2494">
        <v>10971168</v>
      </c>
      <c r="M2494">
        <v>3.9850724509059902E-2</v>
      </c>
      <c r="N2494">
        <v>0.96014927549093998</v>
      </c>
      <c r="O2494" s="1" t="s">
        <v>4312</v>
      </c>
      <c r="P2494">
        <v>0</v>
      </c>
      <c r="Q2494">
        <v>0</v>
      </c>
      <c r="R2494">
        <v>0</v>
      </c>
      <c r="S2494">
        <v>0</v>
      </c>
      <c r="T2494">
        <v>1307.598583</v>
      </c>
      <c r="U2494">
        <f t="shared" si="76"/>
        <v>0</v>
      </c>
      <c r="V2494">
        <f t="shared" si="77"/>
        <v>0</v>
      </c>
    </row>
    <row r="2495" spans="1:22" x14ac:dyDescent="0.2">
      <c r="A2495" t="s">
        <v>4149</v>
      </c>
      <c r="B2495" t="s">
        <v>52</v>
      </c>
      <c r="C2495" t="s">
        <v>76</v>
      </c>
      <c r="D2495" t="s">
        <v>77</v>
      </c>
      <c r="E2495" s="1" t="s">
        <v>82</v>
      </c>
      <c r="F2495" t="s">
        <v>83</v>
      </c>
      <c r="G2495" s="1" t="s">
        <v>93</v>
      </c>
      <c r="H2495">
        <v>543095</v>
      </c>
      <c r="I2495">
        <v>6571631</v>
      </c>
      <c r="J2495">
        <v>44</v>
      </c>
      <c r="K2495">
        <v>42</v>
      </c>
      <c r="L2495">
        <v>6028536</v>
      </c>
      <c r="M2495">
        <v>7.6333930498518096E-2</v>
      </c>
      <c r="N2495" s="1" t="s">
        <v>4313</v>
      </c>
      <c r="O2495" s="1" t="s">
        <v>4314</v>
      </c>
      <c r="P2495">
        <v>0</v>
      </c>
      <c r="Q2495">
        <v>0</v>
      </c>
      <c r="R2495">
        <v>0</v>
      </c>
      <c r="S2495">
        <v>0</v>
      </c>
      <c r="T2495">
        <v>1307.598583</v>
      </c>
      <c r="U2495">
        <f t="shared" si="76"/>
        <v>0</v>
      </c>
      <c r="V2495">
        <f t="shared" si="77"/>
        <v>0</v>
      </c>
    </row>
    <row r="2496" spans="1:22" x14ac:dyDescent="0.2">
      <c r="A2496" t="s">
        <v>4149</v>
      </c>
      <c r="B2496" t="s">
        <v>52</v>
      </c>
      <c r="C2496" t="s">
        <v>76</v>
      </c>
      <c r="D2496" t="s">
        <v>77</v>
      </c>
      <c r="E2496" s="1" t="s">
        <v>138</v>
      </c>
      <c r="F2496" t="s">
        <v>139</v>
      </c>
      <c r="G2496">
        <v>16</v>
      </c>
      <c r="H2496">
        <v>58586</v>
      </c>
      <c r="I2496">
        <v>19949</v>
      </c>
      <c r="J2496">
        <v>57</v>
      </c>
      <c r="K2496">
        <v>59</v>
      </c>
      <c r="L2496">
        <v>-38637</v>
      </c>
      <c r="M2496" s="1" t="s">
        <v>4315</v>
      </c>
      <c r="N2496" s="1" t="s">
        <v>4316</v>
      </c>
      <c r="O2496" s="1" t="s">
        <v>4317</v>
      </c>
      <c r="P2496">
        <v>0</v>
      </c>
      <c r="Q2496">
        <v>0</v>
      </c>
      <c r="R2496">
        <v>0</v>
      </c>
      <c r="S2496">
        <v>0</v>
      </c>
      <c r="T2496">
        <v>1307.598583</v>
      </c>
      <c r="U2496">
        <f t="shared" si="76"/>
        <v>0</v>
      </c>
      <c r="V2496">
        <f t="shared" si="77"/>
        <v>0</v>
      </c>
    </row>
    <row r="2497" spans="1:22" x14ac:dyDescent="0.2">
      <c r="A2497" t="s">
        <v>4149</v>
      </c>
      <c r="B2497" t="s">
        <v>52</v>
      </c>
      <c r="C2497" t="s">
        <v>76</v>
      </c>
      <c r="D2497" t="s">
        <v>77</v>
      </c>
      <c r="E2497">
        <v>18</v>
      </c>
      <c r="F2497" t="s">
        <v>147</v>
      </c>
      <c r="G2497">
        <v>91</v>
      </c>
      <c r="H2497">
        <v>608310</v>
      </c>
      <c r="I2497">
        <v>244199</v>
      </c>
      <c r="J2497">
        <v>10</v>
      </c>
      <c r="K2497">
        <v>37</v>
      </c>
      <c r="L2497">
        <v>-364111</v>
      </c>
      <c r="M2497" s="1" t="s">
        <v>4318</v>
      </c>
      <c r="N2497" s="1" t="s">
        <v>4319</v>
      </c>
      <c r="O2497" s="1" t="s">
        <v>4320</v>
      </c>
      <c r="P2497">
        <v>0</v>
      </c>
      <c r="Q2497">
        <v>0</v>
      </c>
      <c r="R2497">
        <v>1</v>
      </c>
      <c r="S2497">
        <v>0</v>
      </c>
      <c r="T2497">
        <v>1307.598583</v>
      </c>
      <c r="U2497">
        <f t="shared" si="76"/>
        <v>0</v>
      </c>
      <c r="V2497">
        <f t="shared" si="77"/>
        <v>1</v>
      </c>
    </row>
    <row r="2498" spans="1:22" x14ac:dyDescent="0.2">
      <c r="A2498" t="s">
        <v>4149</v>
      </c>
      <c r="B2498" t="s">
        <v>52</v>
      </c>
      <c r="C2498" t="s">
        <v>76</v>
      </c>
      <c r="D2498" t="s">
        <v>77</v>
      </c>
      <c r="E2498" s="1" t="s">
        <v>163</v>
      </c>
      <c r="F2498" t="s">
        <v>224</v>
      </c>
      <c r="G2498">
        <v>43</v>
      </c>
      <c r="H2498">
        <v>71445</v>
      </c>
      <c r="I2498">
        <v>365440</v>
      </c>
      <c r="J2498">
        <v>30</v>
      </c>
      <c r="K2498">
        <v>28</v>
      </c>
      <c r="L2498">
        <v>293995</v>
      </c>
      <c r="M2498" s="1" t="s">
        <v>4321</v>
      </c>
      <c r="N2498" s="1" t="s">
        <v>4322</v>
      </c>
      <c r="O2498" s="1" t="s">
        <v>4323</v>
      </c>
      <c r="P2498">
        <v>0</v>
      </c>
      <c r="Q2498">
        <v>0</v>
      </c>
      <c r="R2498">
        <v>0</v>
      </c>
      <c r="S2498">
        <v>0</v>
      </c>
      <c r="T2498">
        <v>1307.598583</v>
      </c>
      <c r="U2498">
        <f t="shared" si="76"/>
        <v>0</v>
      </c>
      <c r="V2498">
        <f t="shared" si="77"/>
        <v>0</v>
      </c>
    </row>
    <row r="2499" spans="1:22" x14ac:dyDescent="0.2">
      <c r="A2499" t="s">
        <v>4149</v>
      </c>
      <c r="B2499" t="s">
        <v>52</v>
      </c>
      <c r="C2499" t="s">
        <v>76</v>
      </c>
      <c r="D2499" t="s">
        <v>77</v>
      </c>
      <c r="E2499" s="1" t="s">
        <v>163</v>
      </c>
      <c r="F2499" t="s">
        <v>224</v>
      </c>
      <c r="G2499">
        <v>42</v>
      </c>
      <c r="H2499">
        <v>564282</v>
      </c>
      <c r="I2499">
        <v>5438272</v>
      </c>
      <c r="J2499">
        <v>14</v>
      </c>
      <c r="K2499">
        <v>31</v>
      </c>
      <c r="L2499">
        <v>4873990</v>
      </c>
      <c r="M2499">
        <v>9.4006984360323897E-2</v>
      </c>
      <c r="N2499">
        <v>0.90599301563967605</v>
      </c>
      <c r="O2499" s="1" t="s">
        <v>4324</v>
      </c>
      <c r="P2499">
        <v>0</v>
      </c>
      <c r="Q2499">
        <v>0</v>
      </c>
      <c r="R2499">
        <v>0</v>
      </c>
      <c r="S2499">
        <v>0</v>
      </c>
      <c r="T2499">
        <v>1307.598583</v>
      </c>
      <c r="U2499">
        <f t="shared" ref="U2499:U2562" si="78">IF(OR(P2499=1,Q2499=1),1,0)</f>
        <v>0</v>
      </c>
      <c r="V2499">
        <f t="shared" ref="V2499:V2562" si="79">IF(OR(R2499=1,S2499=1),1,0)</f>
        <v>0</v>
      </c>
    </row>
    <row r="2500" spans="1:22" x14ac:dyDescent="0.2">
      <c r="A2500" t="s">
        <v>4149</v>
      </c>
      <c r="B2500" t="s">
        <v>52</v>
      </c>
      <c r="C2500" t="s">
        <v>76</v>
      </c>
      <c r="D2500" t="s">
        <v>77</v>
      </c>
      <c r="E2500" s="1" t="s">
        <v>82</v>
      </c>
      <c r="F2500" t="s">
        <v>83</v>
      </c>
      <c r="G2500" s="1" t="s">
        <v>163</v>
      </c>
      <c r="H2500">
        <v>66097</v>
      </c>
      <c r="I2500">
        <v>15920</v>
      </c>
      <c r="J2500">
        <v>45</v>
      </c>
      <c r="K2500">
        <v>92</v>
      </c>
      <c r="L2500">
        <v>-50177</v>
      </c>
      <c r="M2500" s="1" t="s">
        <v>4325</v>
      </c>
      <c r="N2500" s="1" t="s">
        <v>4326</v>
      </c>
      <c r="O2500" s="1" t="s">
        <v>4327</v>
      </c>
      <c r="P2500">
        <v>0</v>
      </c>
      <c r="Q2500">
        <v>0</v>
      </c>
      <c r="R2500">
        <v>0</v>
      </c>
      <c r="S2500">
        <v>0</v>
      </c>
      <c r="T2500">
        <v>1307.598583</v>
      </c>
      <c r="U2500">
        <f t="shared" si="78"/>
        <v>0</v>
      </c>
      <c r="V2500">
        <f t="shared" si="79"/>
        <v>0</v>
      </c>
    </row>
    <row r="2501" spans="1:22" x14ac:dyDescent="0.2">
      <c r="A2501" t="s">
        <v>4149</v>
      </c>
      <c r="B2501" t="s">
        <v>52</v>
      </c>
      <c r="C2501" t="s">
        <v>76</v>
      </c>
      <c r="D2501" t="s">
        <v>77</v>
      </c>
      <c r="E2501">
        <v>18</v>
      </c>
      <c r="F2501" t="s">
        <v>147</v>
      </c>
      <c r="G2501">
        <v>92</v>
      </c>
      <c r="H2501">
        <v>205969</v>
      </c>
      <c r="I2501">
        <v>10770</v>
      </c>
      <c r="J2501">
        <v>17</v>
      </c>
      <c r="K2501">
        <v>49</v>
      </c>
      <c r="L2501">
        <v>-195199</v>
      </c>
      <c r="M2501">
        <v>0.95030889687596598</v>
      </c>
      <c r="N2501">
        <v>4.9691103124033902E-2</v>
      </c>
      <c r="O2501" s="1" t="s">
        <v>4328</v>
      </c>
      <c r="P2501">
        <v>0</v>
      </c>
      <c r="Q2501">
        <v>0</v>
      </c>
      <c r="R2501">
        <v>0</v>
      </c>
      <c r="S2501">
        <v>0</v>
      </c>
      <c r="T2501">
        <v>1307.598583</v>
      </c>
      <c r="U2501">
        <f t="shared" si="78"/>
        <v>0</v>
      </c>
      <c r="V2501">
        <f t="shared" si="79"/>
        <v>0</v>
      </c>
    </row>
    <row r="2502" spans="1:22" x14ac:dyDescent="0.2">
      <c r="A2502" t="s">
        <v>4149</v>
      </c>
      <c r="B2502" t="s">
        <v>52</v>
      </c>
      <c r="C2502" t="s">
        <v>76</v>
      </c>
      <c r="D2502" t="s">
        <v>77</v>
      </c>
      <c r="E2502">
        <v>11</v>
      </c>
      <c r="F2502" t="s">
        <v>127</v>
      </c>
      <c r="G2502">
        <v>58</v>
      </c>
      <c r="H2502">
        <v>889193</v>
      </c>
      <c r="I2502">
        <v>4026894</v>
      </c>
      <c r="J2502">
        <v>3</v>
      </c>
      <c r="K2502">
        <v>20</v>
      </c>
      <c r="L2502">
        <v>3137701</v>
      </c>
      <c r="M2502" s="1" t="s">
        <v>4329</v>
      </c>
      <c r="N2502" s="1" t="s">
        <v>4330</v>
      </c>
      <c r="O2502" s="1" t="s">
        <v>4331</v>
      </c>
      <c r="P2502">
        <v>1</v>
      </c>
      <c r="Q2502">
        <v>0</v>
      </c>
      <c r="R2502">
        <v>1</v>
      </c>
      <c r="S2502">
        <v>0</v>
      </c>
      <c r="T2502">
        <v>1307.598583</v>
      </c>
      <c r="U2502">
        <f t="shared" si="78"/>
        <v>1</v>
      </c>
      <c r="V2502">
        <f t="shared" si="79"/>
        <v>1</v>
      </c>
    </row>
    <row r="2503" spans="1:22" x14ac:dyDescent="0.2">
      <c r="A2503" t="s">
        <v>4149</v>
      </c>
      <c r="B2503" t="s">
        <v>52</v>
      </c>
      <c r="C2503" t="s">
        <v>76</v>
      </c>
      <c r="D2503" t="s">
        <v>77</v>
      </c>
      <c r="E2503">
        <v>20</v>
      </c>
      <c r="F2503" t="s">
        <v>104</v>
      </c>
      <c r="G2503">
        <v>95</v>
      </c>
      <c r="H2503">
        <v>7044561</v>
      </c>
      <c r="I2503">
        <v>95447413</v>
      </c>
      <c r="J2503">
        <v>8</v>
      </c>
      <c r="K2503">
        <v>11</v>
      </c>
      <c r="L2503">
        <v>88402852</v>
      </c>
      <c r="M2503">
        <v>6.8732806336621002E-2</v>
      </c>
      <c r="N2503">
        <v>0.93126719366337896</v>
      </c>
      <c r="O2503">
        <v>2.0868265628237498E-3</v>
      </c>
      <c r="P2503">
        <v>0</v>
      </c>
      <c r="Q2503">
        <v>0</v>
      </c>
      <c r="R2503">
        <v>1</v>
      </c>
      <c r="S2503">
        <v>0</v>
      </c>
      <c r="T2503">
        <v>1307.598583</v>
      </c>
      <c r="U2503">
        <f t="shared" si="78"/>
        <v>0</v>
      </c>
      <c r="V2503">
        <f t="shared" si="79"/>
        <v>1</v>
      </c>
    </row>
    <row r="2504" spans="1:22" x14ac:dyDescent="0.2">
      <c r="A2504" t="s">
        <v>4149</v>
      </c>
      <c r="B2504" t="s">
        <v>52</v>
      </c>
      <c r="C2504" t="s">
        <v>76</v>
      </c>
      <c r="D2504" t="s">
        <v>77</v>
      </c>
      <c r="E2504">
        <v>15</v>
      </c>
      <c r="F2504" t="s">
        <v>88</v>
      </c>
      <c r="G2504">
        <v>80</v>
      </c>
      <c r="H2504">
        <v>770557</v>
      </c>
      <c r="I2504">
        <v>3551</v>
      </c>
      <c r="J2504">
        <v>15</v>
      </c>
      <c r="K2504">
        <v>36</v>
      </c>
      <c r="L2504">
        <v>-767006</v>
      </c>
      <c r="M2504" s="1" t="s">
        <v>4332</v>
      </c>
      <c r="N2504">
        <v>4.5872152206152097E-3</v>
      </c>
      <c r="O2504" s="1" t="s">
        <v>4333</v>
      </c>
      <c r="P2504">
        <v>0</v>
      </c>
      <c r="Q2504">
        <v>0</v>
      </c>
      <c r="R2504">
        <v>0</v>
      </c>
      <c r="S2504">
        <v>0</v>
      </c>
      <c r="T2504">
        <v>1307.598583</v>
      </c>
      <c r="U2504">
        <f t="shared" si="78"/>
        <v>0</v>
      </c>
      <c r="V2504">
        <f t="shared" si="79"/>
        <v>0</v>
      </c>
    </row>
    <row r="2505" spans="1:22" x14ac:dyDescent="0.2">
      <c r="A2505" t="s">
        <v>4149</v>
      </c>
      <c r="B2505" t="s">
        <v>52</v>
      </c>
      <c r="C2505" t="s">
        <v>76</v>
      </c>
      <c r="D2505" t="s">
        <v>77</v>
      </c>
      <c r="E2505" s="1" t="s">
        <v>155</v>
      </c>
      <c r="F2505" t="s">
        <v>156</v>
      </c>
      <c r="G2505" s="1" t="s">
        <v>82</v>
      </c>
      <c r="H2505">
        <v>26854</v>
      </c>
      <c r="I2505">
        <v>40465</v>
      </c>
      <c r="J2505">
        <v>54</v>
      </c>
      <c r="K2505">
        <v>39</v>
      </c>
      <c r="L2505">
        <v>13611</v>
      </c>
      <c r="M2505" s="1" t="s">
        <v>4334</v>
      </c>
      <c r="N2505">
        <v>0.60109330203954303</v>
      </c>
      <c r="O2505" s="1" t="s">
        <v>4335</v>
      </c>
      <c r="P2505">
        <v>0</v>
      </c>
      <c r="Q2505">
        <v>0</v>
      </c>
      <c r="R2505">
        <v>0</v>
      </c>
      <c r="S2505">
        <v>0</v>
      </c>
      <c r="T2505">
        <v>1307.598583</v>
      </c>
      <c r="U2505">
        <f t="shared" si="78"/>
        <v>0</v>
      </c>
      <c r="V2505">
        <f t="shared" si="79"/>
        <v>0</v>
      </c>
    </row>
    <row r="2506" spans="1:22" x14ac:dyDescent="0.2">
      <c r="A2506" t="s">
        <v>4149</v>
      </c>
      <c r="B2506" t="s">
        <v>52</v>
      </c>
      <c r="C2506" t="s">
        <v>76</v>
      </c>
      <c r="D2506" t="s">
        <v>77</v>
      </c>
      <c r="E2506" s="1" t="s">
        <v>89</v>
      </c>
      <c r="F2506" t="s">
        <v>90</v>
      </c>
      <c r="G2506">
        <v>37</v>
      </c>
      <c r="H2506">
        <v>57403</v>
      </c>
      <c r="I2506">
        <v>292903</v>
      </c>
      <c r="J2506">
        <v>14</v>
      </c>
      <c r="K2506">
        <v>25</v>
      </c>
      <c r="L2506">
        <v>235500</v>
      </c>
      <c r="M2506" s="1" t="s">
        <v>4336</v>
      </c>
      <c r="N2506" s="1" t="s">
        <v>4337</v>
      </c>
      <c r="O2506" s="1" t="s">
        <v>4338</v>
      </c>
      <c r="P2506">
        <v>0</v>
      </c>
      <c r="Q2506">
        <v>0</v>
      </c>
      <c r="R2506">
        <v>0</v>
      </c>
      <c r="S2506">
        <v>0</v>
      </c>
      <c r="T2506">
        <v>1307.598583</v>
      </c>
      <c r="U2506">
        <f t="shared" si="78"/>
        <v>0</v>
      </c>
      <c r="V2506">
        <f t="shared" si="79"/>
        <v>0</v>
      </c>
    </row>
    <row r="2507" spans="1:22" x14ac:dyDescent="0.2">
      <c r="A2507" t="s">
        <v>4149</v>
      </c>
      <c r="B2507" t="s">
        <v>52</v>
      </c>
      <c r="C2507" t="s">
        <v>76</v>
      </c>
      <c r="D2507" t="s">
        <v>77</v>
      </c>
      <c r="E2507" s="1" t="s">
        <v>155</v>
      </c>
      <c r="F2507" t="s">
        <v>156</v>
      </c>
      <c r="G2507" s="1" t="s">
        <v>155</v>
      </c>
      <c r="H2507">
        <v>181447</v>
      </c>
      <c r="I2507">
        <v>11936388</v>
      </c>
      <c r="J2507">
        <v>36</v>
      </c>
      <c r="K2507">
        <v>12</v>
      </c>
      <c r="L2507">
        <v>11754941</v>
      </c>
      <c r="M2507" s="1" t="s">
        <v>4339</v>
      </c>
      <c r="N2507" s="1" t="s">
        <v>4340</v>
      </c>
      <c r="O2507" s="1" t="s">
        <v>4341</v>
      </c>
      <c r="P2507">
        <v>0</v>
      </c>
      <c r="Q2507">
        <v>0</v>
      </c>
      <c r="R2507">
        <v>0</v>
      </c>
      <c r="S2507">
        <v>0</v>
      </c>
      <c r="T2507">
        <v>1307.598583</v>
      </c>
      <c r="U2507">
        <f t="shared" si="78"/>
        <v>0</v>
      </c>
      <c r="V2507">
        <f t="shared" si="79"/>
        <v>0</v>
      </c>
    </row>
    <row r="2508" spans="1:22" x14ac:dyDescent="0.2">
      <c r="A2508" t="s">
        <v>4149</v>
      </c>
      <c r="B2508" t="s">
        <v>52</v>
      </c>
      <c r="C2508" t="s">
        <v>76</v>
      </c>
      <c r="D2508" t="s">
        <v>77</v>
      </c>
      <c r="E2508" s="1" t="s">
        <v>82</v>
      </c>
      <c r="F2508" t="s">
        <v>83</v>
      </c>
      <c r="G2508" s="1" t="s">
        <v>99</v>
      </c>
      <c r="H2508">
        <v>10630437</v>
      </c>
      <c r="I2508">
        <v>15880</v>
      </c>
      <c r="J2508">
        <v>29</v>
      </c>
      <c r="K2508">
        <v>71</v>
      </c>
      <c r="L2508">
        <v>-10614557</v>
      </c>
      <c r="M2508" s="1" t="s">
        <v>4342</v>
      </c>
      <c r="N2508">
        <v>1.49159563819112E-3</v>
      </c>
      <c r="O2508" s="1" t="s">
        <v>4343</v>
      </c>
      <c r="P2508">
        <v>0</v>
      </c>
      <c r="Q2508">
        <v>0</v>
      </c>
      <c r="R2508">
        <v>0</v>
      </c>
      <c r="S2508">
        <v>0</v>
      </c>
      <c r="T2508">
        <v>1307.598583</v>
      </c>
      <c r="U2508">
        <f t="shared" si="78"/>
        <v>0</v>
      </c>
      <c r="V2508">
        <f t="shared" si="79"/>
        <v>0</v>
      </c>
    </row>
    <row r="2509" spans="1:22" x14ac:dyDescent="0.2">
      <c r="A2509" t="s">
        <v>4149</v>
      </c>
      <c r="B2509" t="s">
        <v>52</v>
      </c>
      <c r="C2509" t="s">
        <v>76</v>
      </c>
      <c r="D2509" t="s">
        <v>77</v>
      </c>
      <c r="E2509">
        <v>21</v>
      </c>
      <c r="F2509" t="s">
        <v>212</v>
      </c>
      <c r="G2509">
        <v>97</v>
      </c>
      <c r="H2509">
        <v>12608</v>
      </c>
      <c r="I2509">
        <v>4674</v>
      </c>
      <c r="J2509">
        <v>63</v>
      </c>
      <c r="K2509">
        <v>64</v>
      </c>
      <c r="L2509">
        <v>-7934</v>
      </c>
      <c r="M2509" s="1" t="s">
        <v>4344</v>
      </c>
      <c r="N2509" s="1" t="s">
        <v>4345</v>
      </c>
      <c r="O2509" s="1" t="s">
        <v>4346</v>
      </c>
      <c r="P2509">
        <v>0</v>
      </c>
      <c r="Q2509">
        <v>0</v>
      </c>
      <c r="R2509">
        <v>0</v>
      </c>
      <c r="S2509">
        <v>0</v>
      </c>
      <c r="T2509">
        <v>1307.598583</v>
      </c>
      <c r="U2509">
        <f t="shared" si="78"/>
        <v>0</v>
      </c>
      <c r="V2509">
        <f t="shared" si="79"/>
        <v>0</v>
      </c>
    </row>
    <row r="2510" spans="1:22" x14ac:dyDescent="0.2">
      <c r="A2510" t="s">
        <v>4149</v>
      </c>
      <c r="B2510" t="s">
        <v>52</v>
      </c>
      <c r="C2510" t="s">
        <v>76</v>
      </c>
      <c r="D2510" t="s">
        <v>77</v>
      </c>
      <c r="E2510">
        <v>15</v>
      </c>
      <c r="F2510" t="s">
        <v>88</v>
      </c>
      <c r="G2510">
        <v>79</v>
      </c>
      <c r="H2510">
        <v>252501</v>
      </c>
      <c r="I2510">
        <v>52260</v>
      </c>
      <c r="J2510">
        <v>36</v>
      </c>
      <c r="K2510">
        <v>40</v>
      </c>
      <c r="L2510">
        <v>-200241</v>
      </c>
      <c r="M2510" s="1" t="s">
        <v>4347</v>
      </c>
      <c r="N2510" s="1" t="s">
        <v>4348</v>
      </c>
      <c r="O2510" s="1" t="s">
        <v>4349</v>
      </c>
      <c r="P2510">
        <v>0</v>
      </c>
      <c r="Q2510">
        <v>0</v>
      </c>
      <c r="R2510">
        <v>0</v>
      </c>
      <c r="S2510">
        <v>0</v>
      </c>
      <c r="T2510">
        <v>1307.598583</v>
      </c>
      <c r="U2510">
        <f t="shared" si="78"/>
        <v>0</v>
      </c>
      <c r="V2510">
        <f t="shared" si="79"/>
        <v>0</v>
      </c>
    </row>
    <row r="2511" spans="1:22" x14ac:dyDescent="0.2">
      <c r="A2511" t="s">
        <v>4149</v>
      </c>
      <c r="B2511" t="s">
        <v>52</v>
      </c>
      <c r="C2511" t="s">
        <v>76</v>
      </c>
      <c r="D2511" t="s">
        <v>77</v>
      </c>
      <c r="E2511" s="1" t="s">
        <v>138</v>
      </c>
      <c r="F2511" t="s">
        <v>139</v>
      </c>
      <c r="G2511">
        <v>23</v>
      </c>
      <c r="H2511">
        <v>301658</v>
      </c>
      <c r="I2511">
        <v>6763243</v>
      </c>
      <c r="J2511">
        <v>60</v>
      </c>
      <c r="K2511">
        <v>35</v>
      </c>
      <c r="L2511">
        <v>6461585</v>
      </c>
      <c r="M2511" s="1" t="s">
        <v>4350</v>
      </c>
      <c r="N2511" s="1" t="s">
        <v>4351</v>
      </c>
      <c r="O2511" s="1" t="s">
        <v>4352</v>
      </c>
      <c r="P2511">
        <v>0</v>
      </c>
      <c r="Q2511">
        <v>0</v>
      </c>
      <c r="R2511">
        <v>0</v>
      </c>
      <c r="S2511">
        <v>0</v>
      </c>
      <c r="T2511">
        <v>1307.598583</v>
      </c>
      <c r="U2511">
        <f t="shared" si="78"/>
        <v>0</v>
      </c>
      <c r="V2511">
        <f t="shared" si="79"/>
        <v>0</v>
      </c>
    </row>
    <row r="2512" spans="1:22" x14ac:dyDescent="0.2">
      <c r="A2512" t="s">
        <v>4149</v>
      </c>
      <c r="B2512" t="s">
        <v>52</v>
      </c>
      <c r="C2512" t="s">
        <v>76</v>
      </c>
      <c r="D2512" t="s">
        <v>77</v>
      </c>
      <c r="E2512">
        <v>12</v>
      </c>
      <c r="F2512" t="s">
        <v>194</v>
      </c>
      <c r="G2512">
        <v>67</v>
      </c>
      <c r="H2512">
        <v>78999</v>
      </c>
      <c r="I2512">
        <v>4778</v>
      </c>
      <c r="J2512">
        <v>13</v>
      </c>
      <c r="K2512">
        <v>40</v>
      </c>
      <c r="L2512">
        <v>-74221</v>
      </c>
      <c r="M2512" s="1" t="s">
        <v>4353</v>
      </c>
      <c r="N2512" s="1" t="s">
        <v>4354</v>
      </c>
      <c r="O2512" s="1" t="s">
        <v>4355</v>
      </c>
      <c r="P2512">
        <v>0</v>
      </c>
      <c r="Q2512">
        <v>0</v>
      </c>
      <c r="R2512">
        <v>0</v>
      </c>
      <c r="S2512">
        <v>0</v>
      </c>
      <c r="T2512">
        <v>1307.598583</v>
      </c>
      <c r="U2512">
        <f t="shared" si="78"/>
        <v>0</v>
      </c>
      <c r="V2512">
        <f t="shared" si="79"/>
        <v>0</v>
      </c>
    </row>
    <row r="2513" spans="1:22" x14ac:dyDescent="0.2">
      <c r="A2513" t="s">
        <v>4149</v>
      </c>
      <c r="B2513" t="s">
        <v>52</v>
      </c>
      <c r="C2513" t="s">
        <v>76</v>
      </c>
      <c r="D2513" t="s">
        <v>77</v>
      </c>
      <c r="E2513" s="1" t="s">
        <v>93</v>
      </c>
      <c r="F2513" t="s">
        <v>94</v>
      </c>
      <c r="G2513">
        <v>46</v>
      </c>
      <c r="H2513">
        <v>283</v>
      </c>
      <c r="I2513">
        <v>615077</v>
      </c>
      <c r="J2513">
        <v>27</v>
      </c>
      <c r="K2513">
        <v>10</v>
      </c>
      <c r="L2513">
        <v>614794</v>
      </c>
      <c r="M2513" s="1" t="s">
        <v>4356</v>
      </c>
      <c r="N2513" s="1" t="s">
        <v>4357</v>
      </c>
      <c r="O2513" s="1" t="s">
        <v>4358</v>
      </c>
      <c r="P2513">
        <v>0</v>
      </c>
      <c r="Q2513">
        <v>0</v>
      </c>
      <c r="R2513">
        <v>0</v>
      </c>
      <c r="S2513">
        <v>1</v>
      </c>
      <c r="T2513">
        <v>1307.598583</v>
      </c>
      <c r="U2513">
        <f t="shared" si="78"/>
        <v>0</v>
      </c>
      <c r="V2513">
        <f t="shared" si="79"/>
        <v>1</v>
      </c>
    </row>
    <row r="2514" spans="1:22" x14ac:dyDescent="0.2">
      <c r="A2514" t="s">
        <v>4149</v>
      </c>
      <c r="B2514" t="s">
        <v>52</v>
      </c>
      <c r="C2514" t="s">
        <v>76</v>
      </c>
      <c r="D2514" t="s">
        <v>77</v>
      </c>
      <c r="E2514">
        <v>12</v>
      </c>
      <c r="F2514" t="s">
        <v>194</v>
      </c>
      <c r="G2514">
        <v>66</v>
      </c>
      <c r="H2514">
        <v>6146</v>
      </c>
      <c r="I2514">
        <v>7197298</v>
      </c>
      <c r="J2514">
        <v>12</v>
      </c>
      <c r="K2514">
        <v>3</v>
      </c>
      <c r="L2514">
        <v>7191152</v>
      </c>
      <c r="M2514" s="1" t="s">
        <v>4359</v>
      </c>
      <c r="N2514" s="1" t="s">
        <v>4360</v>
      </c>
      <c r="O2514" s="1" t="s">
        <v>4361</v>
      </c>
      <c r="P2514">
        <v>0</v>
      </c>
      <c r="Q2514">
        <v>1</v>
      </c>
      <c r="R2514">
        <v>0</v>
      </c>
      <c r="S2514">
        <v>1</v>
      </c>
      <c r="T2514">
        <v>1307.598583</v>
      </c>
      <c r="U2514">
        <f t="shared" si="78"/>
        <v>1</v>
      </c>
      <c r="V2514">
        <f t="shared" si="79"/>
        <v>1</v>
      </c>
    </row>
    <row r="2515" spans="1:22" x14ac:dyDescent="0.2">
      <c r="A2515" t="s">
        <v>4149</v>
      </c>
      <c r="B2515" t="s">
        <v>52</v>
      </c>
      <c r="C2515" t="s">
        <v>76</v>
      </c>
      <c r="D2515" t="s">
        <v>77</v>
      </c>
      <c r="E2515" s="1" t="s">
        <v>82</v>
      </c>
      <c r="F2515" t="s">
        <v>83</v>
      </c>
      <c r="G2515">
        <v>14</v>
      </c>
      <c r="H2515">
        <v>21111</v>
      </c>
      <c r="I2515">
        <v>27429</v>
      </c>
      <c r="J2515">
        <v>25</v>
      </c>
      <c r="K2515">
        <v>22</v>
      </c>
      <c r="L2515">
        <v>6318</v>
      </c>
      <c r="M2515" s="1" t="s">
        <v>4362</v>
      </c>
      <c r="N2515" s="1" t="s">
        <v>4363</v>
      </c>
      <c r="O2515" s="1" t="s">
        <v>4364</v>
      </c>
      <c r="P2515">
        <v>0</v>
      </c>
      <c r="Q2515">
        <v>0</v>
      </c>
      <c r="R2515">
        <v>0</v>
      </c>
      <c r="S2515">
        <v>0</v>
      </c>
      <c r="T2515">
        <v>1307.598583</v>
      </c>
      <c r="U2515">
        <f t="shared" si="78"/>
        <v>0</v>
      </c>
      <c r="V2515">
        <f t="shared" si="79"/>
        <v>0</v>
      </c>
    </row>
    <row r="2516" spans="1:22" x14ac:dyDescent="0.2">
      <c r="A2516" t="s">
        <v>4149</v>
      </c>
      <c r="B2516" t="s">
        <v>52</v>
      </c>
      <c r="C2516" t="s">
        <v>76</v>
      </c>
      <c r="D2516" t="s">
        <v>77</v>
      </c>
      <c r="E2516" s="1" t="s">
        <v>82</v>
      </c>
      <c r="F2516" t="s">
        <v>83</v>
      </c>
      <c r="G2516" s="1" t="s">
        <v>89</v>
      </c>
      <c r="H2516">
        <v>47499</v>
      </c>
      <c r="I2516">
        <v>4215195</v>
      </c>
      <c r="J2516">
        <v>19</v>
      </c>
      <c r="K2516">
        <v>24</v>
      </c>
      <c r="L2516">
        <v>4167696</v>
      </c>
      <c r="M2516" s="1" t="s">
        <v>4365</v>
      </c>
      <c r="N2516" s="1" t="s">
        <v>4366</v>
      </c>
      <c r="O2516" s="1" t="s">
        <v>4367</v>
      </c>
      <c r="P2516">
        <v>0</v>
      </c>
      <c r="Q2516">
        <v>0</v>
      </c>
      <c r="R2516">
        <v>0</v>
      </c>
      <c r="S2516">
        <v>0</v>
      </c>
      <c r="T2516">
        <v>1307.598583</v>
      </c>
      <c r="U2516">
        <f t="shared" si="78"/>
        <v>0</v>
      </c>
      <c r="V2516">
        <f t="shared" si="79"/>
        <v>0</v>
      </c>
    </row>
    <row r="2517" spans="1:22" x14ac:dyDescent="0.2">
      <c r="A2517" t="s">
        <v>4368</v>
      </c>
      <c r="B2517" t="s">
        <v>53</v>
      </c>
      <c r="C2517" t="s">
        <v>76</v>
      </c>
      <c r="D2517" t="s">
        <v>77</v>
      </c>
      <c r="E2517" s="1" t="s">
        <v>89</v>
      </c>
      <c r="F2517" t="s">
        <v>90</v>
      </c>
      <c r="G2517">
        <v>31</v>
      </c>
      <c r="H2517">
        <v>20609805</v>
      </c>
      <c r="I2517">
        <v>0</v>
      </c>
      <c r="J2517">
        <v>88</v>
      </c>
      <c r="K2517">
        <v>51</v>
      </c>
      <c r="L2517">
        <v>-20609805</v>
      </c>
      <c r="M2517">
        <v>1</v>
      </c>
      <c r="N2517">
        <v>0</v>
      </c>
      <c r="O2517">
        <v>0.32459610829680702</v>
      </c>
      <c r="P2517">
        <v>0</v>
      </c>
      <c r="Q2517">
        <v>0</v>
      </c>
      <c r="R2517">
        <v>0</v>
      </c>
      <c r="S2517">
        <v>0</v>
      </c>
      <c r="T2517">
        <v>46.141767209999998</v>
      </c>
      <c r="U2517">
        <f t="shared" si="78"/>
        <v>0</v>
      </c>
      <c r="V2517">
        <f t="shared" si="79"/>
        <v>0</v>
      </c>
    </row>
    <row r="2518" spans="1:22" x14ac:dyDescent="0.2">
      <c r="A2518" t="s">
        <v>4368</v>
      </c>
      <c r="B2518" t="s">
        <v>53</v>
      </c>
      <c r="C2518" t="s">
        <v>76</v>
      </c>
      <c r="D2518" t="s">
        <v>77</v>
      </c>
      <c r="E2518">
        <v>17</v>
      </c>
      <c r="F2518" t="s">
        <v>97</v>
      </c>
      <c r="G2518">
        <v>87</v>
      </c>
      <c r="H2518">
        <v>3722431</v>
      </c>
      <c r="I2518">
        <v>0</v>
      </c>
      <c r="J2518">
        <v>70</v>
      </c>
      <c r="K2518">
        <v>96</v>
      </c>
      <c r="L2518">
        <v>-3722431</v>
      </c>
      <c r="M2518">
        <v>1</v>
      </c>
      <c r="N2518">
        <v>0</v>
      </c>
      <c r="O2518">
        <v>5.8626785454951702E-2</v>
      </c>
      <c r="P2518">
        <v>0</v>
      </c>
      <c r="Q2518">
        <v>0</v>
      </c>
      <c r="R2518">
        <v>0</v>
      </c>
      <c r="S2518">
        <v>0</v>
      </c>
      <c r="T2518">
        <v>46.141767209999998</v>
      </c>
      <c r="U2518">
        <f t="shared" si="78"/>
        <v>0</v>
      </c>
      <c r="V2518">
        <f t="shared" si="79"/>
        <v>0</v>
      </c>
    </row>
    <row r="2519" spans="1:22" x14ac:dyDescent="0.2">
      <c r="A2519" t="s">
        <v>4368</v>
      </c>
      <c r="B2519" t="s">
        <v>53</v>
      </c>
      <c r="C2519" t="s">
        <v>76</v>
      </c>
      <c r="D2519" t="s">
        <v>77</v>
      </c>
      <c r="E2519" s="1" t="s">
        <v>85</v>
      </c>
      <c r="F2519" t="s">
        <v>86</v>
      </c>
      <c r="G2519">
        <v>25</v>
      </c>
      <c r="H2519">
        <v>5240955</v>
      </c>
      <c r="I2519">
        <v>110</v>
      </c>
      <c r="J2519">
        <v>46</v>
      </c>
      <c r="K2519">
        <v>88</v>
      </c>
      <c r="L2519">
        <v>-5240845</v>
      </c>
      <c r="M2519">
        <v>0.99997901189929905</v>
      </c>
      <c r="N2519" s="1" t="s">
        <v>4369</v>
      </c>
      <c r="O2519">
        <v>8.2544657862148804E-2</v>
      </c>
      <c r="P2519">
        <v>0</v>
      </c>
      <c r="Q2519">
        <v>0</v>
      </c>
      <c r="R2519">
        <v>0</v>
      </c>
      <c r="S2519">
        <v>0</v>
      </c>
      <c r="T2519">
        <v>46.141767209999998</v>
      </c>
      <c r="U2519">
        <f t="shared" si="78"/>
        <v>0</v>
      </c>
      <c r="V2519">
        <f t="shared" si="79"/>
        <v>0</v>
      </c>
    </row>
    <row r="2520" spans="1:22" x14ac:dyDescent="0.2">
      <c r="A2520" t="s">
        <v>4368</v>
      </c>
      <c r="B2520" t="s">
        <v>53</v>
      </c>
      <c r="C2520" t="s">
        <v>76</v>
      </c>
      <c r="D2520" t="s">
        <v>77</v>
      </c>
      <c r="E2520">
        <v>15</v>
      </c>
      <c r="F2520" t="s">
        <v>88</v>
      </c>
      <c r="G2520">
        <v>82</v>
      </c>
      <c r="H2520">
        <v>377305</v>
      </c>
      <c r="I2520">
        <v>3312</v>
      </c>
      <c r="J2520">
        <v>78</v>
      </c>
      <c r="K2520">
        <v>80</v>
      </c>
      <c r="L2520">
        <v>-373993</v>
      </c>
      <c r="M2520" s="1" t="s">
        <v>4370</v>
      </c>
      <c r="N2520">
        <v>8.7016607245603804E-3</v>
      </c>
      <c r="O2520">
        <v>5.9945640898400399E-3</v>
      </c>
      <c r="P2520">
        <v>0</v>
      </c>
      <c r="Q2520">
        <v>0</v>
      </c>
      <c r="R2520">
        <v>0</v>
      </c>
      <c r="S2520">
        <v>0</v>
      </c>
      <c r="T2520">
        <v>46.141767209999998</v>
      </c>
      <c r="U2520">
        <f t="shared" si="78"/>
        <v>0</v>
      </c>
      <c r="V2520">
        <f t="shared" si="79"/>
        <v>0</v>
      </c>
    </row>
    <row r="2521" spans="1:22" x14ac:dyDescent="0.2">
      <c r="A2521" t="s">
        <v>4368</v>
      </c>
      <c r="B2521" t="s">
        <v>53</v>
      </c>
      <c r="C2521" t="s">
        <v>76</v>
      </c>
      <c r="D2521" t="s">
        <v>77</v>
      </c>
      <c r="E2521">
        <v>99</v>
      </c>
      <c r="F2521" t="s">
        <v>78</v>
      </c>
      <c r="G2521">
        <v>99</v>
      </c>
      <c r="H2521">
        <v>81831</v>
      </c>
      <c r="I2521">
        <v>1227</v>
      </c>
      <c r="J2521">
        <v>83</v>
      </c>
      <c r="K2521">
        <v>91</v>
      </c>
      <c r="L2521">
        <v>-80604</v>
      </c>
      <c r="M2521" s="1" t="s">
        <v>4371</v>
      </c>
      <c r="N2521" s="1" t="s">
        <v>4372</v>
      </c>
      <c r="O2521">
        <v>1.3081299683774801E-3</v>
      </c>
      <c r="P2521">
        <v>0</v>
      </c>
      <c r="Q2521">
        <v>0</v>
      </c>
      <c r="R2521">
        <v>0</v>
      </c>
      <c r="S2521">
        <v>0</v>
      </c>
      <c r="T2521">
        <v>46.141767209999998</v>
      </c>
      <c r="U2521">
        <f t="shared" si="78"/>
        <v>0</v>
      </c>
      <c r="V2521">
        <f t="shared" si="79"/>
        <v>0</v>
      </c>
    </row>
    <row r="2522" spans="1:22" x14ac:dyDescent="0.2">
      <c r="A2522" t="s">
        <v>4368</v>
      </c>
      <c r="B2522" t="s">
        <v>53</v>
      </c>
      <c r="C2522" t="s">
        <v>76</v>
      </c>
      <c r="D2522" t="s">
        <v>77</v>
      </c>
      <c r="E2522" s="1" t="s">
        <v>85</v>
      </c>
      <c r="F2522" t="s">
        <v>86</v>
      </c>
      <c r="G2522">
        <v>27</v>
      </c>
      <c r="H2522">
        <v>11360</v>
      </c>
      <c r="I2522">
        <v>0</v>
      </c>
      <c r="J2522">
        <v>132</v>
      </c>
      <c r="K2522">
        <v>91</v>
      </c>
      <c r="L2522">
        <v>-11360</v>
      </c>
      <c r="M2522">
        <v>1</v>
      </c>
      <c r="N2522">
        <v>0</v>
      </c>
      <c r="O2522" s="1" t="s">
        <v>4373</v>
      </c>
      <c r="P2522">
        <v>0</v>
      </c>
      <c r="Q2522">
        <v>0</v>
      </c>
      <c r="R2522">
        <v>0</v>
      </c>
      <c r="S2522">
        <v>0</v>
      </c>
      <c r="T2522">
        <v>46.141767209999998</v>
      </c>
      <c r="U2522">
        <f t="shared" si="78"/>
        <v>0</v>
      </c>
      <c r="V2522">
        <f t="shared" si="79"/>
        <v>0</v>
      </c>
    </row>
    <row r="2523" spans="1:22" x14ac:dyDescent="0.2">
      <c r="A2523" t="s">
        <v>4368</v>
      </c>
      <c r="B2523" t="s">
        <v>53</v>
      </c>
      <c r="C2523" t="s">
        <v>76</v>
      </c>
      <c r="D2523" t="s">
        <v>77</v>
      </c>
      <c r="E2523">
        <v>19</v>
      </c>
      <c r="F2523" t="s">
        <v>838</v>
      </c>
      <c r="G2523">
        <v>93</v>
      </c>
      <c r="H2523">
        <v>23205</v>
      </c>
      <c r="I2523">
        <v>0</v>
      </c>
      <c r="J2523">
        <v>62</v>
      </c>
      <c r="K2523">
        <v>36</v>
      </c>
      <c r="L2523">
        <v>-23205</v>
      </c>
      <c r="M2523">
        <v>1</v>
      </c>
      <c r="N2523">
        <v>0</v>
      </c>
      <c r="O2523" s="1" t="s">
        <v>4374</v>
      </c>
      <c r="P2523">
        <v>0</v>
      </c>
      <c r="Q2523">
        <v>0</v>
      </c>
      <c r="R2523">
        <v>0</v>
      </c>
      <c r="S2523">
        <v>0</v>
      </c>
      <c r="T2523">
        <v>46.141767209999998</v>
      </c>
      <c r="U2523">
        <f t="shared" si="78"/>
        <v>0</v>
      </c>
      <c r="V2523">
        <f t="shared" si="79"/>
        <v>0</v>
      </c>
    </row>
    <row r="2524" spans="1:22" x14ac:dyDescent="0.2">
      <c r="A2524" t="s">
        <v>4368</v>
      </c>
      <c r="B2524" t="s">
        <v>53</v>
      </c>
      <c r="C2524" t="s">
        <v>76</v>
      </c>
      <c r="D2524" t="s">
        <v>77</v>
      </c>
      <c r="E2524" s="1" t="s">
        <v>89</v>
      </c>
      <c r="F2524" t="s">
        <v>90</v>
      </c>
      <c r="G2524">
        <v>38</v>
      </c>
      <c r="H2524">
        <v>6411</v>
      </c>
      <c r="I2524">
        <v>0</v>
      </c>
      <c r="J2524">
        <v>122</v>
      </c>
      <c r="K2524">
        <v>87</v>
      </c>
      <c r="L2524">
        <v>-6411</v>
      </c>
      <c r="M2524">
        <v>1</v>
      </c>
      <c r="N2524">
        <v>0</v>
      </c>
      <c r="O2524" s="1" t="s">
        <v>4375</v>
      </c>
      <c r="P2524">
        <v>0</v>
      </c>
      <c r="Q2524">
        <v>0</v>
      </c>
      <c r="R2524">
        <v>0</v>
      </c>
      <c r="S2524">
        <v>0</v>
      </c>
      <c r="T2524">
        <v>46.141767209999998</v>
      </c>
      <c r="U2524">
        <f t="shared" si="78"/>
        <v>0</v>
      </c>
      <c r="V2524">
        <f t="shared" si="79"/>
        <v>0</v>
      </c>
    </row>
    <row r="2525" spans="1:22" x14ac:dyDescent="0.2">
      <c r="A2525" t="s">
        <v>4368</v>
      </c>
      <c r="B2525" t="s">
        <v>53</v>
      </c>
      <c r="C2525" t="s">
        <v>76</v>
      </c>
      <c r="D2525" t="s">
        <v>77</v>
      </c>
      <c r="E2525">
        <v>16</v>
      </c>
      <c r="F2525" t="s">
        <v>95</v>
      </c>
      <c r="G2525">
        <v>84</v>
      </c>
      <c r="H2525">
        <v>1869705</v>
      </c>
      <c r="I2525">
        <v>586</v>
      </c>
      <c r="J2525">
        <v>94</v>
      </c>
      <c r="K2525">
        <v>109</v>
      </c>
      <c r="L2525">
        <v>-1869119</v>
      </c>
      <c r="M2525" s="1" t="s">
        <v>4376</v>
      </c>
      <c r="N2525" s="1" t="s">
        <v>4377</v>
      </c>
      <c r="O2525">
        <v>2.9456328188575399E-2</v>
      </c>
      <c r="P2525">
        <v>0</v>
      </c>
      <c r="Q2525">
        <v>0</v>
      </c>
      <c r="R2525">
        <v>0</v>
      </c>
      <c r="S2525">
        <v>0</v>
      </c>
      <c r="T2525">
        <v>46.141767209999998</v>
      </c>
      <c r="U2525">
        <f t="shared" si="78"/>
        <v>0</v>
      </c>
      <c r="V2525">
        <f t="shared" si="79"/>
        <v>0</v>
      </c>
    </row>
    <row r="2526" spans="1:22" x14ac:dyDescent="0.2">
      <c r="A2526" t="s">
        <v>4368</v>
      </c>
      <c r="B2526" t="s">
        <v>53</v>
      </c>
      <c r="C2526" t="s">
        <v>76</v>
      </c>
      <c r="D2526" t="s">
        <v>77</v>
      </c>
      <c r="E2526">
        <v>11</v>
      </c>
      <c r="F2526" t="s">
        <v>127</v>
      </c>
      <c r="G2526">
        <v>62</v>
      </c>
      <c r="H2526">
        <v>3660</v>
      </c>
      <c r="I2526">
        <v>0</v>
      </c>
      <c r="J2526">
        <v>101</v>
      </c>
      <c r="K2526">
        <v>105</v>
      </c>
      <c r="L2526">
        <v>-3660</v>
      </c>
      <c r="M2526">
        <v>1</v>
      </c>
      <c r="N2526">
        <v>0</v>
      </c>
      <c r="O2526" s="1" t="s">
        <v>4378</v>
      </c>
      <c r="P2526">
        <v>0</v>
      </c>
      <c r="Q2526">
        <v>0</v>
      </c>
      <c r="R2526">
        <v>0</v>
      </c>
      <c r="S2526">
        <v>0</v>
      </c>
      <c r="T2526">
        <v>46.141767209999998</v>
      </c>
      <c r="U2526">
        <f t="shared" si="78"/>
        <v>0</v>
      </c>
      <c r="V2526">
        <f t="shared" si="79"/>
        <v>0</v>
      </c>
    </row>
    <row r="2527" spans="1:22" x14ac:dyDescent="0.2">
      <c r="A2527" t="s">
        <v>4368</v>
      </c>
      <c r="B2527" t="s">
        <v>53</v>
      </c>
      <c r="C2527" t="s">
        <v>76</v>
      </c>
      <c r="D2527" t="s">
        <v>77</v>
      </c>
      <c r="E2527" s="1" t="s">
        <v>89</v>
      </c>
      <c r="F2527" t="s">
        <v>90</v>
      </c>
      <c r="G2527">
        <v>29</v>
      </c>
      <c r="H2527">
        <v>6954269</v>
      </c>
      <c r="I2527">
        <v>0</v>
      </c>
      <c r="J2527">
        <v>65</v>
      </c>
      <c r="K2527">
        <v>81</v>
      </c>
      <c r="L2527">
        <v>-6954269</v>
      </c>
      <c r="M2527">
        <v>1</v>
      </c>
      <c r="N2527">
        <v>0</v>
      </c>
      <c r="O2527" s="1" t="s">
        <v>4379</v>
      </c>
      <c r="P2527">
        <v>0</v>
      </c>
      <c r="Q2527">
        <v>0</v>
      </c>
      <c r="R2527">
        <v>0</v>
      </c>
      <c r="S2527">
        <v>0</v>
      </c>
      <c r="T2527">
        <v>46.141767209999998</v>
      </c>
      <c r="U2527">
        <f t="shared" si="78"/>
        <v>0</v>
      </c>
      <c r="V2527">
        <f t="shared" si="79"/>
        <v>0</v>
      </c>
    </row>
    <row r="2528" spans="1:22" x14ac:dyDescent="0.2">
      <c r="A2528" t="s">
        <v>4368</v>
      </c>
      <c r="B2528" t="s">
        <v>53</v>
      </c>
      <c r="C2528" t="s">
        <v>76</v>
      </c>
      <c r="D2528" t="s">
        <v>77</v>
      </c>
      <c r="E2528">
        <v>12</v>
      </c>
      <c r="F2528" t="s">
        <v>194</v>
      </c>
      <c r="G2528">
        <v>64</v>
      </c>
      <c r="H2528">
        <v>729</v>
      </c>
      <c r="I2528">
        <v>0</v>
      </c>
      <c r="J2528">
        <v>106</v>
      </c>
      <c r="K2528">
        <v>94</v>
      </c>
      <c r="L2528">
        <v>-729</v>
      </c>
      <c r="M2528">
        <v>1</v>
      </c>
      <c r="N2528">
        <v>0</v>
      </c>
      <c r="O2528" s="1" t="s">
        <v>4380</v>
      </c>
      <c r="P2528">
        <v>0</v>
      </c>
      <c r="Q2528">
        <v>0</v>
      </c>
      <c r="R2528">
        <v>0</v>
      </c>
      <c r="S2528">
        <v>0</v>
      </c>
      <c r="T2528">
        <v>46.141767209999998</v>
      </c>
      <c r="U2528">
        <f t="shared" si="78"/>
        <v>0</v>
      </c>
      <c r="V2528">
        <f t="shared" si="79"/>
        <v>0</v>
      </c>
    </row>
    <row r="2529" spans="1:22" x14ac:dyDescent="0.2">
      <c r="A2529" t="s">
        <v>4368</v>
      </c>
      <c r="B2529" t="s">
        <v>53</v>
      </c>
      <c r="C2529" t="s">
        <v>76</v>
      </c>
      <c r="D2529" t="s">
        <v>77</v>
      </c>
      <c r="E2529">
        <v>16</v>
      </c>
      <c r="F2529" t="s">
        <v>95</v>
      </c>
      <c r="G2529">
        <v>85</v>
      </c>
      <c r="H2529">
        <v>52214</v>
      </c>
      <c r="I2529">
        <v>1689</v>
      </c>
      <c r="J2529">
        <v>137</v>
      </c>
      <c r="K2529">
        <v>108</v>
      </c>
      <c r="L2529">
        <v>-50525</v>
      </c>
      <c r="M2529">
        <v>0.96866593696083703</v>
      </c>
      <c r="N2529">
        <v>3.1334063039162897E-2</v>
      </c>
      <c r="O2529" s="1" t="s">
        <v>4381</v>
      </c>
      <c r="P2529">
        <v>0</v>
      </c>
      <c r="Q2529">
        <v>0</v>
      </c>
      <c r="R2529">
        <v>0</v>
      </c>
      <c r="S2529">
        <v>0</v>
      </c>
      <c r="T2529">
        <v>46.141767209999998</v>
      </c>
      <c r="U2529">
        <f t="shared" si="78"/>
        <v>0</v>
      </c>
      <c r="V2529">
        <f t="shared" si="79"/>
        <v>0</v>
      </c>
    </row>
    <row r="2530" spans="1:22" x14ac:dyDescent="0.2">
      <c r="A2530" t="s">
        <v>4368</v>
      </c>
      <c r="B2530" t="s">
        <v>53</v>
      </c>
      <c r="C2530" t="s">
        <v>76</v>
      </c>
      <c r="D2530" t="s">
        <v>77</v>
      </c>
      <c r="E2530">
        <v>15</v>
      </c>
      <c r="F2530" t="s">
        <v>88</v>
      </c>
      <c r="G2530">
        <v>73</v>
      </c>
      <c r="H2530">
        <v>10871</v>
      </c>
      <c r="I2530">
        <v>91</v>
      </c>
      <c r="J2530">
        <v>128</v>
      </c>
      <c r="K2530">
        <v>101</v>
      </c>
      <c r="L2530">
        <v>-10780</v>
      </c>
      <c r="M2530">
        <v>0.99169859514687098</v>
      </c>
      <c r="N2530">
        <v>8.3014048531289894E-3</v>
      </c>
      <c r="O2530" s="1" t="s">
        <v>4382</v>
      </c>
      <c r="P2530">
        <v>0</v>
      </c>
      <c r="Q2530">
        <v>0</v>
      </c>
      <c r="R2530">
        <v>0</v>
      </c>
      <c r="S2530">
        <v>0</v>
      </c>
      <c r="T2530">
        <v>46.141767209999998</v>
      </c>
      <c r="U2530">
        <f t="shared" si="78"/>
        <v>0</v>
      </c>
      <c r="V2530">
        <f t="shared" si="79"/>
        <v>0</v>
      </c>
    </row>
    <row r="2531" spans="1:22" x14ac:dyDescent="0.2">
      <c r="A2531" t="s">
        <v>4368</v>
      </c>
      <c r="B2531" t="s">
        <v>53</v>
      </c>
      <c r="C2531" t="s">
        <v>76</v>
      </c>
      <c r="D2531" t="s">
        <v>77</v>
      </c>
      <c r="E2531" s="1" t="s">
        <v>99</v>
      </c>
      <c r="F2531" t="s">
        <v>100</v>
      </c>
      <c r="G2531">
        <v>40</v>
      </c>
      <c r="H2531">
        <v>322301</v>
      </c>
      <c r="I2531">
        <v>0</v>
      </c>
      <c r="J2531">
        <v>97</v>
      </c>
      <c r="K2531">
        <v>97</v>
      </c>
      <c r="L2531">
        <v>-322301</v>
      </c>
      <c r="M2531">
        <v>1</v>
      </c>
      <c r="N2531">
        <v>0</v>
      </c>
      <c r="O2531">
        <v>5.0761106327871196E-3</v>
      </c>
      <c r="P2531">
        <v>0</v>
      </c>
      <c r="Q2531">
        <v>0</v>
      </c>
      <c r="R2531">
        <v>0</v>
      </c>
      <c r="S2531">
        <v>0</v>
      </c>
      <c r="T2531">
        <v>46.141767209999998</v>
      </c>
      <c r="U2531">
        <f t="shared" si="78"/>
        <v>0</v>
      </c>
      <c r="V2531">
        <f t="shared" si="79"/>
        <v>0</v>
      </c>
    </row>
    <row r="2532" spans="1:22" x14ac:dyDescent="0.2">
      <c r="A2532" t="s">
        <v>4368</v>
      </c>
      <c r="B2532" t="s">
        <v>53</v>
      </c>
      <c r="C2532" t="s">
        <v>76</v>
      </c>
      <c r="D2532" t="s">
        <v>77</v>
      </c>
      <c r="E2532">
        <v>11</v>
      </c>
      <c r="F2532" t="s">
        <v>127</v>
      </c>
      <c r="G2532">
        <v>63</v>
      </c>
      <c r="H2532">
        <v>4120</v>
      </c>
      <c r="I2532">
        <v>20246</v>
      </c>
      <c r="J2532">
        <v>106</v>
      </c>
      <c r="K2532">
        <v>77</v>
      </c>
      <c r="L2532">
        <v>16126</v>
      </c>
      <c r="M2532" s="1" t="s">
        <v>4383</v>
      </c>
      <c r="N2532" s="1" t="s">
        <v>4384</v>
      </c>
      <c r="O2532" s="1" t="s">
        <v>4385</v>
      </c>
      <c r="P2532">
        <v>0</v>
      </c>
      <c r="Q2532">
        <v>0</v>
      </c>
      <c r="R2532">
        <v>0</v>
      </c>
      <c r="S2532">
        <v>0</v>
      </c>
      <c r="T2532">
        <v>46.141767209999998</v>
      </c>
      <c r="U2532">
        <f t="shared" si="78"/>
        <v>0</v>
      </c>
      <c r="V2532">
        <f t="shared" si="79"/>
        <v>0</v>
      </c>
    </row>
    <row r="2533" spans="1:22" x14ac:dyDescent="0.2">
      <c r="A2533" t="s">
        <v>4368</v>
      </c>
      <c r="B2533" t="s">
        <v>53</v>
      </c>
      <c r="C2533" t="s">
        <v>76</v>
      </c>
      <c r="D2533" t="s">
        <v>77</v>
      </c>
      <c r="E2533">
        <v>21</v>
      </c>
      <c r="F2533" t="s">
        <v>212</v>
      </c>
      <c r="G2533">
        <v>97</v>
      </c>
      <c r="H2533">
        <v>0</v>
      </c>
      <c r="I2533">
        <v>113131</v>
      </c>
      <c r="J2533">
        <v>97</v>
      </c>
      <c r="K2533">
        <v>36</v>
      </c>
      <c r="L2533">
        <v>113131</v>
      </c>
      <c r="M2533">
        <v>0</v>
      </c>
      <c r="N2533">
        <v>1</v>
      </c>
      <c r="O2533">
        <v>1.78176757750624E-3</v>
      </c>
      <c r="P2533">
        <v>0</v>
      </c>
      <c r="Q2533">
        <v>0</v>
      </c>
      <c r="R2533">
        <v>0</v>
      </c>
      <c r="S2533">
        <v>0</v>
      </c>
      <c r="T2533">
        <v>46.141767209999998</v>
      </c>
      <c r="U2533">
        <f t="shared" si="78"/>
        <v>0</v>
      </c>
      <c r="V2533">
        <f t="shared" si="79"/>
        <v>0</v>
      </c>
    </row>
    <row r="2534" spans="1:22" x14ac:dyDescent="0.2">
      <c r="A2534" t="s">
        <v>4386</v>
      </c>
      <c r="B2534" t="s">
        <v>54</v>
      </c>
      <c r="C2534" t="s">
        <v>76</v>
      </c>
      <c r="D2534" t="s">
        <v>77</v>
      </c>
      <c r="E2534" s="1" t="s">
        <v>82</v>
      </c>
      <c r="F2534" t="s">
        <v>83</v>
      </c>
      <c r="G2534">
        <v>10</v>
      </c>
      <c r="H2534">
        <v>33367142</v>
      </c>
      <c r="I2534">
        <v>0</v>
      </c>
      <c r="J2534">
        <v>71</v>
      </c>
      <c r="K2534">
        <v>65</v>
      </c>
      <c r="L2534">
        <v>-33367142</v>
      </c>
      <c r="M2534">
        <v>1</v>
      </c>
      <c r="N2534">
        <v>0</v>
      </c>
      <c r="O2534" s="1" t="s">
        <v>4387</v>
      </c>
      <c r="P2534">
        <v>0</v>
      </c>
      <c r="Q2534">
        <v>0</v>
      </c>
      <c r="R2534">
        <v>0</v>
      </c>
      <c r="S2534">
        <v>0</v>
      </c>
      <c r="T2534">
        <v>12.987771670000001</v>
      </c>
      <c r="U2534">
        <f t="shared" si="78"/>
        <v>0</v>
      </c>
      <c r="V2534">
        <f t="shared" si="79"/>
        <v>0</v>
      </c>
    </row>
    <row r="2535" spans="1:22" x14ac:dyDescent="0.2">
      <c r="A2535" t="s">
        <v>4386</v>
      </c>
      <c r="B2535" t="s">
        <v>54</v>
      </c>
      <c r="C2535" t="s">
        <v>76</v>
      </c>
      <c r="D2535" t="s">
        <v>77</v>
      </c>
      <c r="E2535" s="1" t="s">
        <v>89</v>
      </c>
      <c r="F2535" t="s">
        <v>90</v>
      </c>
      <c r="G2535">
        <v>31</v>
      </c>
      <c r="H2535">
        <v>92669033</v>
      </c>
      <c r="I2535">
        <v>0</v>
      </c>
      <c r="J2535">
        <v>59</v>
      </c>
      <c r="K2535">
        <v>51</v>
      </c>
      <c r="L2535">
        <v>-92669033</v>
      </c>
      <c r="M2535">
        <v>1</v>
      </c>
      <c r="N2535">
        <v>0</v>
      </c>
      <c r="O2535" s="1" t="s">
        <v>4388</v>
      </c>
      <c r="P2535">
        <v>0</v>
      </c>
      <c r="Q2535">
        <v>0</v>
      </c>
      <c r="R2535">
        <v>0</v>
      </c>
      <c r="S2535">
        <v>0</v>
      </c>
      <c r="T2535">
        <v>12.987771670000001</v>
      </c>
      <c r="U2535">
        <f t="shared" si="78"/>
        <v>0</v>
      </c>
      <c r="V2535">
        <f t="shared" si="79"/>
        <v>0</v>
      </c>
    </row>
    <row r="2536" spans="1:22" x14ac:dyDescent="0.2">
      <c r="A2536" t="s">
        <v>4386</v>
      </c>
      <c r="B2536" t="s">
        <v>54</v>
      </c>
      <c r="C2536" t="s">
        <v>76</v>
      </c>
      <c r="D2536" t="s">
        <v>77</v>
      </c>
      <c r="E2536" s="1" t="s">
        <v>85</v>
      </c>
      <c r="F2536" t="s">
        <v>86</v>
      </c>
      <c r="G2536">
        <v>25</v>
      </c>
      <c r="H2536">
        <v>790926</v>
      </c>
      <c r="I2536">
        <v>0</v>
      </c>
      <c r="J2536">
        <v>75</v>
      </c>
      <c r="K2536">
        <v>95</v>
      </c>
      <c r="L2536">
        <v>-790926</v>
      </c>
      <c r="M2536">
        <v>1</v>
      </c>
      <c r="N2536">
        <v>0</v>
      </c>
      <c r="O2536">
        <v>5.9992721011220803E-3</v>
      </c>
      <c r="P2536">
        <v>0</v>
      </c>
      <c r="Q2536">
        <v>0</v>
      </c>
      <c r="R2536">
        <v>0</v>
      </c>
      <c r="S2536">
        <v>0</v>
      </c>
      <c r="T2536">
        <v>12.987771670000001</v>
      </c>
      <c r="U2536">
        <f t="shared" si="78"/>
        <v>0</v>
      </c>
      <c r="V2536">
        <f t="shared" si="79"/>
        <v>0</v>
      </c>
    </row>
    <row r="2537" spans="1:22" x14ac:dyDescent="0.2">
      <c r="A2537" t="s">
        <v>4386</v>
      </c>
      <c r="B2537" t="s">
        <v>54</v>
      </c>
      <c r="C2537" t="s">
        <v>76</v>
      </c>
      <c r="D2537" t="s">
        <v>77</v>
      </c>
      <c r="E2537">
        <v>16</v>
      </c>
      <c r="F2537" t="s">
        <v>95</v>
      </c>
      <c r="G2537">
        <v>85</v>
      </c>
      <c r="H2537">
        <v>89821</v>
      </c>
      <c r="I2537">
        <v>0</v>
      </c>
      <c r="J2537">
        <v>131</v>
      </c>
      <c r="K2537">
        <v>117</v>
      </c>
      <c r="L2537">
        <v>-89821</v>
      </c>
      <c r="M2537">
        <v>1</v>
      </c>
      <c r="N2537">
        <v>0</v>
      </c>
      <c r="O2537" s="1" t="s">
        <v>4389</v>
      </c>
      <c r="P2537">
        <v>0</v>
      </c>
      <c r="Q2537">
        <v>0</v>
      </c>
      <c r="R2537">
        <v>0</v>
      </c>
      <c r="S2537">
        <v>0</v>
      </c>
      <c r="T2537">
        <v>12.987771670000001</v>
      </c>
      <c r="U2537">
        <f t="shared" si="78"/>
        <v>0</v>
      </c>
      <c r="V2537">
        <f t="shared" si="79"/>
        <v>0</v>
      </c>
    </row>
    <row r="2538" spans="1:22" x14ac:dyDescent="0.2">
      <c r="A2538" t="s">
        <v>4386</v>
      </c>
      <c r="B2538" t="s">
        <v>54</v>
      </c>
      <c r="C2538" t="s">
        <v>76</v>
      </c>
      <c r="D2538" t="s">
        <v>77</v>
      </c>
      <c r="E2538" s="1" t="s">
        <v>138</v>
      </c>
      <c r="F2538" t="s">
        <v>139</v>
      </c>
      <c r="G2538">
        <v>16</v>
      </c>
      <c r="H2538">
        <v>12946</v>
      </c>
      <c r="I2538">
        <v>0</v>
      </c>
      <c r="J2538">
        <v>68</v>
      </c>
      <c r="K2538">
        <v>73</v>
      </c>
      <c r="L2538">
        <v>-12946</v>
      </c>
      <c r="M2538">
        <v>1</v>
      </c>
      <c r="N2538">
        <v>0</v>
      </c>
      <c r="O2538" s="1" t="s">
        <v>4390</v>
      </c>
      <c r="P2538">
        <v>0</v>
      </c>
      <c r="Q2538">
        <v>0</v>
      </c>
      <c r="R2538">
        <v>0</v>
      </c>
      <c r="S2538">
        <v>0</v>
      </c>
      <c r="T2538">
        <v>12.987771670000001</v>
      </c>
      <c r="U2538">
        <f t="shared" si="78"/>
        <v>0</v>
      </c>
      <c r="V2538">
        <f t="shared" si="79"/>
        <v>0</v>
      </c>
    </row>
    <row r="2539" spans="1:22" x14ac:dyDescent="0.2">
      <c r="A2539" t="s">
        <v>4386</v>
      </c>
      <c r="B2539" t="s">
        <v>54</v>
      </c>
      <c r="C2539" t="s">
        <v>76</v>
      </c>
      <c r="D2539" t="s">
        <v>77</v>
      </c>
      <c r="E2539">
        <v>11</v>
      </c>
      <c r="F2539" t="s">
        <v>127</v>
      </c>
      <c r="G2539">
        <v>63</v>
      </c>
      <c r="H2539">
        <v>1609</v>
      </c>
      <c r="I2539">
        <v>0</v>
      </c>
      <c r="J2539">
        <v>109</v>
      </c>
      <c r="K2539">
        <v>108</v>
      </c>
      <c r="L2539">
        <v>-1609</v>
      </c>
      <c r="M2539">
        <v>1</v>
      </c>
      <c r="N2539">
        <v>0</v>
      </c>
      <c r="O2539" s="1" t="s">
        <v>4391</v>
      </c>
      <c r="P2539">
        <v>0</v>
      </c>
      <c r="Q2539">
        <v>0</v>
      </c>
      <c r="R2539">
        <v>0</v>
      </c>
      <c r="S2539">
        <v>0</v>
      </c>
      <c r="T2539">
        <v>12.987771670000001</v>
      </c>
      <c r="U2539">
        <f t="shared" si="78"/>
        <v>0</v>
      </c>
      <c r="V2539">
        <f t="shared" si="79"/>
        <v>0</v>
      </c>
    </row>
    <row r="2540" spans="1:22" x14ac:dyDescent="0.2">
      <c r="A2540" t="s">
        <v>4386</v>
      </c>
      <c r="B2540" t="s">
        <v>54</v>
      </c>
      <c r="C2540" t="s">
        <v>76</v>
      </c>
      <c r="D2540" t="s">
        <v>77</v>
      </c>
      <c r="E2540">
        <v>15</v>
      </c>
      <c r="F2540" t="s">
        <v>88</v>
      </c>
      <c r="G2540">
        <v>82</v>
      </c>
      <c r="H2540">
        <v>6715</v>
      </c>
      <c r="I2540">
        <v>0</v>
      </c>
      <c r="J2540">
        <v>121</v>
      </c>
      <c r="K2540">
        <v>96</v>
      </c>
      <c r="L2540">
        <v>-6715</v>
      </c>
      <c r="M2540">
        <v>1</v>
      </c>
      <c r="N2540">
        <v>0</v>
      </c>
      <c r="O2540" s="1" t="s">
        <v>4392</v>
      </c>
      <c r="P2540">
        <v>0</v>
      </c>
      <c r="Q2540">
        <v>0</v>
      </c>
      <c r="R2540">
        <v>0</v>
      </c>
      <c r="S2540">
        <v>0</v>
      </c>
      <c r="T2540">
        <v>12.987771670000001</v>
      </c>
      <c r="U2540">
        <f t="shared" si="78"/>
        <v>0</v>
      </c>
      <c r="V2540">
        <f t="shared" si="79"/>
        <v>0</v>
      </c>
    </row>
    <row r="2541" spans="1:22" x14ac:dyDescent="0.2">
      <c r="A2541" t="s">
        <v>4386</v>
      </c>
      <c r="B2541" t="s">
        <v>54</v>
      </c>
      <c r="C2541" t="s">
        <v>76</v>
      </c>
      <c r="D2541" t="s">
        <v>77</v>
      </c>
      <c r="E2541">
        <v>16</v>
      </c>
      <c r="F2541" t="s">
        <v>95</v>
      </c>
      <c r="G2541">
        <v>84</v>
      </c>
      <c r="H2541">
        <v>258189</v>
      </c>
      <c r="I2541">
        <v>0</v>
      </c>
      <c r="J2541">
        <v>123</v>
      </c>
      <c r="K2541">
        <v>117</v>
      </c>
      <c r="L2541">
        <v>-258189</v>
      </c>
      <c r="M2541">
        <v>1</v>
      </c>
      <c r="N2541">
        <v>0</v>
      </c>
      <c r="O2541">
        <v>1.9583956836879898E-3</v>
      </c>
      <c r="P2541">
        <v>0</v>
      </c>
      <c r="Q2541">
        <v>0</v>
      </c>
      <c r="R2541">
        <v>0</v>
      </c>
      <c r="S2541">
        <v>0</v>
      </c>
      <c r="T2541">
        <v>12.987771670000001</v>
      </c>
      <c r="U2541">
        <f t="shared" si="78"/>
        <v>0</v>
      </c>
      <c r="V2541">
        <f t="shared" si="79"/>
        <v>0</v>
      </c>
    </row>
    <row r="2542" spans="1:22" x14ac:dyDescent="0.2">
      <c r="A2542" t="s">
        <v>4386</v>
      </c>
      <c r="B2542" t="s">
        <v>54</v>
      </c>
      <c r="C2542" t="s">
        <v>76</v>
      </c>
      <c r="D2542" t="s">
        <v>77</v>
      </c>
      <c r="E2542">
        <v>99</v>
      </c>
      <c r="F2542" t="s">
        <v>78</v>
      </c>
      <c r="G2542">
        <v>99</v>
      </c>
      <c r="H2542">
        <v>140701</v>
      </c>
      <c r="I2542">
        <v>0</v>
      </c>
      <c r="J2542">
        <v>78</v>
      </c>
      <c r="K2542">
        <v>98</v>
      </c>
      <c r="L2542">
        <v>-140701</v>
      </c>
      <c r="M2542">
        <v>1</v>
      </c>
      <c r="N2542">
        <v>0</v>
      </c>
      <c r="O2542">
        <v>1.06723458819153E-3</v>
      </c>
      <c r="P2542">
        <v>0</v>
      </c>
      <c r="Q2542">
        <v>0</v>
      </c>
      <c r="R2542">
        <v>0</v>
      </c>
      <c r="S2542">
        <v>0</v>
      </c>
      <c r="T2542">
        <v>12.987771670000001</v>
      </c>
      <c r="U2542">
        <f t="shared" si="78"/>
        <v>0</v>
      </c>
      <c r="V2542">
        <f t="shared" si="79"/>
        <v>0</v>
      </c>
    </row>
    <row r="2543" spans="1:22" x14ac:dyDescent="0.2">
      <c r="A2543" t="s">
        <v>4386</v>
      </c>
      <c r="B2543" t="s">
        <v>54</v>
      </c>
      <c r="C2543" t="s">
        <v>76</v>
      </c>
      <c r="D2543" t="s">
        <v>77</v>
      </c>
      <c r="E2543">
        <v>10</v>
      </c>
      <c r="F2543" t="s">
        <v>119</v>
      </c>
      <c r="G2543">
        <v>49</v>
      </c>
      <c r="H2543">
        <v>2939260</v>
      </c>
      <c r="I2543">
        <v>0</v>
      </c>
      <c r="J2543">
        <v>30</v>
      </c>
      <c r="K2543">
        <v>109</v>
      </c>
      <c r="L2543">
        <v>-2939260</v>
      </c>
      <c r="M2543">
        <v>1</v>
      </c>
      <c r="N2543">
        <v>0</v>
      </c>
      <c r="O2543">
        <v>2.2294652743675199E-2</v>
      </c>
      <c r="P2543">
        <v>0</v>
      </c>
      <c r="Q2543">
        <v>0</v>
      </c>
      <c r="R2543">
        <v>0</v>
      </c>
      <c r="S2543">
        <v>0</v>
      </c>
      <c r="T2543">
        <v>12.987771670000001</v>
      </c>
      <c r="U2543">
        <f t="shared" si="78"/>
        <v>0</v>
      </c>
      <c r="V2543">
        <f t="shared" si="79"/>
        <v>0</v>
      </c>
    </row>
    <row r="2544" spans="1:22" x14ac:dyDescent="0.2">
      <c r="A2544" t="s">
        <v>4386</v>
      </c>
      <c r="B2544" t="s">
        <v>54</v>
      </c>
      <c r="C2544" t="s">
        <v>76</v>
      </c>
      <c r="D2544" t="s">
        <v>77</v>
      </c>
      <c r="E2544">
        <v>20</v>
      </c>
      <c r="F2544" t="s">
        <v>104</v>
      </c>
      <c r="G2544">
        <v>94</v>
      </c>
      <c r="H2544">
        <v>847</v>
      </c>
      <c r="I2544">
        <v>0</v>
      </c>
      <c r="J2544">
        <v>129</v>
      </c>
      <c r="K2544">
        <v>103</v>
      </c>
      <c r="L2544">
        <v>-847</v>
      </c>
      <c r="M2544">
        <v>1</v>
      </c>
      <c r="N2544">
        <v>0</v>
      </c>
      <c r="O2544" s="1" t="s">
        <v>4393</v>
      </c>
      <c r="P2544">
        <v>0</v>
      </c>
      <c r="Q2544">
        <v>0</v>
      </c>
      <c r="R2544">
        <v>0</v>
      </c>
      <c r="S2544">
        <v>0</v>
      </c>
      <c r="T2544">
        <v>12.987771670000001</v>
      </c>
      <c r="U2544">
        <f t="shared" si="78"/>
        <v>0</v>
      </c>
      <c r="V2544">
        <f t="shared" si="79"/>
        <v>0</v>
      </c>
    </row>
    <row r="2545" spans="1:22" x14ac:dyDescent="0.2">
      <c r="A2545" t="s">
        <v>4386</v>
      </c>
      <c r="B2545" t="s">
        <v>54</v>
      </c>
      <c r="C2545" t="s">
        <v>76</v>
      </c>
      <c r="D2545" t="s">
        <v>77</v>
      </c>
      <c r="E2545" s="1" t="s">
        <v>89</v>
      </c>
      <c r="F2545" t="s">
        <v>90</v>
      </c>
      <c r="G2545">
        <v>38</v>
      </c>
      <c r="H2545">
        <v>6975</v>
      </c>
      <c r="I2545">
        <v>0</v>
      </c>
      <c r="J2545">
        <v>121</v>
      </c>
      <c r="K2545">
        <v>87</v>
      </c>
      <c r="L2545">
        <v>-6975</v>
      </c>
      <c r="M2545">
        <v>1</v>
      </c>
      <c r="N2545">
        <v>0</v>
      </c>
      <c r="O2545" s="1" t="s">
        <v>4394</v>
      </c>
      <c r="P2545">
        <v>0</v>
      </c>
      <c r="Q2545">
        <v>0</v>
      </c>
      <c r="R2545">
        <v>0</v>
      </c>
      <c r="S2545">
        <v>0</v>
      </c>
      <c r="T2545">
        <v>12.987771670000001</v>
      </c>
      <c r="U2545">
        <f t="shared" si="78"/>
        <v>0</v>
      </c>
      <c r="V2545">
        <f t="shared" si="79"/>
        <v>0</v>
      </c>
    </row>
    <row r="2546" spans="1:22" x14ac:dyDescent="0.2">
      <c r="A2546" t="s">
        <v>4386</v>
      </c>
      <c r="B2546" t="s">
        <v>54</v>
      </c>
      <c r="C2546" t="s">
        <v>76</v>
      </c>
      <c r="D2546" t="s">
        <v>77</v>
      </c>
      <c r="E2546">
        <v>18</v>
      </c>
      <c r="F2546" t="s">
        <v>147</v>
      </c>
      <c r="G2546">
        <v>90</v>
      </c>
      <c r="H2546">
        <v>165164</v>
      </c>
      <c r="I2546">
        <v>0</v>
      </c>
      <c r="J2546">
        <v>103</v>
      </c>
      <c r="K2546">
        <v>103</v>
      </c>
      <c r="L2546">
        <v>-165164</v>
      </c>
      <c r="M2546">
        <v>1</v>
      </c>
      <c r="N2546">
        <v>0</v>
      </c>
      <c r="O2546">
        <v>1.2527894863864899E-3</v>
      </c>
      <c r="P2546">
        <v>0</v>
      </c>
      <c r="Q2546">
        <v>0</v>
      </c>
      <c r="R2546">
        <v>0</v>
      </c>
      <c r="S2546">
        <v>0</v>
      </c>
      <c r="T2546">
        <v>12.987771670000001</v>
      </c>
      <c r="U2546">
        <f t="shared" si="78"/>
        <v>0</v>
      </c>
      <c r="V2546">
        <f t="shared" si="79"/>
        <v>0</v>
      </c>
    </row>
    <row r="2547" spans="1:22" x14ac:dyDescent="0.2">
      <c r="A2547" t="s">
        <v>4386</v>
      </c>
      <c r="B2547" t="s">
        <v>54</v>
      </c>
      <c r="C2547" t="s">
        <v>76</v>
      </c>
      <c r="D2547" t="s">
        <v>77</v>
      </c>
      <c r="E2547">
        <v>10</v>
      </c>
      <c r="F2547" t="s">
        <v>119</v>
      </c>
      <c r="G2547">
        <v>48</v>
      </c>
      <c r="H2547">
        <v>426</v>
      </c>
      <c r="I2547">
        <v>0</v>
      </c>
      <c r="J2547">
        <v>139</v>
      </c>
      <c r="K2547">
        <v>97</v>
      </c>
      <c r="L2547">
        <v>-426</v>
      </c>
      <c r="M2547">
        <v>1</v>
      </c>
      <c r="N2547">
        <v>0</v>
      </c>
      <c r="O2547" s="1" t="s">
        <v>4395</v>
      </c>
      <c r="P2547">
        <v>0</v>
      </c>
      <c r="Q2547">
        <v>0</v>
      </c>
      <c r="R2547">
        <v>0</v>
      </c>
      <c r="S2547">
        <v>0</v>
      </c>
      <c r="T2547">
        <v>12.987771670000001</v>
      </c>
      <c r="U2547">
        <f t="shared" si="78"/>
        <v>0</v>
      </c>
      <c r="V2547">
        <f t="shared" si="79"/>
        <v>0</v>
      </c>
    </row>
    <row r="2548" spans="1:22" x14ac:dyDescent="0.2">
      <c r="A2548" t="s">
        <v>4386</v>
      </c>
      <c r="B2548" t="s">
        <v>54</v>
      </c>
      <c r="C2548" t="s">
        <v>76</v>
      </c>
      <c r="D2548" t="s">
        <v>77</v>
      </c>
      <c r="E2548" s="1" t="s">
        <v>99</v>
      </c>
      <c r="F2548" t="s">
        <v>100</v>
      </c>
      <c r="G2548">
        <v>39</v>
      </c>
      <c r="H2548">
        <v>39</v>
      </c>
      <c r="I2548">
        <v>0</v>
      </c>
      <c r="J2548">
        <v>144</v>
      </c>
      <c r="K2548">
        <v>109</v>
      </c>
      <c r="L2548">
        <v>-39</v>
      </c>
      <c r="M2548">
        <v>1</v>
      </c>
      <c r="N2548">
        <v>0</v>
      </c>
      <c r="O2548" s="1" t="s">
        <v>4396</v>
      </c>
      <c r="P2548">
        <v>0</v>
      </c>
      <c r="Q2548">
        <v>0</v>
      </c>
      <c r="R2548">
        <v>0</v>
      </c>
      <c r="S2548">
        <v>0</v>
      </c>
      <c r="T2548">
        <v>12.987771670000001</v>
      </c>
      <c r="U2548">
        <f t="shared" si="78"/>
        <v>0</v>
      </c>
      <c r="V2548">
        <f t="shared" si="79"/>
        <v>0</v>
      </c>
    </row>
    <row r="2549" spans="1:22" x14ac:dyDescent="0.2">
      <c r="A2549" t="s">
        <v>4386</v>
      </c>
      <c r="B2549" t="s">
        <v>54</v>
      </c>
      <c r="C2549" t="s">
        <v>76</v>
      </c>
      <c r="D2549" t="s">
        <v>77</v>
      </c>
      <c r="E2549">
        <v>20</v>
      </c>
      <c r="F2549" t="s">
        <v>104</v>
      </c>
      <c r="G2549">
        <v>96</v>
      </c>
      <c r="H2549">
        <v>356</v>
      </c>
      <c r="I2549">
        <v>0</v>
      </c>
      <c r="J2549">
        <v>113</v>
      </c>
      <c r="K2549">
        <v>90</v>
      </c>
      <c r="L2549">
        <v>-356</v>
      </c>
      <c r="M2549">
        <v>1</v>
      </c>
      <c r="N2549">
        <v>0</v>
      </c>
      <c r="O2549" s="1" t="s">
        <v>4397</v>
      </c>
      <c r="P2549">
        <v>0</v>
      </c>
      <c r="Q2549">
        <v>0</v>
      </c>
      <c r="R2549">
        <v>0</v>
      </c>
      <c r="S2549">
        <v>0</v>
      </c>
      <c r="T2549">
        <v>12.987771670000001</v>
      </c>
      <c r="U2549">
        <f t="shared" si="78"/>
        <v>0</v>
      </c>
      <c r="V2549">
        <f t="shared" si="79"/>
        <v>0</v>
      </c>
    </row>
    <row r="2550" spans="1:22" x14ac:dyDescent="0.2">
      <c r="A2550" t="s">
        <v>4386</v>
      </c>
      <c r="B2550" t="s">
        <v>54</v>
      </c>
      <c r="C2550" t="s">
        <v>76</v>
      </c>
      <c r="D2550" t="s">
        <v>77</v>
      </c>
      <c r="E2550" s="1" t="s">
        <v>89</v>
      </c>
      <c r="F2550" t="s">
        <v>90</v>
      </c>
      <c r="G2550">
        <v>34</v>
      </c>
      <c r="H2550">
        <v>57</v>
      </c>
      <c r="I2550">
        <v>0</v>
      </c>
      <c r="J2550">
        <v>126</v>
      </c>
      <c r="K2550">
        <v>87</v>
      </c>
      <c r="L2550">
        <v>-57</v>
      </c>
      <c r="M2550">
        <v>1</v>
      </c>
      <c r="N2550">
        <v>0</v>
      </c>
      <c r="O2550" s="1" t="s">
        <v>4398</v>
      </c>
      <c r="P2550">
        <v>0</v>
      </c>
      <c r="Q2550">
        <v>0</v>
      </c>
      <c r="R2550">
        <v>0</v>
      </c>
      <c r="S2550">
        <v>0</v>
      </c>
      <c r="T2550">
        <v>12.987771670000001</v>
      </c>
      <c r="U2550">
        <f t="shared" si="78"/>
        <v>0</v>
      </c>
      <c r="V2550">
        <f t="shared" si="79"/>
        <v>0</v>
      </c>
    </row>
    <row r="2551" spans="1:22" x14ac:dyDescent="0.2">
      <c r="A2551" t="s">
        <v>4386</v>
      </c>
      <c r="B2551" t="s">
        <v>54</v>
      </c>
      <c r="C2551" t="s">
        <v>76</v>
      </c>
      <c r="D2551" t="s">
        <v>77</v>
      </c>
      <c r="E2551">
        <v>13</v>
      </c>
      <c r="F2551" t="s">
        <v>91</v>
      </c>
      <c r="G2551">
        <v>68</v>
      </c>
      <c r="H2551">
        <v>9</v>
      </c>
      <c r="I2551">
        <v>0</v>
      </c>
      <c r="J2551">
        <v>125</v>
      </c>
      <c r="K2551">
        <v>85</v>
      </c>
      <c r="L2551">
        <v>-9</v>
      </c>
      <c r="M2551">
        <v>1</v>
      </c>
      <c r="N2551">
        <v>0</v>
      </c>
      <c r="O2551" s="1" t="s">
        <v>4399</v>
      </c>
      <c r="P2551">
        <v>0</v>
      </c>
      <c r="Q2551">
        <v>0</v>
      </c>
      <c r="R2551">
        <v>0</v>
      </c>
      <c r="S2551">
        <v>0</v>
      </c>
      <c r="T2551">
        <v>12.987771670000001</v>
      </c>
      <c r="U2551">
        <f t="shared" si="78"/>
        <v>0</v>
      </c>
      <c r="V2551">
        <f t="shared" si="79"/>
        <v>0</v>
      </c>
    </row>
    <row r="2552" spans="1:22" x14ac:dyDescent="0.2">
      <c r="A2552" t="s">
        <v>4386</v>
      </c>
      <c r="B2552" t="s">
        <v>54</v>
      </c>
      <c r="C2552" t="s">
        <v>76</v>
      </c>
      <c r="D2552" t="s">
        <v>77</v>
      </c>
      <c r="E2552" s="1" t="s">
        <v>138</v>
      </c>
      <c r="F2552" t="s">
        <v>139</v>
      </c>
      <c r="G2552">
        <v>18</v>
      </c>
      <c r="H2552">
        <v>0</v>
      </c>
      <c r="I2552">
        <v>8212</v>
      </c>
      <c r="J2552">
        <v>110</v>
      </c>
      <c r="K2552">
        <v>75</v>
      </c>
      <c r="L2552">
        <v>8212</v>
      </c>
      <c r="M2552">
        <v>0</v>
      </c>
      <c r="N2552">
        <v>1</v>
      </c>
      <c r="O2552" s="1" t="s">
        <v>4400</v>
      </c>
      <c r="P2552">
        <v>0</v>
      </c>
      <c r="Q2552">
        <v>0</v>
      </c>
      <c r="R2552">
        <v>0</v>
      </c>
      <c r="S2552">
        <v>0</v>
      </c>
      <c r="T2552">
        <v>12.987771670000001</v>
      </c>
      <c r="U2552">
        <f t="shared" si="78"/>
        <v>0</v>
      </c>
      <c r="V2552">
        <f t="shared" si="79"/>
        <v>0</v>
      </c>
    </row>
    <row r="2553" spans="1:22" x14ac:dyDescent="0.2">
      <c r="A2553" t="s">
        <v>4386</v>
      </c>
      <c r="B2553" t="s">
        <v>54</v>
      </c>
      <c r="C2553" t="s">
        <v>76</v>
      </c>
      <c r="D2553" t="s">
        <v>77</v>
      </c>
      <c r="E2553">
        <v>21</v>
      </c>
      <c r="F2553" t="s">
        <v>212</v>
      </c>
      <c r="G2553">
        <v>97</v>
      </c>
      <c r="H2553">
        <v>1232</v>
      </c>
      <c r="I2553">
        <v>741745</v>
      </c>
      <c r="J2553">
        <v>82</v>
      </c>
      <c r="K2553">
        <v>25</v>
      </c>
      <c r="L2553">
        <v>740513</v>
      </c>
      <c r="M2553">
        <v>1.65819399523807E-3</v>
      </c>
      <c r="N2553">
        <v>0.99834180600476197</v>
      </c>
      <c r="O2553">
        <v>5.6355729712708703E-3</v>
      </c>
      <c r="P2553">
        <v>0</v>
      </c>
      <c r="Q2553">
        <v>0</v>
      </c>
      <c r="R2553">
        <v>0</v>
      </c>
      <c r="S2553">
        <v>0</v>
      </c>
      <c r="T2553">
        <v>12.987771670000001</v>
      </c>
      <c r="U2553">
        <f t="shared" si="78"/>
        <v>0</v>
      </c>
      <c r="V2553">
        <f t="shared" si="79"/>
        <v>0</v>
      </c>
    </row>
    <row r="2554" spans="1:22" x14ac:dyDescent="0.2">
      <c r="A2554" t="s">
        <v>106</v>
      </c>
      <c r="B2554" t="s">
        <v>7</v>
      </c>
      <c r="C2554" t="s">
        <v>76</v>
      </c>
      <c r="D2554" t="s">
        <v>77</v>
      </c>
      <c r="E2554" t="s">
        <v>4401</v>
      </c>
      <c r="F2554" t="s">
        <v>95</v>
      </c>
      <c r="G2554">
        <v>85</v>
      </c>
      <c r="H2554">
        <v>177185588</v>
      </c>
      <c r="I2554">
        <v>1160595</v>
      </c>
      <c r="J2554">
        <v>19</v>
      </c>
      <c r="K2554">
        <v>69</v>
      </c>
      <c r="L2554">
        <v>-176024993</v>
      </c>
      <c r="M2554" s="1" t="s">
        <v>125</v>
      </c>
      <c r="N2554">
        <v>6.5075404501367898E-3</v>
      </c>
      <c r="O2554">
        <v>8.9094537648006594E-2</v>
      </c>
      <c r="P2554">
        <v>0</v>
      </c>
      <c r="Q2554">
        <v>0</v>
      </c>
      <c r="R2554">
        <v>0</v>
      </c>
      <c r="S2554">
        <v>0</v>
      </c>
      <c r="T2554">
        <v>57.431486270000001</v>
      </c>
      <c r="U2554">
        <f t="shared" si="78"/>
        <v>0</v>
      </c>
      <c r="V2554">
        <f t="shared" si="79"/>
        <v>0</v>
      </c>
    </row>
    <row r="2555" spans="1:22" x14ac:dyDescent="0.2">
      <c r="A2555" t="s">
        <v>106</v>
      </c>
      <c r="B2555" t="s">
        <v>7</v>
      </c>
      <c r="C2555" t="s">
        <v>76</v>
      </c>
      <c r="D2555" t="s">
        <v>77</v>
      </c>
      <c r="E2555" s="1" t="s">
        <v>138</v>
      </c>
      <c r="F2555" t="s">
        <v>139</v>
      </c>
      <c r="G2555">
        <v>21</v>
      </c>
      <c r="H2555">
        <v>2058823</v>
      </c>
      <c r="I2555">
        <v>0</v>
      </c>
      <c r="J2555">
        <v>44</v>
      </c>
      <c r="K2555">
        <v>99</v>
      </c>
      <c r="L2555">
        <v>-2058823</v>
      </c>
      <c r="M2555">
        <v>1</v>
      </c>
      <c r="N2555">
        <v>0</v>
      </c>
      <c r="O2555">
        <v>1.0285046766831099E-3</v>
      </c>
      <c r="P2555">
        <v>0</v>
      </c>
      <c r="Q2555">
        <v>0</v>
      </c>
      <c r="R2555">
        <v>0</v>
      </c>
      <c r="S2555">
        <v>0</v>
      </c>
      <c r="T2555">
        <v>57.431486270000001</v>
      </c>
      <c r="U2555">
        <f t="shared" si="78"/>
        <v>0</v>
      </c>
      <c r="V2555">
        <f t="shared" si="79"/>
        <v>0</v>
      </c>
    </row>
    <row r="2556" spans="1:22" x14ac:dyDescent="0.2">
      <c r="A2556" t="s">
        <v>106</v>
      </c>
      <c r="B2556" t="s">
        <v>7</v>
      </c>
      <c r="C2556" t="s">
        <v>76</v>
      </c>
      <c r="D2556" t="s">
        <v>77</v>
      </c>
      <c r="E2556" s="1" t="s">
        <v>138</v>
      </c>
      <c r="F2556" t="s">
        <v>139</v>
      </c>
      <c r="G2556">
        <v>18</v>
      </c>
      <c r="H2556">
        <v>647232</v>
      </c>
      <c r="I2556">
        <v>0</v>
      </c>
      <c r="J2556">
        <v>54</v>
      </c>
      <c r="K2556">
        <v>82</v>
      </c>
      <c r="L2556">
        <v>-647232</v>
      </c>
      <c r="M2556">
        <v>1</v>
      </c>
      <c r="N2556">
        <v>0</v>
      </c>
      <c r="O2556" s="1" t="s">
        <v>4402</v>
      </c>
      <c r="P2556">
        <v>0</v>
      </c>
      <c r="Q2556">
        <v>0</v>
      </c>
      <c r="R2556">
        <v>0</v>
      </c>
      <c r="S2556">
        <v>0</v>
      </c>
      <c r="T2556">
        <v>57.431486270000001</v>
      </c>
      <c r="U2556">
        <f t="shared" si="78"/>
        <v>0</v>
      </c>
      <c r="V2556">
        <f t="shared" si="79"/>
        <v>0</v>
      </c>
    </row>
    <row r="2557" spans="1:22" x14ac:dyDescent="0.2">
      <c r="A2557" t="s">
        <v>106</v>
      </c>
      <c r="B2557" t="s">
        <v>7</v>
      </c>
      <c r="C2557" t="s">
        <v>76</v>
      </c>
      <c r="D2557" t="s">
        <v>77</v>
      </c>
      <c r="E2557" s="1" t="s">
        <v>138</v>
      </c>
      <c r="F2557" t="s">
        <v>139</v>
      </c>
      <c r="G2557">
        <v>22</v>
      </c>
      <c r="H2557">
        <v>116555</v>
      </c>
      <c r="I2557">
        <v>902</v>
      </c>
      <c r="J2557">
        <v>102</v>
      </c>
      <c r="K2557">
        <v>87</v>
      </c>
      <c r="L2557">
        <v>-115653</v>
      </c>
      <c r="M2557" s="1" t="s">
        <v>4403</v>
      </c>
      <c r="N2557">
        <v>7.6794060805230801E-3</v>
      </c>
      <c r="O2557" s="1" t="s">
        <v>4404</v>
      </c>
      <c r="P2557">
        <v>0</v>
      </c>
      <c r="Q2557">
        <v>0</v>
      </c>
      <c r="R2557">
        <v>0</v>
      </c>
      <c r="S2557">
        <v>0</v>
      </c>
      <c r="T2557">
        <v>57.431486270000001</v>
      </c>
      <c r="U2557">
        <f t="shared" si="78"/>
        <v>0</v>
      </c>
      <c r="V2557">
        <f t="shared" si="79"/>
        <v>0</v>
      </c>
    </row>
    <row r="2558" spans="1:22" x14ac:dyDescent="0.2">
      <c r="A2558" t="s">
        <v>106</v>
      </c>
      <c r="B2558" t="s">
        <v>7</v>
      </c>
      <c r="C2558" t="s">
        <v>76</v>
      </c>
      <c r="D2558" t="s">
        <v>77</v>
      </c>
      <c r="E2558">
        <v>99</v>
      </c>
      <c r="F2558" t="s">
        <v>78</v>
      </c>
      <c r="G2558">
        <v>99</v>
      </c>
      <c r="H2558">
        <v>28563</v>
      </c>
      <c r="I2558">
        <v>0</v>
      </c>
      <c r="J2558">
        <v>91</v>
      </c>
      <c r="K2558">
        <v>98</v>
      </c>
      <c r="L2558">
        <v>-28563</v>
      </c>
      <c r="M2558">
        <v>1</v>
      </c>
      <c r="N2558">
        <v>0</v>
      </c>
      <c r="O2558" s="1" t="s">
        <v>4405</v>
      </c>
      <c r="P2558">
        <v>0</v>
      </c>
      <c r="Q2558">
        <v>0</v>
      </c>
      <c r="R2558">
        <v>0</v>
      </c>
      <c r="S2558">
        <v>0</v>
      </c>
      <c r="T2558">
        <v>57.431486270000001</v>
      </c>
      <c r="U2558">
        <f t="shared" si="78"/>
        <v>0</v>
      </c>
      <c r="V2558">
        <f t="shared" si="79"/>
        <v>0</v>
      </c>
    </row>
    <row r="2559" spans="1:22" x14ac:dyDescent="0.2">
      <c r="A2559" t="s">
        <v>106</v>
      </c>
      <c r="B2559" t="s">
        <v>7</v>
      </c>
      <c r="C2559" t="s">
        <v>76</v>
      </c>
      <c r="D2559" t="s">
        <v>77</v>
      </c>
      <c r="E2559" s="1" t="s">
        <v>89</v>
      </c>
      <c r="F2559" t="s">
        <v>90</v>
      </c>
      <c r="G2559">
        <v>35</v>
      </c>
      <c r="H2559">
        <v>13216</v>
      </c>
      <c r="I2559">
        <v>0</v>
      </c>
      <c r="J2559">
        <v>62</v>
      </c>
      <c r="K2559">
        <v>73</v>
      </c>
      <c r="L2559">
        <v>-13216</v>
      </c>
      <c r="M2559">
        <v>1</v>
      </c>
      <c r="N2559">
        <v>0</v>
      </c>
      <c r="O2559" s="1" t="s">
        <v>4406</v>
      </c>
      <c r="P2559">
        <v>0</v>
      </c>
      <c r="Q2559">
        <v>0</v>
      </c>
      <c r="R2559">
        <v>0</v>
      </c>
      <c r="S2559">
        <v>0</v>
      </c>
      <c r="T2559">
        <v>57.431486270000001</v>
      </c>
      <c r="U2559">
        <f t="shared" si="78"/>
        <v>0</v>
      </c>
      <c r="V2559">
        <f t="shared" si="79"/>
        <v>0</v>
      </c>
    </row>
    <row r="2560" spans="1:22" x14ac:dyDescent="0.2">
      <c r="A2560" t="s">
        <v>106</v>
      </c>
      <c r="B2560" t="s">
        <v>7</v>
      </c>
      <c r="C2560" t="s">
        <v>76</v>
      </c>
      <c r="D2560" t="s">
        <v>77</v>
      </c>
      <c r="E2560">
        <v>13</v>
      </c>
      <c r="F2560" t="s">
        <v>91</v>
      </c>
      <c r="G2560">
        <v>69</v>
      </c>
      <c r="H2560">
        <v>5194</v>
      </c>
      <c r="I2560">
        <v>0</v>
      </c>
      <c r="J2560">
        <v>92</v>
      </c>
      <c r="K2560">
        <v>91</v>
      </c>
      <c r="L2560">
        <v>-5194</v>
      </c>
      <c r="M2560">
        <v>1</v>
      </c>
      <c r="N2560">
        <v>0</v>
      </c>
      <c r="O2560" s="1" t="s">
        <v>4407</v>
      </c>
      <c r="P2560">
        <v>0</v>
      </c>
      <c r="Q2560">
        <v>0</v>
      </c>
      <c r="R2560">
        <v>0</v>
      </c>
      <c r="S2560">
        <v>0</v>
      </c>
      <c r="T2560">
        <v>57.431486270000001</v>
      </c>
      <c r="U2560">
        <f t="shared" si="78"/>
        <v>0</v>
      </c>
      <c r="V2560">
        <f t="shared" si="79"/>
        <v>0</v>
      </c>
    </row>
    <row r="2561" spans="1:22" x14ac:dyDescent="0.2">
      <c r="A2561" t="s">
        <v>106</v>
      </c>
      <c r="B2561" t="s">
        <v>7</v>
      </c>
      <c r="C2561" t="s">
        <v>76</v>
      </c>
      <c r="D2561" t="s">
        <v>77</v>
      </c>
      <c r="E2561" s="1" t="s">
        <v>138</v>
      </c>
      <c r="F2561" t="s">
        <v>139</v>
      </c>
      <c r="G2561">
        <v>23</v>
      </c>
      <c r="H2561">
        <v>2930</v>
      </c>
      <c r="I2561">
        <v>0</v>
      </c>
      <c r="J2561">
        <v>86</v>
      </c>
      <c r="K2561">
        <v>61</v>
      </c>
      <c r="L2561">
        <v>-2930</v>
      </c>
      <c r="M2561">
        <v>1</v>
      </c>
      <c r="N2561">
        <v>0</v>
      </c>
      <c r="O2561" s="1" t="s">
        <v>4408</v>
      </c>
      <c r="P2561">
        <v>0</v>
      </c>
      <c r="Q2561">
        <v>0</v>
      </c>
      <c r="R2561">
        <v>0</v>
      </c>
      <c r="S2561">
        <v>0</v>
      </c>
      <c r="T2561">
        <v>57.431486270000001</v>
      </c>
      <c r="U2561">
        <f t="shared" si="78"/>
        <v>0</v>
      </c>
      <c r="V2561">
        <f t="shared" si="79"/>
        <v>0</v>
      </c>
    </row>
    <row r="2562" spans="1:22" x14ac:dyDescent="0.2">
      <c r="A2562" t="s">
        <v>106</v>
      </c>
      <c r="B2562" t="s">
        <v>7</v>
      </c>
      <c r="C2562" t="s">
        <v>76</v>
      </c>
      <c r="D2562" t="s">
        <v>77</v>
      </c>
      <c r="E2562">
        <v>12</v>
      </c>
      <c r="F2562" t="s">
        <v>194</v>
      </c>
      <c r="G2562">
        <v>64</v>
      </c>
      <c r="H2562">
        <v>492</v>
      </c>
      <c r="I2562">
        <v>0</v>
      </c>
      <c r="J2562">
        <v>108</v>
      </c>
      <c r="K2562">
        <v>94</v>
      </c>
      <c r="L2562">
        <v>-492</v>
      </c>
      <c r="M2562">
        <v>1</v>
      </c>
      <c r="N2562">
        <v>0</v>
      </c>
      <c r="O2562" s="1" t="s">
        <v>4409</v>
      </c>
      <c r="P2562">
        <v>0</v>
      </c>
      <c r="Q2562">
        <v>0</v>
      </c>
      <c r="R2562">
        <v>0</v>
      </c>
      <c r="S2562">
        <v>0</v>
      </c>
      <c r="T2562">
        <v>57.431486270000001</v>
      </c>
      <c r="U2562">
        <f t="shared" si="78"/>
        <v>0</v>
      </c>
      <c r="V2562">
        <f t="shared" si="79"/>
        <v>0</v>
      </c>
    </row>
    <row r="2563" spans="1:22" x14ac:dyDescent="0.2">
      <c r="A2563" t="s">
        <v>106</v>
      </c>
      <c r="B2563" t="s">
        <v>7</v>
      </c>
      <c r="C2563" t="s">
        <v>76</v>
      </c>
      <c r="D2563" t="s">
        <v>77</v>
      </c>
      <c r="E2563">
        <v>11</v>
      </c>
      <c r="F2563" t="s">
        <v>127</v>
      </c>
      <c r="G2563">
        <v>61</v>
      </c>
      <c r="H2563">
        <v>892</v>
      </c>
      <c r="I2563">
        <v>0</v>
      </c>
      <c r="J2563">
        <v>107</v>
      </c>
      <c r="K2563">
        <v>104</v>
      </c>
      <c r="L2563">
        <v>-892</v>
      </c>
      <c r="M2563">
        <v>1</v>
      </c>
      <c r="N2563">
        <v>0</v>
      </c>
      <c r="O2563" s="1" t="s">
        <v>4410</v>
      </c>
      <c r="P2563">
        <v>0</v>
      </c>
      <c r="Q2563">
        <v>0</v>
      </c>
      <c r="R2563">
        <v>0</v>
      </c>
      <c r="S2563">
        <v>0</v>
      </c>
      <c r="T2563">
        <v>57.431486270000001</v>
      </c>
      <c r="U2563">
        <f t="shared" ref="U2563:U2626" si="80">IF(OR(P2563=1,Q2563=1),1,0)</f>
        <v>0</v>
      </c>
      <c r="V2563">
        <f t="shared" ref="V2563:V2626" si="81">IF(OR(R2563=1,S2563=1),1,0)</f>
        <v>0</v>
      </c>
    </row>
    <row r="2564" spans="1:22" x14ac:dyDescent="0.2">
      <c r="A2564" t="s">
        <v>106</v>
      </c>
      <c r="B2564" t="s">
        <v>7</v>
      </c>
      <c r="C2564" t="s">
        <v>76</v>
      </c>
      <c r="D2564" t="s">
        <v>77</v>
      </c>
      <c r="E2564" s="1" t="s">
        <v>138</v>
      </c>
      <c r="F2564" t="s">
        <v>139</v>
      </c>
      <c r="G2564">
        <v>24</v>
      </c>
      <c r="H2564">
        <v>133</v>
      </c>
      <c r="I2564">
        <v>0</v>
      </c>
      <c r="J2564">
        <v>90</v>
      </c>
      <c r="K2564">
        <v>80</v>
      </c>
      <c r="L2564">
        <v>-133</v>
      </c>
      <c r="M2564">
        <v>1</v>
      </c>
      <c r="N2564">
        <v>0</v>
      </c>
      <c r="O2564" s="1" t="s">
        <v>4411</v>
      </c>
      <c r="P2564">
        <v>0</v>
      </c>
      <c r="Q2564">
        <v>0</v>
      </c>
      <c r="R2564">
        <v>0</v>
      </c>
      <c r="S2564">
        <v>0</v>
      </c>
      <c r="T2564">
        <v>57.431486270000001</v>
      </c>
      <c r="U2564">
        <f t="shared" si="80"/>
        <v>0</v>
      </c>
      <c r="V2564">
        <f t="shared" si="81"/>
        <v>0</v>
      </c>
    </row>
    <row r="2565" spans="1:22" x14ac:dyDescent="0.2">
      <c r="A2565" t="s">
        <v>106</v>
      </c>
      <c r="B2565" t="s">
        <v>7</v>
      </c>
      <c r="C2565" t="s">
        <v>76</v>
      </c>
      <c r="D2565" t="s">
        <v>77</v>
      </c>
      <c r="E2565">
        <v>18</v>
      </c>
      <c r="F2565" t="s">
        <v>147</v>
      </c>
      <c r="G2565">
        <v>91</v>
      </c>
      <c r="H2565">
        <v>123</v>
      </c>
      <c r="I2565">
        <v>0</v>
      </c>
      <c r="J2565">
        <v>89</v>
      </c>
      <c r="K2565">
        <v>69</v>
      </c>
      <c r="L2565">
        <v>-123</v>
      </c>
      <c r="M2565">
        <v>1</v>
      </c>
      <c r="N2565">
        <v>0</v>
      </c>
      <c r="O2565" s="1" t="s">
        <v>4412</v>
      </c>
      <c r="P2565">
        <v>0</v>
      </c>
      <c r="Q2565">
        <v>0</v>
      </c>
      <c r="R2565">
        <v>0</v>
      </c>
      <c r="S2565">
        <v>0</v>
      </c>
      <c r="T2565">
        <v>57.431486270000001</v>
      </c>
      <c r="U2565">
        <f t="shared" si="80"/>
        <v>0</v>
      </c>
      <c r="V2565">
        <f t="shared" si="81"/>
        <v>0</v>
      </c>
    </row>
    <row r="2566" spans="1:22" x14ac:dyDescent="0.2">
      <c r="A2566" t="s">
        <v>106</v>
      </c>
      <c r="B2566" t="s">
        <v>7</v>
      </c>
      <c r="C2566" t="s">
        <v>76</v>
      </c>
      <c r="D2566" t="s">
        <v>77</v>
      </c>
      <c r="E2566" s="1" t="s">
        <v>138</v>
      </c>
      <c r="F2566" t="s">
        <v>139</v>
      </c>
      <c r="G2566">
        <v>16</v>
      </c>
      <c r="H2566">
        <v>109</v>
      </c>
      <c r="I2566">
        <v>0</v>
      </c>
      <c r="J2566">
        <v>81</v>
      </c>
      <c r="K2566">
        <v>73</v>
      </c>
      <c r="L2566">
        <v>-109</v>
      </c>
      <c r="M2566">
        <v>1</v>
      </c>
      <c r="N2566">
        <v>0</v>
      </c>
      <c r="O2566" s="1" t="s">
        <v>4413</v>
      </c>
      <c r="P2566">
        <v>0</v>
      </c>
      <c r="Q2566">
        <v>0</v>
      </c>
      <c r="R2566">
        <v>0</v>
      </c>
      <c r="S2566">
        <v>0</v>
      </c>
      <c r="T2566">
        <v>57.431486270000001</v>
      </c>
      <c r="U2566">
        <f t="shared" si="80"/>
        <v>0</v>
      </c>
      <c r="V2566">
        <f t="shared" si="81"/>
        <v>0</v>
      </c>
    </row>
    <row r="2567" spans="1:22" x14ac:dyDescent="0.2">
      <c r="A2567" t="s">
        <v>106</v>
      </c>
      <c r="B2567" t="s">
        <v>7</v>
      </c>
      <c r="C2567" t="s">
        <v>76</v>
      </c>
      <c r="D2567" t="s">
        <v>77</v>
      </c>
      <c r="E2567" s="1" t="s">
        <v>138</v>
      </c>
      <c r="F2567" t="s">
        <v>139</v>
      </c>
      <c r="G2567">
        <v>20</v>
      </c>
      <c r="H2567">
        <v>0</v>
      </c>
      <c r="I2567">
        <v>17340</v>
      </c>
      <c r="J2567">
        <v>88</v>
      </c>
      <c r="K2567">
        <v>84</v>
      </c>
      <c r="L2567">
        <v>17340</v>
      </c>
      <c r="M2567">
        <v>0</v>
      </c>
      <c r="N2567">
        <v>1</v>
      </c>
      <c r="O2567" s="1" t="s">
        <v>4414</v>
      </c>
      <c r="P2567">
        <v>0</v>
      </c>
      <c r="Q2567">
        <v>0</v>
      </c>
      <c r="R2567">
        <v>0</v>
      </c>
      <c r="S2567">
        <v>0</v>
      </c>
      <c r="T2567">
        <v>57.431486270000001</v>
      </c>
      <c r="U2567">
        <f t="shared" si="80"/>
        <v>0</v>
      </c>
      <c r="V2567">
        <f t="shared" si="81"/>
        <v>0</v>
      </c>
    </row>
    <row r="2568" spans="1:22" x14ac:dyDescent="0.2">
      <c r="A2568" t="s">
        <v>106</v>
      </c>
      <c r="B2568" t="s">
        <v>7</v>
      </c>
      <c r="C2568" t="s">
        <v>76</v>
      </c>
      <c r="D2568" t="s">
        <v>77</v>
      </c>
      <c r="E2568">
        <v>17</v>
      </c>
      <c r="F2568" t="s">
        <v>97</v>
      </c>
      <c r="G2568">
        <v>89</v>
      </c>
      <c r="H2568">
        <v>0</v>
      </c>
      <c r="I2568">
        <v>23032</v>
      </c>
      <c r="J2568">
        <v>85</v>
      </c>
      <c r="K2568">
        <v>59</v>
      </c>
      <c r="L2568">
        <v>23032</v>
      </c>
      <c r="M2568">
        <v>0</v>
      </c>
      <c r="N2568">
        <v>1</v>
      </c>
      <c r="O2568" s="1" t="s">
        <v>4415</v>
      </c>
      <c r="P2568">
        <v>0</v>
      </c>
      <c r="Q2568">
        <v>0</v>
      </c>
      <c r="R2568">
        <v>0</v>
      </c>
      <c r="S2568">
        <v>0</v>
      </c>
      <c r="T2568">
        <v>57.431486270000001</v>
      </c>
      <c r="U2568">
        <f t="shared" si="80"/>
        <v>0</v>
      </c>
      <c r="V2568">
        <f t="shared" si="81"/>
        <v>0</v>
      </c>
    </row>
    <row r="2569" spans="1:22" x14ac:dyDescent="0.2">
      <c r="A2569" t="s">
        <v>164</v>
      </c>
      <c r="B2569" t="s">
        <v>8</v>
      </c>
      <c r="C2569" t="s">
        <v>76</v>
      </c>
      <c r="D2569" t="s">
        <v>77</v>
      </c>
      <c r="E2569" s="1" t="s">
        <v>89</v>
      </c>
      <c r="F2569" t="s">
        <v>90</v>
      </c>
      <c r="G2569">
        <v>30</v>
      </c>
      <c r="H2569">
        <v>2872901</v>
      </c>
      <c r="I2569">
        <v>4</v>
      </c>
      <c r="J2569">
        <v>49</v>
      </c>
      <c r="K2569">
        <v>89</v>
      </c>
      <c r="L2569">
        <v>-2872897</v>
      </c>
      <c r="M2569" s="1" t="s">
        <v>4416</v>
      </c>
      <c r="N2569" s="1" t="s">
        <v>4417</v>
      </c>
      <c r="O2569">
        <v>3.5949089780741498E-3</v>
      </c>
      <c r="P2569">
        <v>0</v>
      </c>
      <c r="Q2569">
        <v>0</v>
      </c>
      <c r="R2569">
        <v>0</v>
      </c>
      <c r="S2569">
        <v>0</v>
      </c>
      <c r="T2569">
        <v>39.663424999999997</v>
      </c>
      <c r="U2569">
        <f t="shared" si="80"/>
        <v>0</v>
      </c>
      <c r="V2569">
        <f t="shared" si="81"/>
        <v>0</v>
      </c>
    </row>
    <row r="2570" spans="1:22" x14ac:dyDescent="0.2">
      <c r="A2570" t="s">
        <v>164</v>
      </c>
      <c r="B2570" t="s">
        <v>8</v>
      </c>
      <c r="C2570" t="s">
        <v>76</v>
      </c>
      <c r="D2570" t="s">
        <v>77</v>
      </c>
      <c r="E2570" s="1" t="s">
        <v>82</v>
      </c>
      <c r="F2570" t="s">
        <v>83</v>
      </c>
      <c r="G2570">
        <v>11</v>
      </c>
      <c r="H2570">
        <v>21330</v>
      </c>
      <c r="I2570">
        <v>39</v>
      </c>
      <c r="J2570">
        <v>84</v>
      </c>
      <c r="K2570">
        <v>67</v>
      </c>
      <c r="L2570">
        <v>-21291</v>
      </c>
      <c r="M2570" s="1" t="s">
        <v>4418</v>
      </c>
      <c r="N2570">
        <v>1.82507370489962E-3</v>
      </c>
      <c r="O2570" s="1" t="s">
        <v>4419</v>
      </c>
      <c r="P2570">
        <v>0</v>
      </c>
      <c r="Q2570">
        <v>0</v>
      </c>
      <c r="R2570">
        <v>0</v>
      </c>
      <c r="S2570">
        <v>0</v>
      </c>
      <c r="T2570">
        <v>39.663424999999997</v>
      </c>
      <c r="U2570">
        <f t="shared" si="80"/>
        <v>0</v>
      </c>
      <c r="V2570">
        <f t="shared" si="81"/>
        <v>0</v>
      </c>
    </row>
    <row r="2571" spans="1:22" x14ac:dyDescent="0.2">
      <c r="A2571" t="s">
        <v>164</v>
      </c>
      <c r="B2571" t="s">
        <v>8</v>
      </c>
      <c r="C2571" t="s">
        <v>76</v>
      </c>
      <c r="D2571" t="s">
        <v>77</v>
      </c>
      <c r="E2571">
        <v>17</v>
      </c>
      <c r="F2571" t="s">
        <v>97</v>
      </c>
      <c r="G2571">
        <v>86</v>
      </c>
      <c r="H2571">
        <v>21163</v>
      </c>
      <c r="I2571">
        <v>13121</v>
      </c>
      <c r="J2571">
        <v>63</v>
      </c>
      <c r="K2571">
        <v>56</v>
      </c>
      <c r="L2571">
        <v>-8042</v>
      </c>
      <c r="M2571" s="1" t="s">
        <v>4420</v>
      </c>
      <c r="N2571" s="1" t="s">
        <v>4421</v>
      </c>
      <c r="O2571" s="1" t="s">
        <v>4422</v>
      </c>
      <c r="P2571">
        <v>0</v>
      </c>
      <c r="Q2571">
        <v>0</v>
      </c>
      <c r="R2571">
        <v>0</v>
      </c>
      <c r="S2571">
        <v>0</v>
      </c>
      <c r="T2571">
        <v>39.663424999999997</v>
      </c>
      <c r="U2571">
        <f t="shared" si="80"/>
        <v>0</v>
      </c>
      <c r="V2571">
        <f t="shared" si="81"/>
        <v>0</v>
      </c>
    </row>
    <row r="2572" spans="1:22" x14ac:dyDescent="0.2">
      <c r="A2572" t="s">
        <v>164</v>
      </c>
      <c r="B2572" t="s">
        <v>8</v>
      </c>
      <c r="C2572" t="s">
        <v>76</v>
      </c>
      <c r="D2572" t="s">
        <v>77</v>
      </c>
      <c r="E2572" s="1" t="s">
        <v>89</v>
      </c>
      <c r="F2572" t="s">
        <v>90</v>
      </c>
      <c r="G2572">
        <v>29</v>
      </c>
      <c r="H2572">
        <v>98162</v>
      </c>
      <c r="I2572">
        <v>0</v>
      </c>
      <c r="J2572">
        <v>105</v>
      </c>
      <c r="K2572">
        <v>81</v>
      </c>
      <c r="L2572">
        <v>-98162</v>
      </c>
      <c r="M2572">
        <v>1</v>
      </c>
      <c r="N2572">
        <v>0</v>
      </c>
      <c r="O2572" s="1" t="s">
        <v>4423</v>
      </c>
      <c r="P2572">
        <v>0</v>
      </c>
      <c r="Q2572">
        <v>0</v>
      </c>
      <c r="R2572">
        <v>0</v>
      </c>
      <c r="S2572">
        <v>0</v>
      </c>
      <c r="T2572">
        <v>39.663424999999997</v>
      </c>
      <c r="U2572">
        <f t="shared" si="80"/>
        <v>0</v>
      </c>
      <c r="V2572">
        <f t="shared" si="81"/>
        <v>0</v>
      </c>
    </row>
    <row r="2573" spans="1:22" x14ac:dyDescent="0.2">
      <c r="A2573" t="s">
        <v>164</v>
      </c>
      <c r="B2573" t="s">
        <v>8</v>
      </c>
      <c r="C2573" t="s">
        <v>76</v>
      </c>
      <c r="D2573" t="s">
        <v>77</v>
      </c>
      <c r="E2573">
        <v>11</v>
      </c>
      <c r="F2573" t="s">
        <v>127</v>
      </c>
      <c r="G2573">
        <v>55</v>
      </c>
      <c r="H2573">
        <v>2664</v>
      </c>
      <c r="I2573">
        <v>0</v>
      </c>
      <c r="J2573">
        <v>56</v>
      </c>
      <c r="K2573">
        <v>65</v>
      </c>
      <c r="L2573">
        <v>-2664</v>
      </c>
      <c r="M2573">
        <v>1</v>
      </c>
      <c r="N2573">
        <v>0</v>
      </c>
      <c r="O2573" s="1" t="s">
        <v>4424</v>
      </c>
      <c r="P2573">
        <v>0</v>
      </c>
      <c r="Q2573">
        <v>0</v>
      </c>
      <c r="R2573">
        <v>0</v>
      </c>
      <c r="S2573">
        <v>0</v>
      </c>
      <c r="T2573">
        <v>39.663424999999997</v>
      </c>
      <c r="U2573">
        <f t="shared" si="80"/>
        <v>0</v>
      </c>
      <c r="V2573">
        <f t="shared" si="81"/>
        <v>0</v>
      </c>
    </row>
    <row r="2574" spans="1:22" x14ac:dyDescent="0.2">
      <c r="A2574" t="s">
        <v>164</v>
      </c>
      <c r="B2574" t="s">
        <v>8</v>
      </c>
      <c r="C2574" t="s">
        <v>76</v>
      </c>
      <c r="D2574" t="s">
        <v>77</v>
      </c>
      <c r="E2574" s="1" t="s">
        <v>93</v>
      </c>
      <c r="F2574" t="s">
        <v>94</v>
      </c>
      <c r="G2574">
        <v>45</v>
      </c>
      <c r="H2574">
        <v>696</v>
      </c>
      <c r="I2574">
        <v>0</v>
      </c>
      <c r="J2574">
        <v>33</v>
      </c>
      <c r="K2574">
        <v>45</v>
      </c>
      <c r="L2574">
        <v>-696</v>
      </c>
      <c r="M2574">
        <v>1</v>
      </c>
      <c r="N2574">
        <v>0</v>
      </c>
      <c r="O2574" s="1" t="s">
        <v>4425</v>
      </c>
      <c r="P2574">
        <v>0</v>
      </c>
      <c r="Q2574">
        <v>0</v>
      </c>
      <c r="R2574">
        <v>0</v>
      </c>
      <c r="S2574">
        <v>0</v>
      </c>
      <c r="T2574">
        <v>39.663424999999997</v>
      </c>
      <c r="U2574">
        <f t="shared" si="80"/>
        <v>0</v>
      </c>
      <c r="V2574">
        <f t="shared" si="81"/>
        <v>0</v>
      </c>
    </row>
    <row r="2575" spans="1:22" x14ac:dyDescent="0.2">
      <c r="A2575" t="s">
        <v>164</v>
      </c>
      <c r="B2575" t="s">
        <v>8</v>
      </c>
      <c r="C2575" t="s">
        <v>76</v>
      </c>
      <c r="D2575" t="s">
        <v>77</v>
      </c>
      <c r="E2575">
        <v>11</v>
      </c>
      <c r="F2575" t="s">
        <v>127</v>
      </c>
      <c r="G2575">
        <v>58</v>
      </c>
      <c r="H2575">
        <v>766</v>
      </c>
      <c r="I2575">
        <v>0</v>
      </c>
      <c r="J2575">
        <v>62</v>
      </c>
      <c r="K2575">
        <v>65</v>
      </c>
      <c r="L2575">
        <v>-766</v>
      </c>
      <c r="M2575">
        <v>1</v>
      </c>
      <c r="N2575">
        <v>0</v>
      </c>
      <c r="O2575" s="1" t="s">
        <v>240</v>
      </c>
      <c r="P2575">
        <v>0</v>
      </c>
      <c r="Q2575">
        <v>0</v>
      </c>
      <c r="R2575">
        <v>0</v>
      </c>
      <c r="S2575">
        <v>0</v>
      </c>
      <c r="T2575">
        <v>39.663424999999997</v>
      </c>
      <c r="U2575">
        <f t="shared" si="80"/>
        <v>0</v>
      </c>
      <c r="V2575">
        <f t="shared" si="81"/>
        <v>0</v>
      </c>
    </row>
    <row r="2576" spans="1:22" x14ac:dyDescent="0.2">
      <c r="A2576" t="s">
        <v>164</v>
      </c>
      <c r="B2576" t="s">
        <v>8</v>
      </c>
      <c r="C2576" t="s">
        <v>76</v>
      </c>
      <c r="D2576" t="s">
        <v>77</v>
      </c>
      <c r="E2576">
        <v>10</v>
      </c>
      <c r="F2576" t="s">
        <v>119</v>
      </c>
      <c r="G2576">
        <v>47</v>
      </c>
      <c r="H2576">
        <v>367</v>
      </c>
      <c r="I2576">
        <v>0</v>
      </c>
      <c r="J2576">
        <v>74</v>
      </c>
      <c r="K2576">
        <v>37</v>
      </c>
      <c r="L2576">
        <v>-367</v>
      </c>
      <c r="M2576">
        <v>1</v>
      </c>
      <c r="N2576">
        <v>0</v>
      </c>
      <c r="O2576" s="1" t="s">
        <v>4426</v>
      </c>
      <c r="P2576">
        <v>0</v>
      </c>
      <c r="Q2576">
        <v>0</v>
      </c>
      <c r="R2576">
        <v>0</v>
      </c>
      <c r="S2576">
        <v>0</v>
      </c>
      <c r="T2576">
        <v>39.663424999999997</v>
      </c>
      <c r="U2576">
        <f t="shared" si="80"/>
        <v>0</v>
      </c>
      <c r="V2576">
        <f t="shared" si="81"/>
        <v>0</v>
      </c>
    </row>
    <row r="2577" spans="1:22" x14ac:dyDescent="0.2">
      <c r="A2577" t="s">
        <v>164</v>
      </c>
      <c r="B2577" t="s">
        <v>8</v>
      </c>
      <c r="C2577" t="s">
        <v>76</v>
      </c>
      <c r="D2577" t="s">
        <v>77</v>
      </c>
      <c r="E2577">
        <v>14</v>
      </c>
      <c r="F2577" t="s">
        <v>261</v>
      </c>
      <c r="G2577">
        <v>71</v>
      </c>
      <c r="H2577">
        <v>250</v>
      </c>
      <c r="I2577">
        <v>0</v>
      </c>
      <c r="J2577">
        <v>90</v>
      </c>
      <c r="K2577">
        <v>89</v>
      </c>
      <c r="L2577">
        <v>-250</v>
      </c>
      <c r="M2577">
        <v>1</v>
      </c>
      <c r="N2577">
        <v>0</v>
      </c>
      <c r="O2577" s="1" t="s">
        <v>4427</v>
      </c>
      <c r="P2577">
        <v>0</v>
      </c>
      <c r="Q2577">
        <v>0</v>
      </c>
      <c r="R2577">
        <v>0</v>
      </c>
      <c r="S2577">
        <v>0</v>
      </c>
      <c r="T2577">
        <v>39.663424999999997</v>
      </c>
      <c r="U2577">
        <f t="shared" si="80"/>
        <v>0</v>
      </c>
      <c r="V2577">
        <f t="shared" si="81"/>
        <v>0</v>
      </c>
    </row>
    <row r="2578" spans="1:22" x14ac:dyDescent="0.2">
      <c r="A2578" t="s">
        <v>164</v>
      </c>
      <c r="B2578" t="s">
        <v>8</v>
      </c>
      <c r="C2578" t="s">
        <v>76</v>
      </c>
      <c r="D2578" t="s">
        <v>77</v>
      </c>
      <c r="E2578">
        <v>11</v>
      </c>
      <c r="F2578" t="s">
        <v>127</v>
      </c>
      <c r="G2578">
        <v>53</v>
      </c>
      <c r="H2578">
        <v>166</v>
      </c>
      <c r="I2578">
        <v>0</v>
      </c>
      <c r="J2578">
        <v>72</v>
      </c>
      <c r="K2578">
        <v>49</v>
      </c>
      <c r="L2578">
        <v>-166</v>
      </c>
      <c r="M2578">
        <v>1</v>
      </c>
      <c r="N2578">
        <v>0</v>
      </c>
      <c r="O2578" s="1" t="s">
        <v>4428</v>
      </c>
      <c r="P2578">
        <v>0</v>
      </c>
      <c r="Q2578">
        <v>0</v>
      </c>
      <c r="R2578">
        <v>0</v>
      </c>
      <c r="S2578">
        <v>0</v>
      </c>
      <c r="T2578">
        <v>39.663424999999997</v>
      </c>
      <c r="U2578">
        <f t="shared" si="80"/>
        <v>0</v>
      </c>
      <c r="V2578">
        <f t="shared" si="81"/>
        <v>0</v>
      </c>
    </row>
    <row r="2579" spans="1:22" x14ac:dyDescent="0.2">
      <c r="A2579" t="s">
        <v>164</v>
      </c>
      <c r="B2579" t="s">
        <v>8</v>
      </c>
      <c r="C2579" t="s">
        <v>76</v>
      </c>
      <c r="D2579" t="s">
        <v>77</v>
      </c>
      <c r="E2579">
        <v>11</v>
      </c>
      <c r="F2579" t="s">
        <v>127</v>
      </c>
      <c r="G2579">
        <v>51</v>
      </c>
      <c r="H2579">
        <v>104</v>
      </c>
      <c r="I2579">
        <v>0</v>
      </c>
      <c r="J2579">
        <v>56</v>
      </c>
      <c r="K2579">
        <v>56</v>
      </c>
      <c r="L2579">
        <v>-104</v>
      </c>
      <c r="M2579">
        <v>1</v>
      </c>
      <c r="N2579">
        <v>0</v>
      </c>
      <c r="O2579" s="1" t="s">
        <v>4429</v>
      </c>
      <c r="P2579">
        <v>0</v>
      </c>
      <c r="Q2579">
        <v>0</v>
      </c>
      <c r="R2579">
        <v>0</v>
      </c>
      <c r="S2579">
        <v>0</v>
      </c>
      <c r="T2579">
        <v>39.663424999999997</v>
      </c>
      <c r="U2579">
        <f t="shared" si="80"/>
        <v>0</v>
      </c>
      <c r="V2579">
        <f t="shared" si="81"/>
        <v>0</v>
      </c>
    </row>
    <row r="2580" spans="1:22" x14ac:dyDescent="0.2">
      <c r="A2580" t="s">
        <v>164</v>
      </c>
      <c r="B2580" t="s">
        <v>8</v>
      </c>
      <c r="C2580" t="s">
        <v>76</v>
      </c>
      <c r="D2580" t="s">
        <v>77</v>
      </c>
      <c r="E2580">
        <v>15</v>
      </c>
      <c r="F2580" t="s">
        <v>88</v>
      </c>
      <c r="G2580">
        <v>80</v>
      </c>
      <c r="H2580">
        <v>55</v>
      </c>
      <c r="I2580">
        <v>0</v>
      </c>
      <c r="J2580">
        <v>51</v>
      </c>
      <c r="K2580">
        <v>42</v>
      </c>
      <c r="L2580">
        <v>-55</v>
      </c>
      <c r="M2580">
        <v>1</v>
      </c>
      <c r="N2580">
        <v>0</v>
      </c>
      <c r="O2580" s="1" t="s">
        <v>4430</v>
      </c>
      <c r="P2580">
        <v>0</v>
      </c>
      <c r="Q2580">
        <v>0</v>
      </c>
      <c r="R2580">
        <v>0</v>
      </c>
      <c r="S2580">
        <v>0</v>
      </c>
      <c r="T2580">
        <v>39.663424999999997</v>
      </c>
      <c r="U2580">
        <f t="shared" si="80"/>
        <v>0</v>
      </c>
      <c r="V2580">
        <f t="shared" si="81"/>
        <v>0</v>
      </c>
    </row>
    <row r="2581" spans="1:22" x14ac:dyDescent="0.2">
      <c r="A2581" t="s">
        <v>164</v>
      </c>
      <c r="B2581" t="s">
        <v>8</v>
      </c>
      <c r="C2581" t="s">
        <v>76</v>
      </c>
      <c r="D2581" t="s">
        <v>77</v>
      </c>
      <c r="E2581" s="1" t="s">
        <v>138</v>
      </c>
      <c r="F2581" t="s">
        <v>139</v>
      </c>
      <c r="G2581">
        <v>22</v>
      </c>
      <c r="H2581">
        <v>0</v>
      </c>
      <c r="I2581">
        <v>19</v>
      </c>
      <c r="J2581">
        <v>140</v>
      </c>
      <c r="K2581">
        <v>94</v>
      </c>
      <c r="L2581">
        <v>19</v>
      </c>
      <c r="M2581">
        <v>0</v>
      </c>
      <c r="N2581">
        <v>1</v>
      </c>
      <c r="O2581" s="1" t="s">
        <v>4431</v>
      </c>
      <c r="P2581">
        <v>0</v>
      </c>
      <c r="Q2581">
        <v>0</v>
      </c>
      <c r="R2581">
        <v>0</v>
      </c>
      <c r="S2581">
        <v>0</v>
      </c>
      <c r="T2581">
        <v>39.663424999999997</v>
      </c>
      <c r="U2581">
        <f t="shared" si="80"/>
        <v>0</v>
      </c>
      <c r="V2581">
        <f t="shared" si="81"/>
        <v>0</v>
      </c>
    </row>
    <row r="2582" spans="1:22" x14ac:dyDescent="0.2">
      <c r="A2582" t="s">
        <v>164</v>
      </c>
      <c r="B2582" t="s">
        <v>8</v>
      </c>
      <c r="C2582" t="s">
        <v>76</v>
      </c>
      <c r="D2582" t="s">
        <v>77</v>
      </c>
      <c r="E2582" s="1" t="s">
        <v>93</v>
      </c>
      <c r="F2582" t="s">
        <v>94</v>
      </c>
      <c r="G2582">
        <v>46</v>
      </c>
      <c r="H2582">
        <v>0</v>
      </c>
      <c r="I2582">
        <v>44</v>
      </c>
      <c r="J2582">
        <v>47</v>
      </c>
      <c r="K2582">
        <v>55</v>
      </c>
      <c r="L2582">
        <v>44</v>
      </c>
      <c r="M2582">
        <v>0</v>
      </c>
      <c r="N2582">
        <v>1</v>
      </c>
      <c r="O2582" s="1" t="s">
        <v>4432</v>
      </c>
      <c r="P2582">
        <v>0</v>
      </c>
      <c r="Q2582">
        <v>0</v>
      </c>
      <c r="R2582">
        <v>0</v>
      </c>
      <c r="S2582">
        <v>0</v>
      </c>
      <c r="T2582">
        <v>39.663424999999997</v>
      </c>
      <c r="U2582">
        <f t="shared" si="80"/>
        <v>0</v>
      </c>
      <c r="V2582">
        <f t="shared" si="81"/>
        <v>0</v>
      </c>
    </row>
    <row r="2583" spans="1:22" x14ac:dyDescent="0.2">
      <c r="A2583" t="s">
        <v>451</v>
      </c>
      <c r="B2583" t="s">
        <v>10</v>
      </c>
      <c r="C2583" t="s">
        <v>76</v>
      </c>
      <c r="D2583" t="s">
        <v>77</v>
      </c>
      <c r="E2583">
        <v>11</v>
      </c>
      <c r="F2583" t="s">
        <v>127</v>
      </c>
      <c r="G2583">
        <v>51</v>
      </c>
      <c r="H2583">
        <v>77031</v>
      </c>
      <c r="I2583">
        <v>11197</v>
      </c>
      <c r="J2583">
        <v>21</v>
      </c>
      <c r="K2583">
        <v>47</v>
      </c>
      <c r="L2583">
        <v>-65834</v>
      </c>
      <c r="M2583" s="1" t="s">
        <v>4433</v>
      </c>
      <c r="N2583" s="1" t="s">
        <v>4434</v>
      </c>
      <c r="O2583" s="1" t="s">
        <v>4435</v>
      </c>
      <c r="P2583">
        <v>0</v>
      </c>
      <c r="Q2583">
        <v>0</v>
      </c>
      <c r="R2583">
        <v>0</v>
      </c>
      <c r="S2583">
        <v>0</v>
      </c>
      <c r="T2583">
        <v>483.10993400000001</v>
      </c>
      <c r="U2583">
        <f t="shared" si="80"/>
        <v>0</v>
      </c>
      <c r="V2583">
        <f t="shared" si="81"/>
        <v>0</v>
      </c>
    </row>
    <row r="2584" spans="1:22" x14ac:dyDescent="0.2">
      <c r="A2584" t="s">
        <v>451</v>
      </c>
      <c r="B2584" t="s">
        <v>10</v>
      </c>
      <c r="C2584" t="s">
        <v>76</v>
      </c>
      <c r="D2584" t="s">
        <v>77</v>
      </c>
      <c r="E2584" s="1" t="s">
        <v>93</v>
      </c>
      <c r="F2584" t="s">
        <v>94</v>
      </c>
      <c r="G2584">
        <v>45</v>
      </c>
      <c r="H2584">
        <v>31379</v>
      </c>
      <c r="I2584">
        <v>0</v>
      </c>
      <c r="J2584">
        <v>12</v>
      </c>
      <c r="K2584">
        <v>45</v>
      </c>
      <c r="L2584">
        <v>-31379</v>
      </c>
      <c r="M2584">
        <v>1</v>
      </c>
      <c r="N2584">
        <v>0</v>
      </c>
      <c r="O2584" s="1" t="s">
        <v>4436</v>
      </c>
      <c r="P2584">
        <v>0</v>
      </c>
      <c r="Q2584">
        <v>0</v>
      </c>
      <c r="R2584">
        <v>0</v>
      </c>
      <c r="S2584">
        <v>0</v>
      </c>
      <c r="T2584">
        <v>483.10993400000001</v>
      </c>
      <c r="U2584">
        <f t="shared" si="80"/>
        <v>0</v>
      </c>
      <c r="V2584">
        <f t="shared" si="81"/>
        <v>0</v>
      </c>
    </row>
    <row r="2585" spans="1:22" x14ac:dyDescent="0.2">
      <c r="A2585" t="s">
        <v>451</v>
      </c>
      <c r="B2585" t="s">
        <v>10</v>
      </c>
      <c r="C2585" t="s">
        <v>76</v>
      </c>
      <c r="D2585" t="s">
        <v>77</v>
      </c>
      <c r="E2585" s="1" t="s">
        <v>163</v>
      </c>
      <c r="F2585" t="s">
        <v>224</v>
      </c>
      <c r="G2585">
        <v>43</v>
      </c>
      <c r="H2585">
        <v>22642</v>
      </c>
      <c r="I2585">
        <v>0</v>
      </c>
      <c r="J2585">
        <v>36</v>
      </c>
      <c r="K2585">
        <v>58</v>
      </c>
      <c r="L2585">
        <v>-22642</v>
      </c>
      <c r="M2585">
        <v>1</v>
      </c>
      <c r="N2585">
        <v>0</v>
      </c>
      <c r="O2585" s="1" t="s">
        <v>4437</v>
      </c>
      <c r="P2585">
        <v>0</v>
      </c>
      <c r="Q2585">
        <v>0</v>
      </c>
      <c r="R2585">
        <v>0</v>
      </c>
      <c r="S2585">
        <v>0</v>
      </c>
      <c r="T2585">
        <v>483.10993400000001</v>
      </c>
      <c r="U2585">
        <f t="shared" si="80"/>
        <v>0</v>
      </c>
      <c r="V2585">
        <f t="shared" si="81"/>
        <v>0</v>
      </c>
    </row>
    <row r="2586" spans="1:22" x14ac:dyDescent="0.2">
      <c r="A2586" t="s">
        <v>814</v>
      </c>
      <c r="B2586" t="s">
        <v>12</v>
      </c>
      <c r="C2586" t="s">
        <v>76</v>
      </c>
      <c r="D2586" t="s">
        <v>77</v>
      </c>
      <c r="E2586" s="1" t="s">
        <v>82</v>
      </c>
      <c r="F2586" t="s">
        <v>83</v>
      </c>
      <c r="G2586">
        <v>10</v>
      </c>
      <c r="H2586">
        <v>23313340</v>
      </c>
      <c r="I2586">
        <v>0</v>
      </c>
      <c r="J2586">
        <v>78</v>
      </c>
      <c r="K2586">
        <v>65</v>
      </c>
      <c r="L2586">
        <v>-23313340</v>
      </c>
      <c r="M2586">
        <v>1</v>
      </c>
      <c r="N2586">
        <v>0</v>
      </c>
      <c r="O2586">
        <v>6.8027085630991496E-2</v>
      </c>
      <c r="P2586">
        <v>0</v>
      </c>
      <c r="Q2586">
        <v>0</v>
      </c>
      <c r="R2586">
        <v>0</v>
      </c>
      <c r="S2586">
        <v>0</v>
      </c>
      <c r="T2586">
        <v>41.643896949999998</v>
      </c>
      <c r="U2586">
        <f t="shared" si="80"/>
        <v>0</v>
      </c>
      <c r="V2586">
        <f t="shared" si="81"/>
        <v>0</v>
      </c>
    </row>
    <row r="2587" spans="1:22" x14ac:dyDescent="0.2">
      <c r="A2587" t="s">
        <v>814</v>
      </c>
      <c r="B2587" t="s">
        <v>12</v>
      </c>
      <c r="C2587" t="s">
        <v>76</v>
      </c>
      <c r="D2587" t="s">
        <v>77</v>
      </c>
      <c r="E2587" s="1" t="s">
        <v>89</v>
      </c>
      <c r="F2587" t="s">
        <v>90</v>
      </c>
      <c r="G2587">
        <v>32</v>
      </c>
      <c r="H2587">
        <v>135672</v>
      </c>
      <c r="I2587">
        <v>0</v>
      </c>
      <c r="J2587">
        <v>87</v>
      </c>
      <c r="K2587">
        <v>80</v>
      </c>
      <c r="L2587">
        <v>-135672</v>
      </c>
      <c r="M2587">
        <v>1</v>
      </c>
      <c r="N2587">
        <v>0</v>
      </c>
      <c r="O2587" s="1" t="s">
        <v>4438</v>
      </c>
      <c r="P2587">
        <v>0</v>
      </c>
      <c r="Q2587">
        <v>0</v>
      </c>
      <c r="R2587">
        <v>0</v>
      </c>
      <c r="S2587">
        <v>0</v>
      </c>
      <c r="T2587">
        <v>41.643896949999998</v>
      </c>
      <c r="U2587">
        <f t="shared" si="80"/>
        <v>0</v>
      </c>
      <c r="V2587">
        <f t="shared" si="81"/>
        <v>0</v>
      </c>
    </row>
    <row r="2588" spans="1:22" x14ac:dyDescent="0.2">
      <c r="A2588" t="s">
        <v>814</v>
      </c>
      <c r="B2588" t="s">
        <v>12</v>
      </c>
      <c r="C2588" t="s">
        <v>76</v>
      </c>
      <c r="D2588" t="s">
        <v>77</v>
      </c>
      <c r="E2588" s="1" t="s">
        <v>89</v>
      </c>
      <c r="F2588" t="s">
        <v>90</v>
      </c>
      <c r="G2588">
        <v>31</v>
      </c>
      <c r="H2588">
        <v>74118036</v>
      </c>
      <c r="I2588">
        <v>0</v>
      </c>
      <c r="J2588">
        <v>66</v>
      </c>
      <c r="K2588">
        <v>51</v>
      </c>
      <c r="L2588">
        <v>-74118036</v>
      </c>
      <c r="M2588">
        <v>1</v>
      </c>
      <c r="N2588">
        <v>0</v>
      </c>
      <c r="O2588" s="1" t="s">
        <v>4439</v>
      </c>
      <c r="P2588">
        <v>0</v>
      </c>
      <c r="Q2588">
        <v>0</v>
      </c>
      <c r="R2588">
        <v>0</v>
      </c>
      <c r="S2588">
        <v>0</v>
      </c>
      <c r="T2588">
        <v>41.643896949999998</v>
      </c>
      <c r="U2588">
        <f t="shared" si="80"/>
        <v>0</v>
      </c>
      <c r="V2588">
        <f t="shared" si="81"/>
        <v>0</v>
      </c>
    </row>
    <row r="2589" spans="1:22" x14ac:dyDescent="0.2">
      <c r="A2589" t="s">
        <v>814</v>
      </c>
      <c r="B2589" t="s">
        <v>12</v>
      </c>
      <c r="C2589" t="s">
        <v>76</v>
      </c>
      <c r="D2589" t="s">
        <v>77</v>
      </c>
      <c r="E2589">
        <v>11</v>
      </c>
      <c r="F2589" t="s">
        <v>127</v>
      </c>
      <c r="G2589">
        <v>63</v>
      </c>
      <c r="H2589">
        <v>34250</v>
      </c>
      <c r="I2589">
        <v>865</v>
      </c>
      <c r="J2589">
        <v>84</v>
      </c>
      <c r="K2589">
        <v>94</v>
      </c>
      <c r="L2589">
        <v>-33385</v>
      </c>
      <c r="M2589" s="1" t="s">
        <v>4440</v>
      </c>
      <c r="N2589" s="1" t="s">
        <v>4441</v>
      </c>
      <c r="O2589" s="1" t="s">
        <v>4442</v>
      </c>
      <c r="P2589">
        <v>0</v>
      </c>
      <c r="Q2589">
        <v>0</v>
      </c>
      <c r="R2589">
        <v>0</v>
      </c>
      <c r="S2589">
        <v>0</v>
      </c>
      <c r="T2589">
        <v>41.643896949999998</v>
      </c>
      <c r="U2589">
        <f t="shared" si="80"/>
        <v>0</v>
      </c>
      <c r="V2589">
        <f t="shared" si="81"/>
        <v>0</v>
      </c>
    </row>
    <row r="2590" spans="1:22" x14ac:dyDescent="0.2">
      <c r="A2590" t="s">
        <v>814</v>
      </c>
      <c r="B2590" t="s">
        <v>12</v>
      </c>
      <c r="C2590" t="s">
        <v>76</v>
      </c>
      <c r="D2590" t="s">
        <v>77</v>
      </c>
      <c r="E2590" s="1" t="s">
        <v>82</v>
      </c>
      <c r="F2590" t="s">
        <v>83</v>
      </c>
      <c r="G2590">
        <v>11</v>
      </c>
      <c r="H2590">
        <v>9939</v>
      </c>
      <c r="I2590">
        <v>0</v>
      </c>
      <c r="J2590">
        <v>90</v>
      </c>
      <c r="K2590">
        <v>71</v>
      </c>
      <c r="L2590">
        <v>-9939</v>
      </c>
      <c r="M2590">
        <v>1</v>
      </c>
      <c r="N2590">
        <v>0</v>
      </c>
      <c r="O2590" s="1" t="s">
        <v>4443</v>
      </c>
      <c r="P2590">
        <v>0</v>
      </c>
      <c r="Q2590">
        <v>0</v>
      </c>
      <c r="R2590">
        <v>0</v>
      </c>
      <c r="S2590">
        <v>0</v>
      </c>
      <c r="T2590">
        <v>41.643896949999998</v>
      </c>
      <c r="U2590">
        <f t="shared" si="80"/>
        <v>0</v>
      </c>
      <c r="V2590">
        <f t="shared" si="81"/>
        <v>0</v>
      </c>
    </row>
    <row r="2591" spans="1:22" x14ac:dyDescent="0.2">
      <c r="A2591" t="s">
        <v>814</v>
      </c>
      <c r="B2591" t="s">
        <v>12</v>
      </c>
      <c r="C2591" t="s">
        <v>76</v>
      </c>
      <c r="D2591" t="s">
        <v>77</v>
      </c>
      <c r="E2591" s="1" t="s">
        <v>138</v>
      </c>
      <c r="F2591" t="s">
        <v>139</v>
      </c>
      <c r="G2591">
        <v>20</v>
      </c>
      <c r="H2591">
        <v>9708</v>
      </c>
      <c r="I2591">
        <v>309863</v>
      </c>
      <c r="J2591">
        <v>65</v>
      </c>
      <c r="K2591">
        <v>70</v>
      </c>
      <c r="L2591">
        <v>300155</v>
      </c>
      <c r="M2591" s="1" t="s">
        <v>4444</v>
      </c>
      <c r="N2591" s="1" t="s">
        <v>4445</v>
      </c>
      <c r="O2591" s="1" t="s">
        <v>4446</v>
      </c>
      <c r="P2591">
        <v>0</v>
      </c>
      <c r="Q2591">
        <v>0</v>
      </c>
      <c r="R2591">
        <v>0</v>
      </c>
      <c r="S2591">
        <v>0</v>
      </c>
      <c r="T2591">
        <v>41.643896949999998</v>
      </c>
      <c r="U2591">
        <f t="shared" si="80"/>
        <v>0</v>
      </c>
      <c r="V2591">
        <f t="shared" si="81"/>
        <v>0</v>
      </c>
    </row>
    <row r="2592" spans="1:22" x14ac:dyDescent="0.2">
      <c r="A2592" t="s">
        <v>814</v>
      </c>
      <c r="B2592" t="s">
        <v>12</v>
      </c>
      <c r="C2592" t="s">
        <v>76</v>
      </c>
      <c r="D2592" t="s">
        <v>77</v>
      </c>
      <c r="E2592">
        <v>11</v>
      </c>
      <c r="F2592" t="s">
        <v>127</v>
      </c>
      <c r="G2592">
        <v>54</v>
      </c>
      <c r="H2592">
        <v>3123</v>
      </c>
      <c r="I2592">
        <v>0</v>
      </c>
      <c r="J2592">
        <v>66</v>
      </c>
      <c r="K2592">
        <v>68</v>
      </c>
      <c r="L2592">
        <v>-3123</v>
      </c>
      <c r="M2592">
        <v>1</v>
      </c>
      <c r="N2592">
        <v>0</v>
      </c>
      <c r="O2592" s="1" t="s">
        <v>4447</v>
      </c>
      <c r="P2592">
        <v>0</v>
      </c>
      <c r="Q2592">
        <v>0</v>
      </c>
      <c r="R2592">
        <v>0</v>
      </c>
      <c r="S2592">
        <v>0</v>
      </c>
      <c r="T2592">
        <v>41.643896949999998</v>
      </c>
      <c r="U2592">
        <f t="shared" si="80"/>
        <v>0</v>
      </c>
      <c r="V2592">
        <f t="shared" si="81"/>
        <v>0</v>
      </c>
    </row>
    <row r="2593" spans="1:22" x14ac:dyDescent="0.2">
      <c r="A2593" t="s">
        <v>814</v>
      </c>
      <c r="B2593" t="s">
        <v>12</v>
      </c>
      <c r="C2593" t="s">
        <v>76</v>
      </c>
      <c r="D2593" t="s">
        <v>77</v>
      </c>
      <c r="E2593" s="1" t="s">
        <v>99</v>
      </c>
      <c r="F2593" t="s">
        <v>100</v>
      </c>
      <c r="G2593">
        <v>40</v>
      </c>
      <c r="H2593">
        <v>582</v>
      </c>
      <c r="I2593">
        <v>34710</v>
      </c>
      <c r="J2593">
        <v>138</v>
      </c>
      <c r="K2593">
        <v>77</v>
      </c>
      <c r="L2593">
        <v>34128</v>
      </c>
      <c r="M2593" s="1" t="s">
        <v>4448</v>
      </c>
      <c r="N2593" s="1" t="s">
        <v>4449</v>
      </c>
      <c r="O2593" s="1" t="s">
        <v>4450</v>
      </c>
      <c r="P2593">
        <v>0</v>
      </c>
      <c r="Q2593">
        <v>0</v>
      </c>
      <c r="R2593">
        <v>0</v>
      </c>
      <c r="S2593">
        <v>0</v>
      </c>
      <c r="T2593">
        <v>41.643896949999998</v>
      </c>
      <c r="U2593">
        <f t="shared" si="80"/>
        <v>0</v>
      </c>
      <c r="V2593">
        <f t="shared" si="81"/>
        <v>0</v>
      </c>
    </row>
    <row r="2594" spans="1:22" x14ac:dyDescent="0.2">
      <c r="A2594" t="s">
        <v>814</v>
      </c>
      <c r="B2594" t="s">
        <v>12</v>
      </c>
      <c r="C2594" t="s">
        <v>76</v>
      </c>
      <c r="D2594" t="s">
        <v>77</v>
      </c>
      <c r="E2594" s="1" t="s">
        <v>82</v>
      </c>
      <c r="F2594" t="s">
        <v>83</v>
      </c>
      <c r="G2594" s="1" t="s">
        <v>163</v>
      </c>
      <c r="H2594">
        <v>0</v>
      </c>
      <c r="I2594">
        <v>338</v>
      </c>
      <c r="J2594">
        <v>74</v>
      </c>
      <c r="K2594">
        <v>101</v>
      </c>
      <c r="L2594">
        <v>338</v>
      </c>
      <c r="M2594">
        <v>0</v>
      </c>
      <c r="N2594">
        <v>1</v>
      </c>
      <c r="O2594" s="1" t="s">
        <v>4451</v>
      </c>
      <c r="P2594">
        <v>0</v>
      </c>
      <c r="Q2594">
        <v>0</v>
      </c>
      <c r="R2594">
        <v>0</v>
      </c>
      <c r="S2594">
        <v>0</v>
      </c>
      <c r="T2594">
        <v>41.643896949999998</v>
      </c>
      <c r="U2594">
        <f t="shared" si="80"/>
        <v>0</v>
      </c>
      <c r="V2594">
        <f t="shared" si="81"/>
        <v>0</v>
      </c>
    </row>
    <row r="2595" spans="1:22" x14ac:dyDescent="0.2">
      <c r="A2595" t="s">
        <v>814</v>
      </c>
      <c r="B2595" t="s">
        <v>12</v>
      </c>
      <c r="C2595" t="s">
        <v>76</v>
      </c>
      <c r="D2595" t="s">
        <v>77</v>
      </c>
      <c r="E2595">
        <v>10</v>
      </c>
      <c r="F2595" t="s">
        <v>119</v>
      </c>
      <c r="G2595">
        <v>49</v>
      </c>
      <c r="H2595">
        <v>333</v>
      </c>
      <c r="I2595">
        <v>845</v>
      </c>
      <c r="J2595">
        <v>128</v>
      </c>
      <c r="K2595">
        <v>83</v>
      </c>
      <c r="L2595">
        <v>512</v>
      </c>
      <c r="M2595" s="1" t="s">
        <v>4452</v>
      </c>
      <c r="N2595" s="1" t="s">
        <v>4453</v>
      </c>
      <c r="O2595" s="1" t="s">
        <v>4454</v>
      </c>
      <c r="P2595">
        <v>0</v>
      </c>
      <c r="Q2595">
        <v>0</v>
      </c>
      <c r="R2595">
        <v>0</v>
      </c>
      <c r="S2595">
        <v>0</v>
      </c>
      <c r="T2595">
        <v>41.643896949999998</v>
      </c>
      <c r="U2595">
        <f t="shared" si="80"/>
        <v>0</v>
      </c>
      <c r="V2595">
        <f t="shared" si="81"/>
        <v>0</v>
      </c>
    </row>
    <row r="2596" spans="1:22" x14ac:dyDescent="0.2">
      <c r="A2596" t="s">
        <v>814</v>
      </c>
      <c r="B2596" t="s">
        <v>12</v>
      </c>
      <c r="C2596" t="s">
        <v>76</v>
      </c>
      <c r="D2596" t="s">
        <v>77</v>
      </c>
      <c r="E2596">
        <v>11</v>
      </c>
      <c r="F2596" t="s">
        <v>127</v>
      </c>
      <c r="G2596">
        <v>62</v>
      </c>
      <c r="H2596">
        <v>4132</v>
      </c>
      <c r="I2596">
        <v>845</v>
      </c>
      <c r="J2596">
        <v>100</v>
      </c>
      <c r="K2596">
        <v>90</v>
      </c>
      <c r="L2596">
        <v>-3287</v>
      </c>
      <c r="M2596" s="1" t="s">
        <v>4455</v>
      </c>
      <c r="N2596" s="1" t="s">
        <v>4456</v>
      </c>
      <c r="O2596" s="1" t="s">
        <v>4457</v>
      </c>
      <c r="P2596">
        <v>0</v>
      </c>
      <c r="Q2596">
        <v>0</v>
      </c>
      <c r="R2596">
        <v>0</v>
      </c>
      <c r="S2596">
        <v>0</v>
      </c>
      <c r="T2596">
        <v>41.643896949999998</v>
      </c>
      <c r="U2596">
        <f t="shared" si="80"/>
        <v>0</v>
      </c>
      <c r="V2596">
        <f t="shared" si="81"/>
        <v>0</v>
      </c>
    </row>
    <row r="2597" spans="1:22" x14ac:dyDescent="0.2">
      <c r="A2597" t="s">
        <v>828</v>
      </c>
      <c r="B2597" t="s">
        <v>13</v>
      </c>
      <c r="C2597" t="s">
        <v>76</v>
      </c>
      <c r="D2597" t="s">
        <v>77</v>
      </c>
      <c r="E2597">
        <v>15</v>
      </c>
      <c r="F2597" t="s">
        <v>88</v>
      </c>
      <c r="G2597">
        <v>72</v>
      </c>
      <c r="H2597">
        <v>4644426</v>
      </c>
      <c r="I2597">
        <v>0</v>
      </c>
      <c r="J2597">
        <v>97</v>
      </c>
      <c r="K2597">
        <v>74</v>
      </c>
      <c r="L2597">
        <v>-4644426</v>
      </c>
      <c r="M2597">
        <v>1</v>
      </c>
      <c r="N2597">
        <v>0</v>
      </c>
      <c r="O2597">
        <v>4.5323982014927001E-3</v>
      </c>
      <c r="P2597">
        <v>0</v>
      </c>
      <c r="Q2597">
        <v>0</v>
      </c>
      <c r="R2597">
        <v>0</v>
      </c>
      <c r="S2597">
        <v>0</v>
      </c>
      <c r="T2597">
        <v>100.6357569</v>
      </c>
      <c r="U2597">
        <f t="shared" si="80"/>
        <v>0</v>
      </c>
      <c r="V2597">
        <f t="shared" si="81"/>
        <v>0</v>
      </c>
    </row>
    <row r="2598" spans="1:22" x14ac:dyDescent="0.2">
      <c r="A2598" t="s">
        <v>828</v>
      </c>
      <c r="B2598" t="s">
        <v>13</v>
      </c>
      <c r="C2598" t="s">
        <v>76</v>
      </c>
      <c r="D2598" t="s">
        <v>77</v>
      </c>
      <c r="E2598" s="1" t="s">
        <v>93</v>
      </c>
      <c r="F2598" t="s">
        <v>94</v>
      </c>
      <c r="G2598">
        <v>44</v>
      </c>
      <c r="H2598">
        <v>81968</v>
      </c>
      <c r="I2598">
        <v>0</v>
      </c>
      <c r="J2598">
        <v>114</v>
      </c>
      <c r="K2598">
        <v>103</v>
      </c>
      <c r="L2598">
        <v>-81968</v>
      </c>
      <c r="M2598">
        <v>1</v>
      </c>
      <c r="N2598">
        <v>0</v>
      </c>
      <c r="O2598" s="1" t="s">
        <v>4458</v>
      </c>
      <c r="P2598">
        <v>0</v>
      </c>
      <c r="Q2598">
        <v>0</v>
      </c>
      <c r="R2598">
        <v>0</v>
      </c>
      <c r="S2598">
        <v>0</v>
      </c>
      <c r="T2598">
        <v>100.6357569</v>
      </c>
      <c r="U2598">
        <f t="shared" si="80"/>
        <v>0</v>
      </c>
      <c r="V2598">
        <f t="shared" si="81"/>
        <v>0</v>
      </c>
    </row>
    <row r="2599" spans="1:22" x14ac:dyDescent="0.2">
      <c r="A2599" t="s">
        <v>828</v>
      </c>
      <c r="B2599" t="s">
        <v>13</v>
      </c>
      <c r="C2599" t="s">
        <v>76</v>
      </c>
      <c r="D2599" t="s">
        <v>77</v>
      </c>
      <c r="E2599">
        <v>17</v>
      </c>
      <c r="F2599" t="s">
        <v>97</v>
      </c>
      <c r="G2599">
        <v>88</v>
      </c>
      <c r="H2599">
        <v>10701</v>
      </c>
      <c r="I2599">
        <v>0</v>
      </c>
      <c r="J2599">
        <v>95</v>
      </c>
      <c r="K2599">
        <v>87</v>
      </c>
      <c r="L2599">
        <v>-10701</v>
      </c>
      <c r="M2599">
        <v>1</v>
      </c>
      <c r="N2599">
        <v>0</v>
      </c>
      <c r="O2599" s="1" t="s">
        <v>4459</v>
      </c>
      <c r="P2599">
        <v>0</v>
      </c>
      <c r="Q2599">
        <v>0</v>
      </c>
      <c r="R2599">
        <v>0</v>
      </c>
      <c r="S2599">
        <v>0</v>
      </c>
      <c r="T2599">
        <v>100.6357569</v>
      </c>
      <c r="U2599">
        <f t="shared" si="80"/>
        <v>0</v>
      </c>
      <c r="V2599">
        <f t="shared" si="81"/>
        <v>0</v>
      </c>
    </row>
    <row r="2600" spans="1:22" x14ac:dyDescent="0.2">
      <c r="A2600" t="s">
        <v>828</v>
      </c>
      <c r="B2600" t="s">
        <v>13</v>
      </c>
      <c r="C2600" t="s">
        <v>76</v>
      </c>
      <c r="D2600" t="s">
        <v>77</v>
      </c>
      <c r="E2600">
        <v>11</v>
      </c>
      <c r="F2600" t="s">
        <v>127</v>
      </c>
      <c r="G2600">
        <v>62</v>
      </c>
      <c r="H2600">
        <v>9351</v>
      </c>
      <c r="I2600">
        <v>1362</v>
      </c>
      <c r="J2600">
        <v>95</v>
      </c>
      <c r="K2600">
        <v>89</v>
      </c>
      <c r="L2600">
        <v>-7989</v>
      </c>
      <c r="M2600" s="1" t="s">
        <v>4460</v>
      </c>
      <c r="N2600" s="1" t="s">
        <v>4461</v>
      </c>
      <c r="O2600" s="1" t="s">
        <v>4462</v>
      </c>
      <c r="P2600">
        <v>0</v>
      </c>
      <c r="Q2600">
        <v>0</v>
      </c>
      <c r="R2600">
        <v>0</v>
      </c>
      <c r="S2600">
        <v>0</v>
      </c>
      <c r="T2600">
        <v>100.6357569</v>
      </c>
      <c r="U2600">
        <f t="shared" si="80"/>
        <v>0</v>
      </c>
      <c r="V2600">
        <f t="shared" si="81"/>
        <v>0</v>
      </c>
    </row>
    <row r="2601" spans="1:22" x14ac:dyDescent="0.2">
      <c r="A2601" t="s">
        <v>828</v>
      </c>
      <c r="B2601" t="s">
        <v>13</v>
      </c>
      <c r="C2601" t="s">
        <v>76</v>
      </c>
      <c r="D2601" t="s">
        <v>77</v>
      </c>
      <c r="E2601" s="1" t="s">
        <v>89</v>
      </c>
      <c r="F2601" t="s">
        <v>90</v>
      </c>
      <c r="G2601">
        <v>29</v>
      </c>
      <c r="H2601">
        <v>4773</v>
      </c>
      <c r="I2601">
        <v>0</v>
      </c>
      <c r="J2601">
        <v>116</v>
      </c>
      <c r="K2601">
        <v>81</v>
      </c>
      <c r="L2601">
        <v>-4773</v>
      </c>
      <c r="M2601">
        <v>1</v>
      </c>
      <c r="N2601">
        <v>0</v>
      </c>
      <c r="O2601" s="1" t="s">
        <v>4463</v>
      </c>
      <c r="P2601">
        <v>0</v>
      </c>
      <c r="Q2601">
        <v>0</v>
      </c>
      <c r="R2601">
        <v>0</v>
      </c>
      <c r="S2601">
        <v>0</v>
      </c>
      <c r="T2601">
        <v>100.6357569</v>
      </c>
      <c r="U2601">
        <f t="shared" si="80"/>
        <v>0</v>
      </c>
      <c r="V2601">
        <f t="shared" si="81"/>
        <v>0</v>
      </c>
    </row>
    <row r="2602" spans="1:22" x14ac:dyDescent="0.2">
      <c r="A2602" t="s">
        <v>828</v>
      </c>
      <c r="B2602" t="s">
        <v>13</v>
      </c>
      <c r="C2602" t="s">
        <v>76</v>
      </c>
      <c r="D2602" t="s">
        <v>77</v>
      </c>
      <c r="E2602" s="1" t="s">
        <v>89</v>
      </c>
      <c r="F2602" t="s">
        <v>90</v>
      </c>
      <c r="G2602">
        <v>33</v>
      </c>
      <c r="H2602">
        <v>668</v>
      </c>
      <c r="I2602">
        <v>0</v>
      </c>
      <c r="J2602">
        <v>122</v>
      </c>
      <c r="K2602">
        <v>95</v>
      </c>
      <c r="L2602">
        <v>-668</v>
      </c>
      <c r="M2602">
        <v>1</v>
      </c>
      <c r="N2602">
        <v>0</v>
      </c>
      <c r="O2602" s="1" t="s">
        <v>4464</v>
      </c>
      <c r="P2602">
        <v>0</v>
      </c>
      <c r="Q2602">
        <v>0</v>
      </c>
      <c r="R2602">
        <v>0</v>
      </c>
      <c r="S2602">
        <v>0</v>
      </c>
      <c r="T2602">
        <v>100.6357569</v>
      </c>
      <c r="U2602">
        <f t="shared" si="80"/>
        <v>0</v>
      </c>
      <c r="V2602">
        <f t="shared" si="81"/>
        <v>0</v>
      </c>
    </row>
    <row r="2603" spans="1:22" x14ac:dyDescent="0.2">
      <c r="A2603" t="s">
        <v>828</v>
      </c>
      <c r="B2603" t="s">
        <v>13</v>
      </c>
      <c r="C2603" t="s">
        <v>76</v>
      </c>
      <c r="D2603" t="s">
        <v>77</v>
      </c>
      <c r="E2603" s="1" t="s">
        <v>138</v>
      </c>
      <c r="F2603" t="s">
        <v>139</v>
      </c>
      <c r="G2603">
        <v>21</v>
      </c>
      <c r="H2603">
        <v>124195</v>
      </c>
      <c r="I2603">
        <v>0</v>
      </c>
      <c r="J2603">
        <v>85</v>
      </c>
      <c r="K2603">
        <v>99</v>
      </c>
      <c r="L2603">
        <v>-124195</v>
      </c>
      <c r="M2603">
        <v>1</v>
      </c>
      <c r="N2603">
        <v>0</v>
      </c>
      <c r="O2603" s="1" t="s">
        <v>4465</v>
      </c>
      <c r="P2603">
        <v>0</v>
      </c>
      <c r="Q2603">
        <v>0</v>
      </c>
      <c r="R2603">
        <v>0</v>
      </c>
      <c r="S2603">
        <v>0</v>
      </c>
      <c r="T2603">
        <v>100.6357569</v>
      </c>
      <c r="U2603">
        <f t="shared" si="80"/>
        <v>0</v>
      </c>
      <c r="V2603">
        <f t="shared" si="81"/>
        <v>0</v>
      </c>
    </row>
    <row r="2604" spans="1:22" x14ac:dyDescent="0.2">
      <c r="A2604" t="s">
        <v>828</v>
      </c>
      <c r="B2604" t="s">
        <v>13</v>
      </c>
      <c r="C2604" t="s">
        <v>76</v>
      </c>
      <c r="D2604" t="s">
        <v>77</v>
      </c>
      <c r="E2604">
        <v>18</v>
      </c>
      <c r="F2604" t="s">
        <v>147</v>
      </c>
      <c r="G2604">
        <v>92</v>
      </c>
      <c r="H2604">
        <v>0</v>
      </c>
      <c r="I2604">
        <v>684</v>
      </c>
      <c r="J2604">
        <v>95</v>
      </c>
      <c r="K2604">
        <v>60</v>
      </c>
      <c r="L2604">
        <v>684</v>
      </c>
      <c r="M2604">
        <v>0</v>
      </c>
      <c r="N2604">
        <v>1</v>
      </c>
      <c r="O2604" s="1" t="s">
        <v>4466</v>
      </c>
      <c r="P2604">
        <v>0</v>
      </c>
      <c r="Q2604">
        <v>0</v>
      </c>
      <c r="R2604">
        <v>0</v>
      </c>
      <c r="S2604">
        <v>0</v>
      </c>
      <c r="T2604">
        <v>100.6357569</v>
      </c>
      <c r="U2604">
        <f t="shared" si="80"/>
        <v>0</v>
      </c>
      <c r="V2604">
        <f t="shared" si="81"/>
        <v>0</v>
      </c>
    </row>
    <row r="2605" spans="1:22" x14ac:dyDescent="0.2">
      <c r="A2605" t="s">
        <v>857</v>
      </c>
      <c r="B2605" t="s">
        <v>14</v>
      </c>
      <c r="C2605" t="s">
        <v>76</v>
      </c>
      <c r="D2605" t="s">
        <v>77</v>
      </c>
      <c r="E2605">
        <v>17</v>
      </c>
      <c r="F2605" t="s">
        <v>97</v>
      </c>
      <c r="G2605">
        <v>88</v>
      </c>
      <c r="H2605">
        <v>1263891</v>
      </c>
      <c r="I2605">
        <v>0</v>
      </c>
      <c r="J2605">
        <v>66</v>
      </c>
      <c r="K2605">
        <v>87</v>
      </c>
      <c r="L2605">
        <v>-1263891</v>
      </c>
      <c r="M2605">
        <v>1</v>
      </c>
      <c r="N2605">
        <v>0</v>
      </c>
      <c r="O2605">
        <v>3.8759875470340201E-3</v>
      </c>
      <c r="P2605">
        <v>0</v>
      </c>
      <c r="Q2605">
        <v>0</v>
      </c>
      <c r="R2605">
        <v>0</v>
      </c>
      <c r="S2605">
        <v>0</v>
      </c>
      <c r="T2605">
        <v>30.8574895</v>
      </c>
      <c r="U2605">
        <f t="shared" si="80"/>
        <v>0</v>
      </c>
      <c r="V2605">
        <f t="shared" si="81"/>
        <v>0</v>
      </c>
    </row>
    <row r="2606" spans="1:22" x14ac:dyDescent="0.2">
      <c r="A2606" t="s">
        <v>857</v>
      </c>
      <c r="B2606" t="s">
        <v>14</v>
      </c>
      <c r="C2606" t="s">
        <v>76</v>
      </c>
      <c r="D2606" t="s">
        <v>77</v>
      </c>
      <c r="E2606" s="1" t="s">
        <v>163</v>
      </c>
      <c r="F2606" t="s">
        <v>224</v>
      </c>
      <c r="G2606">
        <v>43</v>
      </c>
      <c r="H2606">
        <v>1162490</v>
      </c>
      <c r="I2606">
        <v>2537159</v>
      </c>
      <c r="J2606">
        <v>15</v>
      </c>
      <c r="K2606">
        <v>16</v>
      </c>
      <c r="L2606">
        <v>1374669</v>
      </c>
      <c r="M2606" s="1" t="s">
        <v>4467</v>
      </c>
      <c r="N2606" s="1" t="s">
        <v>4468</v>
      </c>
      <c r="O2606">
        <v>1.13457516925089E-2</v>
      </c>
      <c r="P2606">
        <v>0</v>
      </c>
      <c r="Q2606">
        <v>0</v>
      </c>
      <c r="R2606">
        <v>0</v>
      </c>
      <c r="S2606">
        <v>0</v>
      </c>
      <c r="T2606">
        <v>30.8574895</v>
      </c>
      <c r="U2606">
        <f t="shared" si="80"/>
        <v>0</v>
      </c>
      <c r="V2606">
        <f t="shared" si="81"/>
        <v>0</v>
      </c>
    </row>
    <row r="2607" spans="1:22" x14ac:dyDescent="0.2">
      <c r="A2607" t="s">
        <v>857</v>
      </c>
      <c r="B2607" t="s">
        <v>14</v>
      </c>
      <c r="C2607" t="s">
        <v>76</v>
      </c>
      <c r="D2607" t="s">
        <v>77</v>
      </c>
      <c r="E2607">
        <v>10</v>
      </c>
      <c r="F2607" t="s">
        <v>119</v>
      </c>
      <c r="G2607">
        <v>47</v>
      </c>
      <c r="H2607">
        <v>262336</v>
      </c>
      <c r="I2607">
        <v>0</v>
      </c>
      <c r="J2607">
        <v>62</v>
      </c>
      <c r="K2607">
        <v>37</v>
      </c>
      <c r="L2607">
        <v>-262336</v>
      </c>
      <c r="M2607">
        <v>1</v>
      </c>
      <c r="N2607">
        <v>0</v>
      </c>
      <c r="O2607" s="1" t="s">
        <v>4469</v>
      </c>
      <c r="P2607">
        <v>0</v>
      </c>
      <c r="Q2607">
        <v>0</v>
      </c>
      <c r="R2607">
        <v>0</v>
      </c>
      <c r="S2607">
        <v>0</v>
      </c>
      <c r="T2607">
        <v>30.8574895</v>
      </c>
      <c r="U2607">
        <f t="shared" si="80"/>
        <v>0</v>
      </c>
      <c r="V2607">
        <f t="shared" si="81"/>
        <v>0</v>
      </c>
    </row>
    <row r="2608" spans="1:22" x14ac:dyDescent="0.2">
      <c r="A2608" t="s">
        <v>857</v>
      </c>
      <c r="B2608" t="s">
        <v>14</v>
      </c>
      <c r="C2608" t="s">
        <v>76</v>
      </c>
      <c r="D2608" t="s">
        <v>77</v>
      </c>
      <c r="E2608" s="1" t="s">
        <v>110</v>
      </c>
      <c r="F2608" t="s">
        <v>111</v>
      </c>
      <c r="G2608">
        <v>15</v>
      </c>
      <c r="H2608">
        <v>83228</v>
      </c>
      <c r="I2608">
        <v>0</v>
      </c>
      <c r="J2608">
        <v>80</v>
      </c>
      <c r="K2608">
        <v>86</v>
      </c>
      <c r="L2608">
        <v>-83228</v>
      </c>
      <c r="M2608">
        <v>1</v>
      </c>
      <c r="N2608">
        <v>0</v>
      </c>
      <c r="O2608" s="1" t="s">
        <v>4470</v>
      </c>
      <c r="P2608">
        <v>0</v>
      </c>
      <c r="Q2608">
        <v>0</v>
      </c>
      <c r="R2608">
        <v>0</v>
      </c>
      <c r="S2608">
        <v>0</v>
      </c>
      <c r="T2608">
        <v>30.8574895</v>
      </c>
      <c r="U2608">
        <f t="shared" si="80"/>
        <v>0</v>
      </c>
      <c r="V2608">
        <f t="shared" si="81"/>
        <v>0</v>
      </c>
    </row>
    <row r="2609" spans="1:22" x14ac:dyDescent="0.2">
      <c r="A2609" t="s">
        <v>857</v>
      </c>
      <c r="B2609" t="s">
        <v>14</v>
      </c>
      <c r="C2609" t="s">
        <v>76</v>
      </c>
      <c r="D2609" t="s">
        <v>77</v>
      </c>
      <c r="E2609" s="1" t="s">
        <v>85</v>
      </c>
      <c r="F2609" t="s">
        <v>86</v>
      </c>
      <c r="G2609">
        <v>25</v>
      </c>
      <c r="H2609">
        <v>11935</v>
      </c>
      <c r="I2609">
        <v>1800</v>
      </c>
      <c r="J2609">
        <v>106</v>
      </c>
      <c r="K2609">
        <v>81</v>
      </c>
      <c r="L2609">
        <v>-10135</v>
      </c>
      <c r="M2609" s="1" t="s">
        <v>4471</v>
      </c>
      <c r="N2609" s="1" t="s">
        <v>4472</v>
      </c>
      <c r="O2609" s="1" t="s">
        <v>4473</v>
      </c>
      <c r="P2609">
        <v>0</v>
      </c>
      <c r="Q2609">
        <v>0</v>
      </c>
      <c r="R2609">
        <v>0</v>
      </c>
      <c r="S2609">
        <v>0</v>
      </c>
      <c r="T2609">
        <v>30.8574895</v>
      </c>
      <c r="U2609">
        <f t="shared" si="80"/>
        <v>0</v>
      </c>
      <c r="V2609">
        <f t="shared" si="81"/>
        <v>0</v>
      </c>
    </row>
    <row r="2610" spans="1:22" x14ac:dyDescent="0.2">
      <c r="A2610" t="s">
        <v>857</v>
      </c>
      <c r="B2610" t="s">
        <v>14</v>
      </c>
      <c r="C2610" t="s">
        <v>76</v>
      </c>
      <c r="D2610" t="s">
        <v>77</v>
      </c>
      <c r="E2610">
        <v>20</v>
      </c>
      <c r="F2610" t="s">
        <v>104</v>
      </c>
      <c r="G2610">
        <v>94</v>
      </c>
      <c r="H2610">
        <v>140784</v>
      </c>
      <c r="I2610">
        <v>3007</v>
      </c>
      <c r="J2610">
        <v>82</v>
      </c>
      <c r="K2610">
        <v>87</v>
      </c>
      <c r="L2610">
        <v>-137777</v>
      </c>
      <c r="M2610">
        <v>0.97908770368103704</v>
      </c>
      <c r="N2610">
        <v>2.0912296318962902E-2</v>
      </c>
      <c r="O2610" s="1" t="s">
        <v>4474</v>
      </c>
      <c r="P2610">
        <v>0</v>
      </c>
      <c r="Q2610">
        <v>0</v>
      </c>
      <c r="R2610">
        <v>0</v>
      </c>
      <c r="S2610">
        <v>0</v>
      </c>
      <c r="T2610">
        <v>30.8574895</v>
      </c>
      <c r="U2610">
        <f t="shared" si="80"/>
        <v>0</v>
      </c>
      <c r="V2610">
        <f t="shared" si="81"/>
        <v>0</v>
      </c>
    </row>
    <row r="2611" spans="1:22" x14ac:dyDescent="0.2">
      <c r="A2611" t="s">
        <v>857</v>
      </c>
      <c r="B2611" t="s">
        <v>14</v>
      </c>
      <c r="C2611" t="s">
        <v>76</v>
      </c>
      <c r="D2611" t="s">
        <v>77</v>
      </c>
      <c r="E2611">
        <v>15</v>
      </c>
      <c r="F2611" t="s">
        <v>88</v>
      </c>
      <c r="G2611">
        <v>83</v>
      </c>
      <c r="H2611">
        <v>11309</v>
      </c>
      <c r="I2611">
        <v>0</v>
      </c>
      <c r="J2611">
        <v>91</v>
      </c>
      <c r="K2611">
        <v>85</v>
      </c>
      <c r="L2611">
        <v>-11309</v>
      </c>
      <c r="M2611">
        <v>1</v>
      </c>
      <c r="N2611">
        <v>0</v>
      </c>
      <c r="O2611" s="1" t="s">
        <v>4475</v>
      </c>
      <c r="P2611">
        <v>0</v>
      </c>
      <c r="Q2611">
        <v>0</v>
      </c>
      <c r="R2611">
        <v>0</v>
      </c>
      <c r="S2611">
        <v>0</v>
      </c>
      <c r="T2611">
        <v>30.8574895</v>
      </c>
      <c r="U2611">
        <f t="shared" si="80"/>
        <v>0</v>
      </c>
      <c r="V2611">
        <f t="shared" si="81"/>
        <v>0</v>
      </c>
    </row>
    <row r="2612" spans="1:22" x14ac:dyDescent="0.2">
      <c r="A2612" t="s">
        <v>857</v>
      </c>
      <c r="B2612" t="s">
        <v>14</v>
      </c>
      <c r="C2612" t="s">
        <v>76</v>
      </c>
      <c r="D2612" t="s">
        <v>77</v>
      </c>
      <c r="E2612" s="1" t="s">
        <v>138</v>
      </c>
      <c r="F2612" t="s">
        <v>139</v>
      </c>
      <c r="G2612">
        <v>22</v>
      </c>
      <c r="H2612">
        <v>183977</v>
      </c>
      <c r="I2612">
        <v>0</v>
      </c>
      <c r="J2612">
        <v>96</v>
      </c>
      <c r="K2612">
        <v>98</v>
      </c>
      <c r="L2612">
        <v>-183977</v>
      </c>
      <c r="M2612">
        <v>1</v>
      </c>
      <c r="N2612">
        <v>0</v>
      </c>
      <c r="O2612" s="1" t="s">
        <v>4476</v>
      </c>
      <c r="P2612">
        <v>0</v>
      </c>
      <c r="Q2612">
        <v>0</v>
      </c>
      <c r="R2612">
        <v>0</v>
      </c>
      <c r="S2612">
        <v>0</v>
      </c>
      <c r="T2612">
        <v>30.8574895</v>
      </c>
      <c r="U2612">
        <f t="shared" si="80"/>
        <v>0</v>
      </c>
      <c r="V2612">
        <f t="shared" si="81"/>
        <v>0</v>
      </c>
    </row>
    <row r="2613" spans="1:22" x14ac:dyDescent="0.2">
      <c r="A2613" t="s">
        <v>857</v>
      </c>
      <c r="B2613" t="s">
        <v>14</v>
      </c>
      <c r="C2613" t="s">
        <v>76</v>
      </c>
      <c r="D2613" t="s">
        <v>77</v>
      </c>
      <c r="E2613" s="1" t="s">
        <v>89</v>
      </c>
      <c r="F2613" t="s">
        <v>90</v>
      </c>
      <c r="G2613">
        <v>38</v>
      </c>
      <c r="H2613">
        <v>37206</v>
      </c>
      <c r="I2613">
        <v>0</v>
      </c>
      <c r="J2613">
        <v>109</v>
      </c>
      <c r="K2613">
        <v>87</v>
      </c>
      <c r="L2613">
        <v>-37206</v>
      </c>
      <c r="M2613">
        <v>1</v>
      </c>
      <c r="N2613">
        <v>0</v>
      </c>
      <c r="O2613" s="1" t="s">
        <v>4477</v>
      </c>
      <c r="P2613">
        <v>0</v>
      </c>
      <c r="Q2613">
        <v>0</v>
      </c>
      <c r="R2613">
        <v>0</v>
      </c>
      <c r="S2613">
        <v>0</v>
      </c>
      <c r="T2613">
        <v>30.8574895</v>
      </c>
      <c r="U2613">
        <f t="shared" si="80"/>
        <v>0</v>
      </c>
      <c r="V2613">
        <f t="shared" si="81"/>
        <v>0</v>
      </c>
    </row>
    <row r="2614" spans="1:22" x14ac:dyDescent="0.2">
      <c r="A2614" t="s">
        <v>857</v>
      </c>
      <c r="B2614" t="s">
        <v>14</v>
      </c>
      <c r="C2614" t="s">
        <v>76</v>
      </c>
      <c r="D2614" t="s">
        <v>77</v>
      </c>
      <c r="E2614" s="1" t="s">
        <v>82</v>
      </c>
      <c r="F2614" t="s">
        <v>83</v>
      </c>
      <c r="G2614" s="1" t="s">
        <v>163</v>
      </c>
      <c r="H2614">
        <v>0</v>
      </c>
      <c r="I2614">
        <v>194008</v>
      </c>
      <c r="J2614">
        <v>74</v>
      </c>
      <c r="K2614">
        <v>79</v>
      </c>
      <c r="L2614">
        <v>194008</v>
      </c>
      <c r="M2614">
        <v>0</v>
      </c>
      <c r="N2614">
        <v>1</v>
      </c>
      <c r="O2614" s="1" t="s">
        <v>4478</v>
      </c>
      <c r="P2614">
        <v>0</v>
      </c>
      <c r="Q2614">
        <v>0</v>
      </c>
      <c r="R2614">
        <v>0</v>
      </c>
      <c r="S2614">
        <v>0</v>
      </c>
      <c r="T2614">
        <v>30.8574895</v>
      </c>
      <c r="U2614">
        <f t="shared" si="80"/>
        <v>0</v>
      </c>
      <c r="V2614">
        <f t="shared" si="81"/>
        <v>0</v>
      </c>
    </row>
    <row r="2615" spans="1:22" x14ac:dyDescent="0.2">
      <c r="A2615" t="s">
        <v>892</v>
      </c>
      <c r="B2615" t="s">
        <v>15</v>
      </c>
      <c r="C2615" t="s">
        <v>76</v>
      </c>
      <c r="D2615" t="s">
        <v>77</v>
      </c>
      <c r="E2615">
        <v>15</v>
      </c>
      <c r="F2615" t="s">
        <v>88</v>
      </c>
      <c r="G2615">
        <v>76</v>
      </c>
      <c r="H2615">
        <v>843320</v>
      </c>
      <c r="I2615">
        <v>0</v>
      </c>
      <c r="J2615">
        <v>85</v>
      </c>
      <c r="K2615">
        <v>92</v>
      </c>
      <c r="L2615">
        <v>-843320</v>
      </c>
      <c r="M2615">
        <v>1</v>
      </c>
      <c r="N2615">
        <v>0</v>
      </c>
      <c r="O2615">
        <v>2.1745621824142401E-3</v>
      </c>
      <c r="P2615">
        <v>0</v>
      </c>
      <c r="Q2615">
        <v>0</v>
      </c>
      <c r="R2615">
        <v>0</v>
      </c>
      <c r="S2615">
        <v>0</v>
      </c>
      <c r="T2615">
        <v>62.358898000000003</v>
      </c>
      <c r="U2615">
        <f t="shared" si="80"/>
        <v>0</v>
      </c>
      <c r="V2615">
        <f t="shared" si="81"/>
        <v>0</v>
      </c>
    </row>
    <row r="2616" spans="1:22" x14ac:dyDescent="0.2">
      <c r="A2616" t="s">
        <v>892</v>
      </c>
      <c r="B2616" t="s">
        <v>15</v>
      </c>
      <c r="C2616" t="s">
        <v>76</v>
      </c>
      <c r="D2616" t="s">
        <v>77</v>
      </c>
      <c r="E2616" s="1" t="s">
        <v>89</v>
      </c>
      <c r="F2616" t="s">
        <v>90</v>
      </c>
      <c r="G2616">
        <v>28</v>
      </c>
      <c r="H2616">
        <v>1034839</v>
      </c>
      <c r="I2616">
        <v>14076</v>
      </c>
      <c r="J2616">
        <v>104</v>
      </c>
      <c r="K2616">
        <v>77</v>
      </c>
      <c r="L2616">
        <v>-1020763</v>
      </c>
      <c r="M2616" s="1" t="s">
        <v>4479</v>
      </c>
      <c r="N2616" s="1" t="s">
        <v>4480</v>
      </c>
      <c r="O2616">
        <v>2.7047038983624701E-3</v>
      </c>
      <c r="P2616">
        <v>0</v>
      </c>
      <c r="Q2616">
        <v>0</v>
      </c>
      <c r="R2616">
        <v>0</v>
      </c>
      <c r="S2616">
        <v>0</v>
      </c>
      <c r="T2616">
        <v>62.358898000000003</v>
      </c>
      <c r="U2616">
        <f t="shared" si="80"/>
        <v>0</v>
      </c>
      <c r="V2616">
        <f t="shared" si="81"/>
        <v>0</v>
      </c>
    </row>
    <row r="2617" spans="1:22" x14ac:dyDescent="0.2">
      <c r="A2617" t="s">
        <v>892</v>
      </c>
      <c r="B2617" t="s">
        <v>15</v>
      </c>
      <c r="C2617" t="s">
        <v>76</v>
      </c>
      <c r="D2617" t="s">
        <v>77</v>
      </c>
      <c r="E2617">
        <v>15</v>
      </c>
      <c r="F2617" t="s">
        <v>88</v>
      </c>
      <c r="G2617">
        <v>82</v>
      </c>
      <c r="H2617">
        <v>119794</v>
      </c>
      <c r="I2617">
        <v>0</v>
      </c>
      <c r="J2617">
        <v>92</v>
      </c>
      <c r="K2617">
        <v>96</v>
      </c>
      <c r="L2617">
        <v>-119794</v>
      </c>
      <c r="M2617">
        <v>1</v>
      </c>
      <c r="N2617">
        <v>0</v>
      </c>
      <c r="O2617" s="1" t="s">
        <v>4481</v>
      </c>
      <c r="P2617">
        <v>0</v>
      </c>
      <c r="Q2617">
        <v>0</v>
      </c>
      <c r="R2617">
        <v>0</v>
      </c>
      <c r="S2617">
        <v>0</v>
      </c>
      <c r="T2617">
        <v>62.358898000000003</v>
      </c>
      <c r="U2617">
        <f t="shared" si="80"/>
        <v>0</v>
      </c>
      <c r="V2617">
        <f t="shared" si="81"/>
        <v>0</v>
      </c>
    </row>
    <row r="2618" spans="1:22" x14ac:dyDescent="0.2">
      <c r="A2618" t="s">
        <v>892</v>
      </c>
      <c r="B2618" t="s">
        <v>15</v>
      </c>
      <c r="C2618" t="s">
        <v>76</v>
      </c>
      <c r="D2618" t="s">
        <v>77</v>
      </c>
      <c r="E2618" s="1" t="s">
        <v>138</v>
      </c>
      <c r="F2618" t="s">
        <v>139</v>
      </c>
      <c r="G2618">
        <v>22</v>
      </c>
      <c r="H2618">
        <v>72842</v>
      </c>
      <c r="I2618">
        <v>0</v>
      </c>
      <c r="J2618">
        <v>107</v>
      </c>
      <c r="K2618">
        <v>98</v>
      </c>
      <c r="L2618">
        <v>-72842</v>
      </c>
      <c r="M2618">
        <v>1</v>
      </c>
      <c r="N2618">
        <v>0</v>
      </c>
      <c r="O2618" s="1" t="s">
        <v>4482</v>
      </c>
      <c r="P2618">
        <v>0</v>
      </c>
      <c r="Q2618">
        <v>0</v>
      </c>
      <c r="R2618">
        <v>0</v>
      </c>
      <c r="S2618">
        <v>0</v>
      </c>
      <c r="T2618">
        <v>62.358898000000003</v>
      </c>
      <c r="U2618">
        <f t="shared" si="80"/>
        <v>0</v>
      </c>
      <c r="V2618">
        <f t="shared" si="81"/>
        <v>0</v>
      </c>
    </row>
    <row r="2619" spans="1:22" x14ac:dyDescent="0.2">
      <c r="A2619" t="s">
        <v>892</v>
      </c>
      <c r="B2619" t="s">
        <v>15</v>
      </c>
      <c r="C2619" t="s">
        <v>76</v>
      </c>
      <c r="D2619" t="s">
        <v>77</v>
      </c>
      <c r="E2619" s="1" t="s">
        <v>89</v>
      </c>
      <c r="F2619" t="s">
        <v>90</v>
      </c>
      <c r="G2619">
        <v>34</v>
      </c>
      <c r="H2619">
        <v>2535</v>
      </c>
      <c r="I2619">
        <v>0</v>
      </c>
      <c r="J2619">
        <v>114</v>
      </c>
      <c r="K2619">
        <v>87</v>
      </c>
      <c r="L2619">
        <v>-2535</v>
      </c>
      <c r="M2619">
        <v>1</v>
      </c>
      <c r="N2619">
        <v>0</v>
      </c>
      <c r="O2619" s="1" t="s">
        <v>4483</v>
      </c>
      <c r="P2619">
        <v>0</v>
      </c>
      <c r="Q2619">
        <v>0</v>
      </c>
      <c r="R2619">
        <v>0</v>
      </c>
      <c r="S2619">
        <v>0</v>
      </c>
      <c r="T2619">
        <v>62.358898000000003</v>
      </c>
      <c r="U2619">
        <f t="shared" si="80"/>
        <v>0</v>
      </c>
      <c r="V2619">
        <f t="shared" si="81"/>
        <v>0</v>
      </c>
    </row>
    <row r="2620" spans="1:22" x14ac:dyDescent="0.2">
      <c r="A2620" t="s">
        <v>892</v>
      </c>
      <c r="B2620" t="s">
        <v>15</v>
      </c>
      <c r="C2620" t="s">
        <v>76</v>
      </c>
      <c r="D2620" t="s">
        <v>77</v>
      </c>
      <c r="E2620" s="1" t="s">
        <v>82</v>
      </c>
      <c r="F2620" t="s">
        <v>83</v>
      </c>
      <c r="G2620">
        <v>12</v>
      </c>
      <c r="H2620">
        <v>1907</v>
      </c>
      <c r="I2620">
        <v>0</v>
      </c>
      <c r="J2620">
        <v>89</v>
      </c>
      <c r="K2620">
        <v>98</v>
      </c>
      <c r="L2620">
        <v>-1907</v>
      </c>
      <c r="M2620">
        <v>1</v>
      </c>
      <c r="N2620">
        <v>0</v>
      </c>
      <c r="O2620" s="1" t="s">
        <v>4484</v>
      </c>
      <c r="P2620">
        <v>0</v>
      </c>
      <c r="Q2620">
        <v>0</v>
      </c>
      <c r="R2620">
        <v>0</v>
      </c>
      <c r="S2620">
        <v>0</v>
      </c>
      <c r="T2620">
        <v>62.358898000000003</v>
      </c>
      <c r="U2620">
        <f t="shared" si="80"/>
        <v>0</v>
      </c>
      <c r="V2620">
        <f t="shared" si="81"/>
        <v>0</v>
      </c>
    </row>
    <row r="2621" spans="1:22" x14ac:dyDescent="0.2">
      <c r="A2621" t="s">
        <v>892</v>
      </c>
      <c r="B2621" t="s">
        <v>15</v>
      </c>
      <c r="C2621" t="s">
        <v>76</v>
      </c>
      <c r="D2621" t="s">
        <v>77</v>
      </c>
      <c r="E2621" s="1" t="s">
        <v>85</v>
      </c>
      <c r="F2621" t="s">
        <v>86</v>
      </c>
      <c r="G2621">
        <v>25</v>
      </c>
      <c r="H2621">
        <v>1306</v>
      </c>
      <c r="I2621">
        <v>0</v>
      </c>
      <c r="J2621">
        <v>113</v>
      </c>
      <c r="K2621">
        <v>95</v>
      </c>
      <c r="L2621">
        <v>-1306</v>
      </c>
      <c r="M2621">
        <v>1</v>
      </c>
      <c r="N2621">
        <v>0</v>
      </c>
      <c r="O2621" s="1" t="s">
        <v>4485</v>
      </c>
      <c r="P2621">
        <v>0</v>
      </c>
      <c r="Q2621">
        <v>0</v>
      </c>
      <c r="R2621">
        <v>0</v>
      </c>
      <c r="S2621">
        <v>0</v>
      </c>
      <c r="T2621">
        <v>62.358898000000003</v>
      </c>
      <c r="U2621">
        <f t="shared" si="80"/>
        <v>0</v>
      </c>
      <c r="V2621">
        <f t="shared" si="81"/>
        <v>0</v>
      </c>
    </row>
    <row r="2622" spans="1:22" x14ac:dyDescent="0.2">
      <c r="A2622" t="s">
        <v>892</v>
      </c>
      <c r="B2622" t="s">
        <v>15</v>
      </c>
      <c r="C2622" t="s">
        <v>76</v>
      </c>
      <c r="D2622" t="s">
        <v>77</v>
      </c>
      <c r="E2622">
        <v>20</v>
      </c>
      <c r="F2622" t="s">
        <v>104</v>
      </c>
      <c r="G2622">
        <v>94</v>
      </c>
      <c r="H2622">
        <v>576</v>
      </c>
      <c r="I2622">
        <v>0</v>
      </c>
      <c r="J2622">
        <v>131</v>
      </c>
      <c r="K2622">
        <v>103</v>
      </c>
      <c r="L2622">
        <v>-576</v>
      </c>
      <c r="M2622">
        <v>1</v>
      </c>
      <c r="N2622">
        <v>0</v>
      </c>
      <c r="O2622" s="1" t="s">
        <v>4486</v>
      </c>
      <c r="P2622">
        <v>0</v>
      </c>
      <c r="Q2622">
        <v>0</v>
      </c>
      <c r="R2622">
        <v>0</v>
      </c>
      <c r="S2622">
        <v>0</v>
      </c>
      <c r="T2622">
        <v>62.358898000000003</v>
      </c>
      <c r="U2622">
        <f t="shared" si="80"/>
        <v>0</v>
      </c>
      <c r="V2622">
        <f t="shared" si="81"/>
        <v>0</v>
      </c>
    </row>
    <row r="2623" spans="1:22" x14ac:dyDescent="0.2">
      <c r="A2623" t="s">
        <v>892</v>
      </c>
      <c r="B2623" t="s">
        <v>15</v>
      </c>
      <c r="C2623" t="s">
        <v>76</v>
      </c>
      <c r="D2623" t="s">
        <v>77</v>
      </c>
      <c r="E2623">
        <v>21</v>
      </c>
      <c r="F2623" t="s">
        <v>212</v>
      </c>
      <c r="G2623">
        <v>97</v>
      </c>
      <c r="H2623">
        <v>0</v>
      </c>
      <c r="I2623">
        <v>129</v>
      </c>
      <c r="J2623">
        <v>97</v>
      </c>
      <c r="K2623">
        <v>85</v>
      </c>
      <c r="L2623">
        <v>129</v>
      </c>
      <c r="M2623">
        <v>0</v>
      </c>
      <c r="N2623">
        <v>1</v>
      </c>
      <c r="O2623" s="1" t="s">
        <v>4487</v>
      </c>
      <c r="P2623">
        <v>0</v>
      </c>
      <c r="Q2623">
        <v>0</v>
      </c>
      <c r="R2623">
        <v>0</v>
      </c>
      <c r="S2623">
        <v>0</v>
      </c>
      <c r="T2623">
        <v>62.358898000000003</v>
      </c>
      <c r="U2623">
        <f t="shared" si="80"/>
        <v>0</v>
      </c>
      <c r="V2623">
        <f t="shared" si="81"/>
        <v>0</v>
      </c>
    </row>
    <row r="2624" spans="1:22" x14ac:dyDescent="0.2">
      <c r="A2624" t="s">
        <v>892</v>
      </c>
      <c r="B2624" t="s">
        <v>15</v>
      </c>
      <c r="C2624" t="s">
        <v>76</v>
      </c>
      <c r="D2624" t="s">
        <v>77</v>
      </c>
      <c r="E2624" s="1" t="s">
        <v>155</v>
      </c>
      <c r="F2624" t="s">
        <v>156</v>
      </c>
      <c r="G2624" s="1" t="s">
        <v>85</v>
      </c>
      <c r="H2624">
        <v>0</v>
      </c>
      <c r="I2624">
        <v>517</v>
      </c>
      <c r="J2624">
        <v>74</v>
      </c>
      <c r="K2624">
        <v>68</v>
      </c>
      <c r="L2624">
        <v>517</v>
      </c>
      <c r="M2624">
        <v>0</v>
      </c>
      <c r="N2624">
        <v>1</v>
      </c>
      <c r="O2624" s="1" t="s">
        <v>4488</v>
      </c>
      <c r="P2624">
        <v>0</v>
      </c>
      <c r="Q2624">
        <v>0</v>
      </c>
      <c r="R2624">
        <v>0</v>
      </c>
      <c r="S2624">
        <v>0</v>
      </c>
      <c r="T2624">
        <v>62.358898000000003</v>
      </c>
      <c r="U2624">
        <f t="shared" si="80"/>
        <v>0</v>
      </c>
      <c r="V2624">
        <f t="shared" si="81"/>
        <v>0</v>
      </c>
    </row>
    <row r="2625" spans="1:22" x14ac:dyDescent="0.2">
      <c r="A2625" t="s">
        <v>920</v>
      </c>
      <c r="B2625" t="s">
        <v>16</v>
      </c>
      <c r="C2625" t="s">
        <v>76</v>
      </c>
      <c r="D2625" t="s">
        <v>77</v>
      </c>
      <c r="E2625">
        <v>18</v>
      </c>
      <c r="F2625" t="s">
        <v>147</v>
      </c>
      <c r="G2625">
        <v>91</v>
      </c>
      <c r="H2625">
        <v>283201</v>
      </c>
      <c r="I2625">
        <v>69</v>
      </c>
      <c r="J2625">
        <v>19</v>
      </c>
      <c r="K2625">
        <v>63</v>
      </c>
      <c r="L2625">
        <v>-283132</v>
      </c>
      <c r="M2625" s="1" t="s">
        <v>4489</v>
      </c>
      <c r="N2625" s="1" t="s">
        <v>4490</v>
      </c>
      <c r="O2625" s="1" t="s">
        <v>4491</v>
      </c>
      <c r="P2625">
        <v>0</v>
      </c>
      <c r="Q2625">
        <v>0</v>
      </c>
      <c r="R2625">
        <v>0</v>
      </c>
      <c r="S2625">
        <v>0</v>
      </c>
      <c r="T2625">
        <v>8.9011500350000006</v>
      </c>
      <c r="U2625">
        <f t="shared" si="80"/>
        <v>0</v>
      </c>
      <c r="V2625">
        <f t="shared" si="81"/>
        <v>0</v>
      </c>
    </row>
    <row r="2626" spans="1:22" x14ac:dyDescent="0.2">
      <c r="A2626" t="s">
        <v>920</v>
      </c>
      <c r="B2626" t="s">
        <v>16</v>
      </c>
      <c r="C2626" t="s">
        <v>76</v>
      </c>
      <c r="D2626" t="s">
        <v>77</v>
      </c>
      <c r="E2626">
        <v>20</v>
      </c>
      <c r="F2626" t="s">
        <v>104</v>
      </c>
      <c r="G2626">
        <v>95</v>
      </c>
      <c r="H2626">
        <v>89707</v>
      </c>
      <c r="I2626">
        <v>786138</v>
      </c>
      <c r="J2626">
        <v>67</v>
      </c>
      <c r="K2626">
        <v>52</v>
      </c>
      <c r="L2626">
        <v>696431</v>
      </c>
      <c r="M2626">
        <v>0.10242337399882399</v>
      </c>
      <c r="N2626">
        <v>0.89757662600117605</v>
      </c>
      <c r="O2626" s="1" t="s">
        <v>4492</v>
      </c>
      <c r="P2626">
        <v>0</v>
      </c>
      <c r="Q2626">
        <v>0</v>
      </c>
      <c r="R2626">
        <v>0</v>
      </c>
      <c r="S2626">
        <v>0</v>
      </c>
      <c r="T2626">
        <v>8.9011500350000006</v>
      </c>
      <c r="U2626">
        <f t="shared" si="80"/>
        <v>0</v>
      </c>
      <c r="V2626">
        <f t="shared" si="81"/>
        <v>0</v>
      </c>
    </row>
    <row r="2627" spans="1:22" x14ac:dyDescent="0.2">
      <c r="A2627" t="s">
        <v>920</v>
      </c>
      <c r="B2627" t="s">
        <v>16</v>
      </c>
      <c r="C2627" t="s">
        <v>76</v>
      </c>
      <c r="D2627" t="s">
        <v>77</v>
      </c>
      <c r="E2627" s="1" t="s">
        <v>89</v>
      </c>
      <c r="F2627" t="s">
        <v>90</v>
      </c>
      <c r="G2627">
        <v>30</v>
      </c>
      <c r="H2627">
        <v>114078</v>
      </c>
      <c r="I2627">
        <v>0</v>
      </c>
      <c r="J2627">
        <v>96</v>
      </c>
      <c r="K2627">
        <v>91</v>
      </c>
      <c r="L2627">
        <v>-114078</v>
      </c>
      <c r="M2627">
        <v>1</v>
      </c>
      <c r="N2627">
        <v>0</v>
      </c>
      <c r="O2627" s="1" t="s">
        <v>4493</v>
      </c>
      <c r="P2627">
        <v>0</v>
      </c>
      <c r="Q2627">
        <v>0</v>
      </c>
      <c r="R2627">
        <v>0</v>
      </c>
      <c r="S2627">
        <v>0</v>
      </c>
      <c r="T2627">
        <v>8.9011500350000006</v>
      </c>
      <c r="U2627">
        <f t="shared" ref="U2627:U2690" si="82">IF(OR(P2627=1,Q2627=1),1,0)</f>
        <v>0</v>
      </c>
      <c r="V2627">
        <f t="shared" ref="V2627:V2690" si="83">IF(OR(R2627=1,S2627=1),1,0)</f>
        <v>0</v>
      </c>
    </row>
    <row r="2628" spans="1:22" x14ac:dyDescent="0.2">
      <c r="A2628" t="s">
        <v>920</v>
      </c>
      <c r="B2628" t="s">
        <v>16</v>
      </c>
      <c r="C2628" t="s">
        <v>76</v>
      </c>
      <c r="D2628" t="s">
        <v>77</v>
      </c>
      <c r="E2628">
        <v>21</v>
      </c>
      <c r="F2628" t="s">
        <v>212</v>
      </c>
      <c r="G2628">
        <v>97</v>
      </c>
      <c r="H2628">
        <v>6007</v>
      </c>
      <c r="I2628">
        <v>0</v>
      </c>
      <c r="J2628">
        <v>70</v>
      </c>
      <c r="K2628">
        <v>90</v>
      </c>
      <c r="L2628">
        <v>-6007</v>
      </c>
      <c r="M2628">
        <v>1</v>
      </c>
      <c r="N2628">
        <v>0</v>
      </c>
      <c r="O2628" s="1" t="s">
        <v>4494</v>
      </c>
      <c r="P2628">
        <v>0</v>
      </c>
      <c r="Q2628">
        <v>0</v>
      </c>
      <c r="R2628">
        <v>0</v>
      </c>
      <c r="S2628">
        <v>0</v>
      </c>
      <c r="T2628">
        <v>8.9011500350000006</v>
      </c>
      <c r="U2628">
        <f t="shared" si="82"/>
        <v>0</v>
      </c>
      <c r="V2628">
        <f t="shared" si="83"/>
        <v>0</v>
      </c>
    </row>
    <row r="2629" spans="1:22" x14ac:dyDescent="0.2">
      <c r="A2629" t="s">
        <v>920</v>
      </c>
      <c r="B2629" t="s">
        <v>16</v>
      </c>
      <c r="C2629" t="s">
        <v>76</v>
      </c>
      <c r="D2629" t="s">
        <v>77</v>
      </c>
      <c r="E2629">
        <v>12</v>
      </c>
      <c r="F2629" t="s">
        <v>194</v>
      </c>
      <c r="G2629">
        <v>64</v>
      </c>
      <c r="H2629">
        <v>8416</v>
      </c>
      <c r="I2629">
        <v>1096</v>
      </c>
      <c r="J2629">
        <v>76</v>
      </c>
      <c r="K2629">
        <v>79</v>
      </c>
      <c r="L2629">
        <v>-7320</v>
      </c>
      <c r="M2629" s="1" t="s">
        <v>4495</v>
      </c>
      <c r="N2629" s="1" t="s">
        <v>4496</v>
      </c>
      <c r="O2629" s="1" t="s">
        <v>4497</v>
      </c>
      <c r="P2629">
        <v>0</v>
      </c>
      <c r="Q2629">
        <v>0</v>
      </c>
      <c r="R2629">
        <v>0</v>
      </c>
      <c r="S2629">
        <v>0</v>
      </c>
      <c r="T2629">
        <v>8.9011500350000006</v>
      </c>
      <c r="U2629">
        <f t="shared" si="82"/>
        <v>0</v>
      </c>
      <c r="V2629">
        <f t="shared" si="83"/>
        <v>0</v>
      </c>
    </row>
    <row r="2630" spans="1:22" x14ac:dyDescent="0.2">
      <c r="A2630" t="s">
        <v>920</v>
      </c>
      <c r="B2630" t="s">
        <v>16</v>
      </c>
      <c r="C2630" t="s">
        <v>76</v>
      </c>
      <c r="D2630" t="s">
        <v>77</v>
      </c>
      <c r="E2630" s="1" t="s">
        <v>138</v>
      </c>
      <c r="F2630" t="s">
        <v>139</v>
      </c>
      <c r="G2630">
        <v>20</v>
      </c>
      <c r="H2630">
        <v>0</v>
      </c>
      <c r="I2630">
        <v>1494952</v>
      </c>
      <c r="J2630">
        <v>88</v>
      </c>
      <c r="K2630">
        <v>59</v>
      </c>
      <c r="L2630">
        <v>1494952</v>
      </c>
      <c r="M2630">
        <v>0</v>
      </c>
      <c r="N2630">
        <v>1</v>
      </c>
      <c r="O2630" s="1" t="s">
        <v>4498</v>
      </c>
      <c r="P2630">
        <v>0</v>
      </c>
      <c r="Q2630">
        <v>0</v>
      </c>
      <c r="R2630">
        <v>0</v>
      </c>
      <c r="S2630">
        <v>0</v>
      </c>
      <c r="T2630">
        <v>8.9011500350000006</v>
      </c>
      <c r="U2630">
        <f t="shared" si="82"/>
        <v>0</v>
      </c>
      <c r="V2630">
        <f t="shared" si="83"/>
        <v>0</v>
      </c>
    </row>
    <row r="2631" spans="1:22" x14ac:dyDescent="0.2">
      <c r="A2631" t="s">
        <v>1011</v>
      </c>
      <c r="B2631" t="s">
        <v>17</v>
      </c>
      <c r="C2631" t="s">
        <v>76</v>
      </c>
      <c r="D2631" t="s">
        <v>77</v>
      </c>
      <c r="E2631" s="1" t="s">
        <v>89</v>
      </c>
      <c r="F2631" t="s">
        <v>90</v>
      </c>
      <c r="G2631">
        <v>30</v>
      </c>
      <c r="H2631">
        <v>3716004</v>
      </c>
      <c r="I2631">
        <v>0</v>
      </c>
      <c r="J2631">
        <v>40</v>
      </c>
      <c r="K2631">
        <v>91</v>
      </c>
      <c r="L2631">
        <v>-3716004</v>
      </c>
      <c r="M2631">
        <v>1</v>
      </c>
      <c r="N2631">
        <v>0</v>
      </c>
      <c r="O2631" s="1" t="s">
        <v>4499</v>
      </c>
      <c r="P2631">
        <v>0</v>
      </c>
      <c r="Q2631">
        <v>0</v>
      </c>
      <c r="R2631">
        <v>0</v>
      </c>
      <c r="S2631">
        <v>0</v>
      </c>
      <c r="T2631">
        <v>10.352380159999999</v>
      </c>
      <c r="U2631">
        <f t="shared" si="82"/>
        <v>0</v>
      </c>
      <c r="V2631">
        <f t="shared" si="83"/>
        <v>0</v>
      </c>
    </row>
    <row r="2632" spans="1:22" x14ac:dyDescent="0.2">
      <c r="A2632" t="s">
        <v>1011</v>
      </c>
      <c r="B2632" t="s">
        <v>17</v>
      </c>
      <c r="C2632" t="s">
        <v>76</v>
      </c>
      <c r="D2632" t="s">
        <v>77</v>
      </c>
      <c r="E2632" s="1" t="s">
        <v>82</v>
      </c>
      <c r="F2632" t="s">
        <v>83</v>
      </c>
      <c r="G2632">
        <v>11</v>
      </c>
      <c r="H2632">
        <v>18840</v>
      </c>
      <c r="I2632">
        <v>20744</v>
      </c>
      <c r="J2632">
        <v>85</v>
      </c>
      <c r="K2632">
        <v>49</v>
      </c>
      <c r="L2632">
        <v>1904</v>
      </c>
      <c r="M2632" s="1" t="s">
        <v>4500</v>
      </c>
      <c r="N2632" s="1" t="s">
        <v>4501</v>
      </c>
      <c r="O2632" s="1" t="s">
        <v>4502</v>
      </c>
      <c r="P2632">
        <v>0</v>
      </c>
      <c r="Q2632">
        <v>0</v>
      </c>
      <c r="R2632">
        <v>0</v>
      </c>
      <c r="S2632">
        <v>0</v>
      </c>
      <c r="T2632">
        <v>10.352380159999999</v>
      </c>
      <c r="U2632">
        <f t="shared" si="82"/>
        <v>0</v>
      </c>
      <c r="V2632">
        <f t="shared" si="83"/>
        <v>0</v>
      </c>
    </row>
    <row r="2633" spans="1:22" x14ac:dyDescent="0.2">
      <c r="A2633" t="s">
        <v>1011</v>
      </c>
      <c r="B2633" t="s">
        <v>17</v>
      </c>
      <c r="C2633" t="s">
        <v>76</v>
      </c>
      <c r="D2633" t="s">
        <v>77</v>
      </c>
      <c r="E2633" s="1" t="s">
        <v>138</v>
      </c>
      <c r="F2633" t="s">
        <v>139</v>
      </c>
      <c r="G2633">
        <v>22</v>
      </c>
      <c r="H2633">
        <v>26735</v>
      </c>
      <c r="I2633">
        <v>0</v>
      </c>
      <c r="J2633">
        <v>113</v>
      </c>
      <c r="K2633">
        <v>98</v>
      </c>
      <c r="L2633">
        <v>-26735</v>
      </c>
      <c r="M2633">
        <v>1</v>
      </c>
      <c r="N2633">
        <v>0</v>
      </c>
      <c r="O2633" s="1" t="s">
        <v>4503</v>
      </c>
      <c r="P2633">
        <v>0</v>
      </c>
      <c r="Q2633">
        <v>0</v>
      </c>
      <c r="R2633">
        <v>0</v>
      </c>
      <c r="S2633">
        <v>0</v>
      </c>
      <c r="T2633">
        <v>10.352380159999999</v>
      </c>
      <c r="U2633">
        <f t="shared" si="82"/>
        <v>0</v>
      </c>
      <c r="V2633">
        <f t="shared" si="83"/>
        <v>0</v>
      </c>
    </row>
    <row r="2634" spans="1:22" x14ac:dyDescent="0.2">
      <c r="A2634" t="s">
        <v>1011</v>
      </c>
      <c r="B2634" t="s">
        <v>17</v>
      </c>
      <c r="C2634" t="s">
        <v>76</v>
      </c>
      <c r="D2634" t="s">
        <v>77</v>
      </c>
      <c r="E2634">
        <v>20</v>
      </c>
      <c r="F2634" t="s">
        <v>104</v>
      </c>
      <c r="G2634">
        <v>96</v>
      </c>
      <c r="H2634">
        <v>569</v>
      </c>
      <c r="I2634">
        <v>0</v>
      </c>
      <c r="J2634">
        <v>107</v>
      </c>
      <c r="K2634">
        <v>90</v>
      </c>
      <c r="L2634">
        <v>-569</v>
      </c>
      <c r="M2634">
        <v>1</v>
      </c>
      <c r="N2634">
        <v>0</v>
      </c>
      <c r="O2634" s="1" t="s">
        <v>4504</v>
      </c>
      <c r="P2634">
        <v>0</v>
      </c>
      <c r="Q2634">
        <v>0</v>
      </c>
      <c r="R2634">
        <v>0</v>
      </c>
      <c r="S2634">
        <v>0</v>
      </c>
      <c r="T2634">
        <v>10.352380159999999</v>
      </c>
      <c r="U2634">
        <f t="shared" si="82"/>
        <v>0</v>
      </c>
      <c r="V2634">
        <f t="shared" si="83"/>
        <v>0</v>
      </c>
    </row>
    <row r="2635" spans="1:22" x14ac:dyDescent="0.2">
      <c r="A2635" t="s">
        <v>1011</v>
      </c>
      <c r="B2635" t="s">
        <v>17</v>
      </c>
      <c r="C2635" t="s">
        <v>76</v>
      </c>
      <c r="D2635" t="s">
        <v>77</v>
      </c>
      <c r="E2635">
        <v>12</v>
      </c>
      <c r="F2635" t="s">
        <v>194</v>
      </c>
      <c r="G2635">
        <v>64</v>
      </c>
      <c r="H2635">
        <v>2388</v>
      </c>
      <c r="I2635">
        <v>0</v>
      </c>
      <c r="J2635">
        <v>86</v>
      </c>
      <c r="K2635">
        <v>94</v>
      </c>
      <c r="L2635">
        <v>-2388</v>
      </c>
      <c r="M2635">
        <v>1</v>
      </c>
      <c r="N2635">
        <v>0</v>
      </c>
      <c r="O2635" s="1" t="s">
        <v>4505</v>
      </c>
      <c r="P2635">
        <v>0</v>
      </c>
      <c r="Q2635">
        <v>0</v>
      </c>
      <c r="R2635">
        <v>0</v>
      </c>
      <c r="S2635">
        <v>0</v>
      </c>
      <c r="T2635">
        <v>10.352380159999999</v>
      </c>
      <c r="U2635">
        <f t="shared" si="82"/>
        <v>0</v>
      </c>
      <c r="V2635">
        <f t="shared" si="83"/>
        <v>0</v>
      </c>
    </row>
    <row r="2636" spans="1:22" x14ac:dyDescent="0.2">
      <c r="A2636" t="s">
        <v>1011</v>
      </c>
      <c r="B2636" t="s">
        <v>17</v>
      </c>
      <c r="C2636" t="s">
        <v>76</v>
      </c>
      <c r="D2636" t="s">
        <v>77</v>
      </c>
      <c r="E2636">
        <v>15</v>
      </c>
      <c r="F2636" t="s">
        <v>88</v>
      </c>
      <c r="G2636">
        <v>78</v>
      </c>
      <c r="H2636">
        <v>898</v>
      </c>
      <c r="I2636">
        <v>0</v>
      </c>
      <c r="J2636">
        <v>69</v>
      </c>
      <c r="K2636">
        <v>44</v>
      </c>
      <c r="L2636">
        <v>-898</v>
      </c>
      <c r="M2636">
        <v>1</v>
      </c>
      <c r="N2636">
        <v>0</v>
      </c>
      <c r="O2636" s="1" t="s">
        <v>4506</v>
      </c>
      <c r="P2636">
        <v>0</v>
      </c>
      <c r="Q2636">
        <v>0</v>
      </c>
      <c r="R2636">
        <v>0</v>
      </c>
      <c r="S2636">
        <v>0</v>
      </c>
      <c r="T2636">
        <v>10.352380159999999</v>
      </c>
      <c r="U2636">
        <f t="shared" si="82"/>
        <v>0</v>
      </c>
      <c r="V2636">
        <f t="shared" si="83"/>
        <v>0</v>
      </c>
    </row>
    <row r="2637" spans="1:22" x14ac:dyDescent="0.2">
      <c r="A2637" t="s">
        <v>1011</v>
      </c>
      <c r="B2637" t="s">
        <v>17</v>
      </c>
      <c r="C2637" t="s">
        <v>76</v>
      </c>
      <c r="D2637" t="s">
        <v>77</v>
      </c>
      <c r="E2637">
        <v>12</v>
      </c>
      <c r="F2637" t="s">
        <v>194</v>
      </c>
      <c r="G2637">
        <v>65</v>
      </c>
      <c r="H2637">
        <v>0</v>
      </c>
      <c r="I2637">
        <v>57932</v>
      </c>
      <c r="J2637">
        <v>105</v>
      </c>
      <c r="K2637">
        <v>49</v>
      </c>
      <c r="L2637">
        <v>57932</v>
      </c>
      <c r="M2637">
        <v>0</v>
      </c>
      <c r="N2637">
        <v>1</v>
      </c>
      <c r="O2637" s="1" t="s">
        <v>4507</v>
      </c>
      <c r="P2637">
        <v>0</v>
      </c>
      <c r="Q2637">
        <v>0</v>
      </c>
      <c r="R2637">
        <v>0</v>
      </c>
      <c r="S2637">
        <v>0</v>
      </c>
      <c r="T2637">
        <v>10.352380159999999</v>
      </c>
      <c r="U2637">
        <f t="shared" si="82"/>
        <v>0</v>
      </c>
      <c r="V2637">
        <f t="shared" si="83"/>
        <v>0</v>
      </c>
    </row>
    <row r="2638" spans="1:22" x14ac:dyDescent="0.2">
      <c r="A2638" t="s">
        <v>1011</v>
      </c>
      <c r="B2638" t="s">
        <v>17</v>
      </c>
      <c r="C2638" t="s">
        <v>76</v>
      </c>
      <c r="D2638" t="s">
        <v>77</v>
      </c>
      <c r="E2638">
        <v>10</v>
      </c>
      <c r="F2638" t="s">
        <v>119</v>
      </c>
      <c r="G2638">
        <v>49</v>
      </c>
      <c r="H2638">
        <v>21236</v>
      </c>
      <c r="I2638">
        <v>875</v>
      </c>
      <c r="J2638">
        <v>81</v>
      </c>
      <c r="K2638">
        <v>82</v>
      </c>
      <c r="L2638">
        <v>-20361</v>
      </c>
      <c r="M2638">
        <v>0.960426936818778</v>
      </c>
      <c r="N2638" s="1" t="s">
        <v>4508</v>
      </c>
      <c r="O2638" s="1" t="s">
        <v>4509</v>
      </c>
      <c r="P2638">
        <v>0</v>
      </c>
      <c r="Q2638">
        <v>0</v>
      </c>
      <c r="R2638">
        <v>0</v>
      </c>
      <c r="S2638">
        <v>0</v>
      </c>
      <c r="T2638">
        <v>10.352380159999999</v>
      </c>
      <c r="U2638">
        <f t="shared" si="82"/>
        <v>0</v>
      </c>
      <c r="V2638">
        <f t="shared" si="83"/>
        <v>0</v>
      </c>
    </row>
    <row r="2639" spans="1:22" x14ac:dyDescent="0.2">
      <c r="A2639" t="s">
        <v>1011</v>
      </c>
      <c r="B2639" t="s">
        <v>17</v>
      </c>
      <c r="C2639" t="s">
        <v>76</v>
      </c>
      <c r="D2639" t="s">
        <v>77</v>
      </c>
      <c r="E2639" s="1" t="s">
        <v>82</v>
      </c>
      <c r="F2639" t="s">
        <v>83</v>
      </c>
      <c r="G2639">
        <v>12</v>
      </c>
      <c r="H2639">
        <v>0</v>
      </c>
      <c r="I2639">
        <v>4050</v>
      </c>
      <c r="J2639">
        <v>103</v>
      </c>
      <c r="K2639">
        <v>86</v>
      </c>
      <c r="L2639">
        <v>4050</v>
      </c>
      <c r="M2639">
        <v>0</v>
      </c>
      <c r="N2639">
        <v>1</v>
      </c>
      <c r="O2639" s="1" t="s">
        <v>4510</v>
      </c>
      <c r="P2639">
        <v>0</v>
      </c>
      <c r="Q2639">
        <v>0</v>
      </c>
      <c r="R2639">
        <v>0</v>
      </c>
      <c r="S2639">
        <v>0</v>
      </c>
      <c r="T2639">
        <v>10.352380159999999</v>
      </c>
      <c r="U2639">
        <f t="shared" si="82"/>
        <v>0</v>
      </c>
      <c r="V2639">
        <f t="shared" si="83"/>
        <v>0</v>
      </c>
    </row>
    <row r="2640" spans="1:22" x14ac:dyDescent="0.2">
      <c r="A2640" t="s">
        <v>1011</v>
      </c>
      <c r="B2640" t="s">
        <v>17</v>
      </c>
      <c r="C2640" t="s">
        <v>76</v>
      </c>
      <c r="D2640" t="s">
        <v>77</v>
      </c>
      <c r="E2640">
        <v>15</v>
      </c>
      <c r="F2640" t="s">
        <v>88</v>
      </c>
      <c r="G2640">
        <v>75</v>
      </c>
      <c r="H2640">
        <v>92869</v>
      </c>
      <c r="I2640">
        <v>4271</v>
      </c>
      <c r="J2640">
        <v>59</v>
      </c>
      <c r="K2640">
        <v>40</v>
      </c>
      <c r="L2640">
        <v>-88598</v>
      </c>
      <c r="M2640" s="1" t="s">
        <v>4511</v>
      </c>
      <c r="N2640">
        <v>4.3967469631459699E-2</v>
      </c>
      <c r="O2640" s="1" t="s">
        <v>4512</v>
      </c>
      <c r="P2640">
        <v>0</v>
      </c>
      <c r="Q2640">
        <v>0</v>
      </c>
      <c r="R2640">
        <v>0</v>
      </c>
      <c r="S2640">
        <v>0</v>
      </c>
      <c r="T2640">
        <v>10.352380159999999</v>
      </c>
      <c r="U2640">
        <f t="shared" si="82"/>
        <v>0</v>
      </c>
      <c r="V2640">
        <f t="shared" si="83"/>
        <v>0</v>
      </c>
    </row>
    <row r="2641" spans="1:22" x14ac:dyDescent="0.2">
      <c r="A2641" t="s">
        <v>1068</v>
      </c>
      <c r="B2641" t="s">
        <v>18</v>
      </c>
      <c r="C2641" t="s">
        <v>76</v>
      </c>
      <c r="D2641" t="s">
        <v>77</v>
      </c>
      <c r="E2641">
        <v>19</v>
      </c>
      <c r="F2641" t="s">
        <v>838</v>
      </c>
      <c r="G2641">
        <v>93</v>
      </c>
      <c r="H2641">
        <v>1548968</v>
      </c>
      <c r="I2641">
        <v>0</v>
      </c>
      <c r="J2641">
        <v>24</v>
      </c>
      <c r="K2641">
        <v>36</v>
      </c>
      <c r="L2641">
        <v>-1548968</v>
      </c>
      <c r="M2641">
        <v>1</v>
      </c>
      <c r="N2641">
        <v>0</v>
      </c>
      <c r="O2641" s="1" t="s">
        <v>4513</v>
      </c>
      <c r="P2641">
        <v>0</v>
      </c>
      <c r="Q2641">
        <v>0</v>
      </c>
      <c r="R2641">
        <v>0</v>
      </c>
      <c r="S2641">
        <v>0</v>
      </c>
      <c r="T2641">
        <v>6.7062261379999999</v>
      </c>
      <c r="U2641">
        <f t="shared" si="82"/>
        <v>0</v>
      </c>
      <c r="V2641">
        <f t="shared" si="83"/>
        <v>0</v>
      </c>
    </row>
    <row r="2642" spans="1:22" x14ac:dyDescent="0.2">
      <c r="A2642" t="s">
        <v>1068</v>
      </c>
      <c r="B2642" t="s">
        <v>18</v>
      </c>
      <c r="C2642" t="s">
        <v>76</v>
      </c>
      <c r="D2642" t="s">
        <v>77</v>
      </c>
      <c r="E2642" s="1" t="s">
        <v>89</v>
      </c>
      <c r="F2642" t="s">
        <v>90</v>
      </c>
      <c r="G2642">
        <v>34</v>
      </c>
      <c r="H2642">
        <v>134397</v>
      </c>
      <c r="I2642">
        <v>0</v>
      </c>
      <c r="J2642">
        <v>82</v>
      </c>
      <c r="K2642">
        <v>87</v>
      </c>
      <c r="L2642">
        <v>-134397</v>
      </c>
      <c r="M2642">
        <v>1</v>
      </c>
      <c r="N2642">
        <v>0</v>
      </c>
      <c r="O2642" s="1" t="s">
        <v>4514</v>
      </c>
      <c r="P2642">
        <v>0</v>
      </c>
      <c r="Q2642">
        <v>0</v>
      </c>
      <c r="R2642">
        <v>0</v>
      </c>
      <c r="S2642">
        <v>0</v>
      </c>
      <c r="T2642">
        <v>6.7062261379999999</v>
      </c>
      <c r="U2642">
        <f t="shared" si="82"/>
        <v>0</v>
      </c>
      <c r="V2642">
        <f t="shared" si="83"/>
        <v>0</v>
      </c>
    </row>
    <row r="2643" spans="1:22" x14ac:dyDescent="0.2">
      <c r="A2643" t="s">
        <v>1068</v>
      </c>
      <c r="B2643" t="s">
        <v>18</v>
      </c>
      <c r="C2643" t="s">
        <v>76</v>
      </c>
      <c r="D2643" t="s">
        <v>77</v>
      </c>
      <c r="E2643" s="1" t="s">
        <v>89</v>
      </c>
      <c r="F2643" t="s">
        <v>90</v>
      </c>
      <c r="G2643">
        <v>30</v>
      </c>
      <c r="H2643">
        <v>110946</v>
      </c>
      <c r="I2643">
        <v>1000</v>
      </c>
      <c r="J2643">
        <v>97</v>
      </c>
      <c r="K2643">
        <v>82</v>
      </c>
      <c r="L2643">
        <v>-109946</v>
      </c>
      <c r="M2643" s="1" t="s">
        <v>4515</v>
      </c>
      <c r="N2643">
        <v>8.9328783520625996E-3</v>
      </c>
      <c r="O2643" s="1" t="s">
        <v>4516</v>
      </c>
      <c r="P2643">
        <v>0</v>
      </c>
      <c r="Q2643">
        <v>0</v>
      </c>
      <c r="R2643">
        <v>0</v>
      </c>
      <c r="S2643">
        <v>0</v>
      </c>
      <c r="T2643">
        <v>6.7062261379999999</v>
      </c>
      <c r="U2643">
        <f t="shared" si="82"/>
        <v>0</v>
      </c>
      <c r="V2643">
        <f t="shared" si="83"/>
        <v>0</v>
      </c>
    </row>
    <row r="2644" spans="1:22" x14ac:dyDescent="0.2">
      <c r="A2644" t="s">
        <v>1068</v>
      </c>
      <c r="B2644" t="s">
        <v>18</v>
      </c>
      <c r="C2644" t="s">
        <v>76</v>
      </c>
      <c r="D2644" t="s">
        <v>77</v>
      </c>
      <c r="E2644" s="1" t="s">
        <v>93</v>
      </c>
      <c r="F2644" t="s">
        <v>94</v>
      </c>
      <c r="G2644">
        <v>44</v>
      </c>
      <c r="H2644">
        <v>72757</v>
      </c>
      <c r="I2644">
        <v>0</v>
      </c>
      <c r="J2644">
        <v>116</v>
      </c>
      <c r="K2644">
        <v>103</v>
      </c>
      <c r="L2644">
        <v>-72757</v>
      </c>
      <c r="M2644">
        <v>1</v>
      </c>
      <c r="N2644">
        <v>0</v>
      </c>
      <c r="O2644" s="1" t="s">
        <v>4517</v>
      </c>
      <c r="P2644">
        <v>0</v>
      </c>
      <c r="Q2644">
        <v>0</v>
      </c>
      <c r="R2644">
        <v>0</v>
      </c>
      <c r="S2644">
        <v>0</v>
      </c>
      <c r="T2644">
        <v>6.7062261379999999</v>
      </c>
      <c r="U2644">
        <f t="shared" si="82"/>
        <v>0</v>
      </c>
      <c r="V2644">
        <f t="shared" si="83"/>
        <v>0</v>
      </c>
    </row>
    <row r="2645" spans="1:22" x14ac:dyDescent="0.2">
      <c r="A2645" t="s">
        <v>1068</v>
      </c>
      <c r="B2645" t="s">
        <v>18</v>
      </c>
      <c r="C2645" t="s">
        <v>76</v>
      </c>
      <c r="D2645" t="s">
        <v>77</v>
      </c>
      <c r="E2645">
        <v>15</v>
      </c>
      <c r="F2645" t="s">
        <v>88</v>
      </c>
      <c r="G2645">
        <v>82</v>
      </c>
      <c r="H2645">
        <v>928</v>
      </c>
      <c r="I2645">
        <v>0</v>
      </c>
      <c r="J2645">
        <v>128</v>
      </c>
      <c r="K2645">
        <v>96</v>
      </c>
      <c r="L2645">
        <v>-928</v>
      </c>
      <c r="M2645">
        <v>1</v>
      </c>
      <c r="N2645">
        <v>0</v>
      </c>
      <c r="O2645" s="1" t="s">
        <v>4518</v>
      </c>
      <c r="P2645">
        <v>0</v>
      </c>
      <c r="Q2645">
        <v>0</v>
      </c>
      <c r="R2645">
        <v>0</v>
      </c>
      <c r="S2645">
        <v>0</v>
      </c>
      <c r="T2645">
        <v>6.7062261379999999</v>
      </c>
      <c r="U2645">
        <f t="shared" si="82"/>
        <v>0</v>
      </c>
      <c r="V2645">
        <f t="shared" si="83"/>
        <v>0</v>
      </c>
    </row>
    <row r="2646" spans="1:22" x14ac:dyDescent="0.2">
      <c r="A2646" t="s">
        <v>1068</v>
      </c>
      <c r="B2646" t="s">
        <v>18</v>
      </c>
      <c r="C2646" t="s">
        <v>76</v>
      </c>
      <c r="D2646" t="s">
        <v>77</v>
      </c>
      <c r="E2646">
        <v>18</v>
      </c>
      <c r="F2646" t="s">
        <v>147</v>
      </c>
      <c r="G2646">
        <v>92</v>
      </c>
      <c r="H2646">
        <v>2378</v>
      </c>
      <c r="I2646">
        <v>0</v>
      </c>
      <c r="J2646">
        <v>72</v>
      </c>
      <c r="K2646">
        <v>66</v>
      </c>
      <c r="L2646">
        <v>-2378</v>
      </c>
      <c r="M2646">
        <v>1</v>
      </c>
      <c r="N2646">
        <v>0</v>
      </c>
      <c r="O2646" s="1" t="s">
        <v>4519</v>
      </c>
      <c r="P2646">
        <v>0</v>
      </c>
      <c r="Q2646">
        <v>0</v>
      </c>
      <c r="R2646">
        <v>0</v>
      </c>
      <c r="S2646">
        <v>0</v>
      </c>
      <c r="T2646">
        <v>6.7062261379999999</v>
      </c>
      <c r="U2646">
        <f t="shared" si="82"/>
        <v>0</v>
      </c>
      <c r="V2646">
        <f t="shared" si="83"/>
        <v>0</v>
      </c>
    </row>
    <row r="2647" spans="1:22" x14ac:dyDescent="0.2">
      <c r="A2647" t="s">
        <v>1068</v>
      </c>
      <c r="B2647" t="s">
        <v>18</v>
      </c>
      <c r="C2647" t="s">
        <v>76</v>
      </c>
      <c r="D2647" t="s">
        <v>77</v>
      </c>
      <c r="E2647">
        <v>15</v>
      </c>
      <c r="F2647" t="s">
        <v>88</v>
      </c>
      <c r="G2647">
        <v>83</v>
      </c>
      <c r="H2647">
        <v>153</v>
      </c>
      <c r="I2647">
        <v>0</v>
      </c>
      <c r="J2647">
        <v>124</v>
      </c>
      <c r="K2647">
        <v>85</v>
      </c>
      <c r="L2647">
        <v>-153</v>
      </c>
      <c r="M2647">
        <v>1</v>
      </c>
      <c r="N2647">
        <v>0</v>
      </c>
      <c r="O2647" s="1" t="s">
        <v>4520</v>
      </c>
      <c r="P2647">
        <v>0</v>
      </c>
      <c r="Q2647">
        <v>0</v>
      </c>
      <c r="R2647">
        <v>0</v>
      </c>
      <c r="S2647">
        <v>0</v>
      </c>
      <c r="T2647">
        <v>6.7062261379999999</v>
      </c>
      <c r="U2647">
        <f t="shared" si="82"/>
        <v>0</v>
      </c>
      <c r="V2647">
        <f t="shared" si="83"/>
        <v>0</v>
      </c>
    </row>
    <row r="2648" spans="1:22" x14ac:dyDescent="0.2">
      <c r="A2648" t="s">
        <v>1068</v>
      </c>
      <c r="B2648" t="s">
        <v>18</v>
      </c>
      <c r="C2648" t="s">
        <v>76</v>
      </c>
      <c r="D2648" t="s">
        <v>77</v>
      </c>
      <c r="E2648">
        <v>13</v>
      </c>
      <c r="F2648" t="s">
        <v>91</v>
      </c>
      <c r="G2648">
        <v>70</v>
      </c>
      <c r="H2648">
        <v>27022</v>
      </c>
      <c r="I2648">
        <v>200</v>
      </c>
      <c r="J2648">
        <v>93</v>
      </c>
      <c r="K2648">
        <v>84</v>
      </c>
      <c r="L2648">
        <v>-26822</v>
      </c>
      <c r="M2648" s="1" t="s">
        <v>4521</v>
      </c>
      <c r="N2648">
        <v>7.3469987510102102E-3</v>
      </c>
      <c r="O2648" s="1" t="s">
        <v>4522</v>
      </c>
      <c r="P2648">
        <v>0</v>
      </c>
      <c r="Q2648">
        <v>0</v>
      </c>
      <c r="R2648">
        <v>0</v>
      </c>
      <c r="S2648">
        <v>0</v>
      </c>
      <c r="T2648">
        <v>6.7062261379999999</v>
      </c>
      <c r="U2648">
        <f t="shared" si="82"/>
        <v>0</v>
      </c>
      <c r="V2648">
        <f t="shared" si="83"/>
        <v>0</v>
      </c>
    </row>
    <row r="2649" spans="1:22" x14ac:dyDescent="0.2">
      <c r="A2649" t="s">
        <v>1068</v>
      </c>
      <c r="B2649" t="s">
        <v>18</v>
      </c>
      <c r="C2649" t="s">
        <v>76</v>
      </c>
      <c r="D2649" t="s">
        <v>77</v>
      </c>
      <c r="E2649">
        <v>12</v>
      </c>
      <c r="F2649" t="s">
        <v>194</v>
      </c>
      <c r="G2649">
        <v>64</v>
      </c>
      <c r="H2649">
        <v>236</v>
      </c>
      <c r="I2649">
        <v>0</v>
      </c>
      <c r="J2649">
        <v>114</v>
      </c>
      <c r="K2649">
        <v>94</v>
      </c>
      <c r="L2649">
        <v>-236</v>
      </c>
      <c r="M2649">
        <v>1</v>
      </c>
      <c r="N2649">
        <v>0</v>
      </c>
      <c r="O2649" s="1" t="s">
        <v>4523</v>
      </c>
      <c r="P2649">
        <v>0</v>
      </c>
      <c r="Q2649">
        <v>0</v>
      </c>
      <c r="R2649">
        <v>0</v>
      </c>
      <c r="S2649">
        <v>0</v>
      </c>
      <c r="T2649">
        <v>6.7062261379999999</v>
      </c>
      <c r="U2649">
        <f t="shared" si="82"/>
        <v>0</v>
      </c>
      <c r="V2649">
        <f t="shared" si="83"/>
        <v>0</v>
      </c>
    </row>
    <row r="2650" spans="1:22" x14ac:dyDescent="0.2">
      <c r="A2650" t="s">
        <v>1068</v>
      </c>
      <c r="B2650" t="s">
        <v>18</v>
      </c>
      <c r="C2650" t="s">
        <v>76</v>
      </c>
      <c r="D2650" t="s">
        <v>77</v>
      </c>
      <c r="E2650">
        <v>14</v>
      </c>
      <c r="F2650" t="s">
        <v>261</v>
      </c>
      <c r="G2650">
        <v>71</v>
      </c>
      <c r="H2650">
        <v>290</v>
      </c>
      <c r="I2650">
        <v>0</v>
      </c>
      <c r="J2650">
        <v>89</v>
      </c>
      <c r="K2650">
        <v>89</v>
      </c>
      <c r="L2650">
        <v>-290</v>
      </c>
      <c r="M2650">
        <v>1</v>
      </c>
      <c r="N2650">
        <v>0</v>
      </c>
      <c r="O2650" s="1" t="s">
        <v>4524</v>
      </c>
      <c r="P2650">
        <v>0</v>
      </c>
      <c r="Q2650">
        <v>0</v>
      </c>
      <c r="R2650">
        <v>0</v>
      </c>
      <c r="S2650">
        <v>0</v>
      </c>
      <c r="T2650">
        <v>6.7062261379999999</v>
      </c>
      <c r="U2650">
        <f t="shared" si="82"/>
        <v>0</v>
      </c>
      <c r="V2650">
        <f t="shared" si="83"/>
        <v>0</v>
      </c>
    </row>
    <row r="2651" spans="1:22" x14ac:dyDescent="0.2">
      <c r="A2651" t="s">
        <v>1068</v>
      </c>
      <c r="B2651" t="s">
        <v>18</v>
      </c>
      <c r="C2651" t="s">
        <v>76</v>
      </c>
      <c r="D2651" t="s">
        <v>77</v>
      </c>
      <c r="E2651">
        <v>20</v>
      </c>
      <c r="F2651" t="s">
        <v>104</v>
      </c>
      <c r="G2651">
        <v>96</v>
      </c>
      <c r="H2651">
        <v>102</v>
      </c>
      <c r="I2651">
        <v>0</v>
      </c>
      <c r="J2651">
        <v>122</v>
      </c>
      <c r="K2651">
        <v>90</v>
      </c>
      <c r="L2651">
        <v>-102</v>
      </c>
      <c r="M2651">
        <v>1</v>
      </c>
      <c r="N2651">
        <v>0</v>
      </c>
      <c r="O2651" s="1" t="s">
        <v>4525</v>
      </c>
      <c r="P2651">
        <v>0</v>
      </c>
      <c r="Q2651">
        <v>0</v>
      </c>
      <c r="R2651">
        <v>0</v>
      </c>
      <c r="S2651">
        <v>0</v>
      </c>
      <c r="T2651">
        <v>6.7062261379999999</v>
      </c>
      <c r="U2651">
        <f t="shared" si="82"/>
        <v>0</v>
      </c>
      <c r="V2651">
        <f t="shared" si="83"/>
        <v>0</v>
      </c>
    </row>
    <row r="2652" spans="1:22" x14ac:dyDescent="0.2">
      <c r="A2652" t="s">
        <v>1068</v>
      </c>
      <c r="B2652" t="s">
        <v>18</v>
      </c>
      <c r="C2652" t="s">
        <v>76</v>
      </c>
      <c r="D2652" t="s">
        <v>77</v>
      </c>
      <c r="E2652">
        <v>20</v>
      </c>
      <c r="F2652" t="s">
        <v>104</v>
      </c>
      <c r="G2652">
        <v>95</v>
      </c>
      <c r="H2652">
        <v>1449</v>
      </c>
      <c r="I2652">
        <v>400</v>
      </c>
      <c r="J2652">
        <v>115</v>
      </c>
      <c r="K2652">
        <v>82</v>
      </c>
      <c r="L2652">
        <v>-1049</v>
      </c>
      <c r="M2652" s="1" t="s">
        <v>4526</v>
      </c>
      <c r="N2652" s="1" t="s">
        <v>4527</v>
      </c>
      <c r="O2652" s="1" t="s">
        <v>4528</v>
      </c>
      <c r="P2652">
        <v>0</v>
      </c>
      <c r="Q2652">
        <v>0</v>
      </c>
      <c r="R2652">
        <v>0</v>
      </c>
      <c r="S2652">
        <v>0</v>
      </c>
      <c r="T2652">
        <v>6.7062261379999999</v>
      </c>
      <c r="U2652">
        <f t="shared" si="82"/>
        <v>0</v>
      </c>
      <c r="V2652">
        <f t="shared" si="83"/>
        <v>0</v>
      </c>
    </row>
    <row r="2653" spans="1:22" x14ac:dyDescent="0.2">
      <c r="A2653" t="s">
        <v>1068</v>
      </c>
      <c r="B2653" t="s">
        <v>18</v>
      </c>
      <c r="C2653" t="s">
        <v>76</v>
      </c>
      <c r="D2653" t="s">
        <v>77</v>
      </c>
      <c r="E2653">
        <v>11</v>
      </c>
      <c r="F2653" t="s">
        <v>127</v>
      </c>
      <c r="G2653">
        <v>62</v>
      </c>
      <c r="H2653">
        <v>13025</v>
      </c>
      <c r="I2653">
        <v>0</v>
      </c>
      <c r="J2653">
        <v>93</v>
      </c>
      <c r="K2653">
        <v>105</v>
      </c>
      <c r="L2653">
        <v>-13025</v>
      </c>
      <c r="M2653">
        <v>1</v>
      </c>
      <c r="N2653">
        <v>0</v>
      </c>
      <c r="O2653" s="1" t="s">
        <v>4529</v>
      </c>
      <c r="P2653">
        <v>0</v>
      </c>
      <c r="Q2653">
        <v>0</v>
      </c>
      <c r="R2653">
        <v>0</v>
      </c>
      <c r="S2653">
        <v>0</v>
      </c>
      <c r="T2653">
        <v>6.7062261379999999</v>
      </c>
      <c r="U2653">
        <f t="shared" si="82"/>
        <v>0</v>
      </c>
      <c r="V2653">
        <f t="shared" si="83"/>
        <v>0</v>
      </c>
    </row>
    <row r="2654" spans="1:22" x14ac:dyDescent="0.2">
      <c r="A2654" t="s">
        <v>1098</v>
      </c>
      <c r="B2654" t="s">
        <v>19</v>
      </c>
      <c r="C2654" t="s">
        <v>76</v>
      </c>
      <c r="D2654" t="s">
        <v>77</v>
      </c>
      <c r="E2654" s="1" t="s">
        <v>110</v>
      </c>
      <c r="F2654" t="s">
        <v>111</v>
      </c>
      <c r="G2654">
        <v>15</v>
      </c>
      <c r="H2654">
        <v>2810874</v>
      </c>
      <c r="I2654">
        <v>0</v>
      </c>
      <c r="J2654">
        <v>55</v>
      </c>
      <c r="K2654">
        <v>86</v>
      </c>
      <c r="L2654">
        <v>-2810874</v>
      </c>
      <c r="M2654">
        <v>1</v>
      </c>
      <c r="N2654">
        <v>0</v>
      </c>
      <c r="O2654">
        <v>4.8210991540891699E-3</v>
      </c>
      <c r="P2654">
        <v>0</v>
      </c>
      <c r="Q2654">
        <v>0</v>
      </c>
      <c r="R2654">
        <v>0</v>
      </c>
      <c r="S2654">
        <v>0</v>
      </c>
      <c r="T2654">
        <v>158.85371929999999</v>
      </c>
      <c r="U2654">
        <f t="shared" si="82"/>
        <v>0</v>
      </c>
      <c r="V2654">
        <f t="shared" si="83"/>
        <v>0</v>
      </c>
    </row>
    <row r="2655" spans="1:22" x14ac:dyDescent="0.2">
      <c r="A2655" t="s">
        <v>1098</v>
      </c>
      <c r="B2655" t="s">
        <v>19</v>
      </c>
      <c r="C2655" t="s">
        <v>76</v>
      </c>
      <c r="D2655" t="s">
        <v>77</v>
      </c>
      <c r="E2655">
        <v>10</v>
      </c>
      <c r="F2655" t="s">
        <v>119</v>
      </c>
      <c r="G2655">
        <v>47</v>
      </c>
      <c r="H2655">
        <v>142893</v>
      </c>
      <c r="I2655">
        <v>0</v>
      </c>
      <c r="J2655">
        <v>67</v>
      </c>
      <c r="K2655">
        <v>37</v>
      </c>
      <c r="L2655">
        <v>-142893</v>
      </c>
      <c r="M2655">
        <v>1</v>
      </c>
      <c r="N2655">
        <v>0</v>
      </c>
      <c r="O2655" s="1" t="s">
        <v>4530</v>
      </c>
      <c r="P2655">
        <v>0</v>
      </c>
      <c r="Q2655">
        <v>0</v>
      </c>
      <c r="R2655">
        <v>0</v>
      </c>
      <c r="S2655">
        <v>0</v>
      </c>
      <c r="T2655">
        <v>158.85371929999999</v>
      </c>
      <c r="U2655">
        <f t="shared" si="82"/>
        <v>0</v>
      </c>
      <c r="V2655">
        <f t="shared" si="83"/>
        <v>0</v>
      </c>
    </row>
    <row r="2656" spans="1:22" x14ac:dyDescent="0.2">
      <c r="A2656" t="s">
        <v>1098</v>
      </c>
      <c r="B2656" t="s">
        <v>19</v>
      </c>
      <c r="C2656" t="s">
        <v>76</v>
      </c>
      <c r="D2656" t="s">
        <v>77</v>
      </c>
      <c r="E2656">
        <v>11</v>
      </c>
      <c r="F2656" t="s">
        <v>127</v>
      </c>
      <c r="G2656">
        <v>55</v>
      </c>
      <c r="H2656">
        <v>15748</v>
      </c>
      <c r="I2656">
        <v>0</v>
      </c>
      <c r="J2656">
        <v>39</v>
      </c>
      <c r="K2656">
        <v>65</v>
      </c>
      <c r="L2656">
        <v>-15748</v>
      </c>
      <c r="M2656">
        <v>1</v>
      </c>
      <c r="N2656">
        <v>0</v>
      </c>
      <c r="O2656" s="1" t="s">
        <v>4531</v>
      </c>
      <c r="P2656">
        <v>0</v>
      </c>
      <c r="Q2656">
        <v>0</v>
      </c>
      <c r="R2656">
        <v>0</v>
      </c>
      <c r="S2656">
        <v>0</v>
      </c>
      <c r="T2656">
        <v>158.85371929999999</v>
      </c>
      <c r="U2656">
        <f t="shared" si="82"/>
        <v>0</v>
      </c>
      <c r="V2656">
        <f t="shared" si="83"/>
        <v>0</v>
      </c>
    </row>
    <row r="2657" spans="1:22" x14ac:dyDescent="0.2">
      <c r="A2657" t="s">
        <v>1098</v>
      </c>
      <c r="B2657" t="s">
        <v>19</v>
      </c>
      <c r="C2657" t="s">
        <v>76</v>
      </c>
      <c r="D2657" t="s">
        <v>77</v>
      </c>
      <c r="E2657">
        <v>20</v>
      </c>
      <c r="F2657" t="s">
        <v>104</v>
      </c>
      <c r="G2657">
        <v>96</v>
      </c>
      <c r="H2657">
        <v>6075</v>
      </c>
      <c r="I2657">
        <v>0</v>
      </c>
      <c r="J2657">
        <v>82</v>
      </c>
      <c r="K2657">
        <v>90</v>
      </c>
      <c r="L2657">
        <v>-6075</v>
      </c>
      <c r="M2657">
        <v>1</v>
      </c>
      <c r="N2657">
        <v>0</v>
      </c>
      <c r="O2657" s="1" t="s">
        <v>4532</v>
      </c>
      <c r="P2657">
        <v>0</v>
      </c>
      <c r="Q2657">
        <v>0</v>
      </c>
      <c r="R2657">
        <v>0</v>
      </c>
      <c r="S2657">
        <v>0</v>
      </c>
      <c r="T2657">
        <v>158.85371929999999</v>
      </c>
      <c r="U2657">
        <f t="shared" si="82"/>
        <v>0</v>
      </c>
      <c r="V2657">
        <f t="shared" si="83"/>
        <v>0</v>
      </c>
    </row>
    <row r="2658" spans="1:22" x14ac:dyDescent="0.2">
      <c r="A2658" t="s">
        <v>1098</v>
      </c>
      <c r="B2658" t="s">
        <v>19</v>
      </c>
      <c r="C2658" t="s">
        <v>76</v>
      </c>
      <c r="D2658" t="s">
        <v>77</v>
      </c>
      <c r="E2658">
        <v>11</v>
      </c>
      <c r="F2658" t="s">
        <v>127</v>
      </c>
      <c r="G2658">
        <v>63</v>
      </c>
      <c r="H2658">
        <v>3535</v>
      </c>
      <c r="I2658">
        <v>538</v>
      </c>
      <c r="J2658">
        <v>107</v>
      </c>
      <c r="K2658">
        <v>96</v>
      </c>
      <c r="L2658">
        <v>-2997</v>
      </c>
      <c r="M2658" s="1" t="s">
        <v>4533</v>
      </c>
      <c r="N2658" s="1" t="s">
        <v>4534</v>
      </c>
      <c r="O2658" s="1" t="s">
        <v>4535</v>
      </c>
      <c r="P2658">
        <v>0</v>
      </c>
      <c r="Q2658">
        <v>0</v>
      </c>
      <c r="R2658">
        <v>0</v>
      </c>
      <c r="S2658">
        <v>0</v>
      </c>
      <c r="T2658">
        <v>158.85371929999999</v>
      </c>
      <c r="U2658">
        <f t="shared" si="82"/>
        <v>0</v>
      </c>
      <c r="V2658">
        <f t="shared" si="83"/>
        <v>0</v>
      </c>
    </row>
    <row r="2659" spans="1:22" x14ac:dyDescent="0.2">
      <c r="A2659" t="s">
        <v>1098</v>
      </c>
      <c r="B2659" t="s">
        <v>19</v>
      </c>
      <c r="C2659" t="s">
        <v>76</v>
      </c>
      <c r="D2659" t="s">
        <v>77</v>
      </c>
      <c r="E2659">
        <v>17</v>
      </c>
      <c r="F2659" t="s">
        <v>97</v>
      </c>
      <c r="G2659">
        <v>88</v>
      </c>
      <c r="H2659">
        <v>3764</v>
      </c>
      <c r="I2659">
        <v>0</v>
      </c>
      <c r="J2659">
        <v>100</v>
      </c>
      <c r="K2659">
        <v>87</v>
      </c>
      <c r="L2659">
        <v>-3764</v>
      </c>
      <c r="M2659">
        <v>1</v>
      </c>
      <c r="N2659">
        <v>0</v>
      </c>
      <c r="O2659" s="1" t="s">
        <v>4536</v>
      </c>
      <c r="P2659">
        <v>0</v>
      </c>
      <c r="Q2659">
        <v>0</v>
      </c>
      <c r="R2659">
        <v>0</v>
      </c>
      <c r="S2659">
        <v>0</v>
      </c>
      <c r="T2659">
        <v>158.85371929999999</v>
      </c>
      <c r="U2659">
        <f t="shared" si="82"/>
        <v>0</v>
      </c>
      <c r="V2659">
        <f t="shared" si="83"/>
        <v>0</v>
      </c>
    </row>
    <row r="2660" spans="1:22" x14ac:dyDescent="0.2">
      <c r="A2660" t="s">
        <v>1098</v>
      </c>
      <c r="B2660" t="s">
        <v>19</v>
      </c>
      <c r="C2660" t="s">
        <v>76</v>
      </c>
      <c r="D2660" t="s">
        <v>77</v>
      </c>
      <c r="E2660">
        <v>99</v>
      </c>
      <c r="F2660" t="s">
        <v>78</v>
      </c>
      <c r="G2660">
        <v>99</v>
      </c>
      <c r="H2660">
        <v>917601</v>
      </c>
      <c r="I2660">
        <v>54747</v>
      </c>
      <c r="J2660">
        <v>59</v>
      </c>
      <c r="K2660">
        <v>72</v>
      </c>
      <c r="L2660">
        <v>-862854</v>
      </c>
      <c r="M2660" s="1" t="s">
        <v>4537</v>
      </c>
      <c r="N2660">
        <v>5.6303915881968099E-2</v>
      </c>
      <c r="O2660">
        <v>1.66773257011175E-3</v>
      </c>
      <c r="P2660">
        <v>0</v>
      </c>
      <c r="Q2660">
        <v>0</v>
      </c>
      <c r="R2660">
        <v>0</v>
      </c>
      <c r="S2660">
        <v>0</v>
      </c>
      <c r="T2660">
        <v>158.85371929999999</v>
      </c>
      <c r="U2660">
        <f t="shared" si="82"/>
        <v>0</v>
      </c>
      <c r="V2660">
        <f t="shared" si="83"/>
        <v>0</v>
      </c>
    </row>
    <row r="2661" spans="1:22" x14ac:dyDescent="0.2">
      <c r="A2661" t="s">
        <v>1098</v>
      </c>
      <c r="B2661" t="s">
        <v>19</v>
      </c>
      <c r="C2661" t="s">
        <v>76</v>
      </c>
      <c r="D2661" t="s">
        <v>77</v>
      </c>
      <c r="E2661">
        <v>18</v>
      </c>
      <c r="F2661" t="s">
        <v>147</v>
      </c>
      <c r="G2661">
        <v>91</v>
      </c>
      <c r="H2661">
        <v>43</v>
      </c>
      <c r="I2661">
        <v>0</v>
      </c>
      <c r="J2661">
        <v>97</v>
      </c>
      <c r="K2661">
        <v>69</v>
      </c>
      <c r="L2661">
        <v>-43</v>
      </c>
      <c r="M2661">
        <v>1</v>
      </c>
      <c r="N2661">
        <v>0</v>
      </c>
      <c r="O2661" s="1" t="s">
        <v>4538</v>
      </c>
      <c r="P2661">
        <v>0</v>
      </c>
      <c r="Q2661">
        <v>0</v>
      </c>
      <c r="R2661">
        <v>0</v>
      </c>
      <c r="S2661">
        <v>0</v>
      </c>
      <c r="T2661">
        <v>158.85371929999999</v>
      </c>
      <c r="U2661">
        <f t="shared" si="82"/>
        <v>0</v>
      </c>
      <c r="V2661">
        <f t="shared" si="83"/>
        <v>0</v>
      </c>
    </row>
    <row r="2662" spans="1:22" x14ac:dyDescent="0.2">
      <c r="A2662" t="s">
        <v>1098</v>
      </c>
      <c r="B2662" t="s">
        <v>19</v>
      </c>
      <c r="C2662" t="s">
        <v>76</v>
      </c>
      <c r="D2662" t="s">
        <v>77</v>
      </c>
      <c r="E2662">
        <v>10</v>
      </c>
      <c r="F2662" t="s">
        <v>119</v>
      </c>
      <c r="G2662">
        <v>49</v>
      </c>
      <c r="H2662">
        <v>62524</v>
      </c>
      <c r="I2662">
        <v>2557</v>
      </c>
      <c r="J2662">
        <v>70</v>
      </c>
      <c r="K2662">
        <v>77</v>
      </c>
      <c r="L2662">
        <v>-59967</v>
      </c>
      <c r="M2662" s="1" t="s">
        <v>4539</v>
      </c>
      <c r="N2662">
        <v>3.9289500775956103E-2</v>
      </c>
      <c r="O2662" s="1" t="s">
        <v>4540</v>
      </c>
      <c r="P2662">
        <v>0</v>
      </c>
      <c r="Q2662">
        <v>0</v>
      </c>
      <c r="R2662">
        <v>0</v>
      </c>
      <c r="S2662">
        <v>0</v>
      </c>
      <c r="T2662">
        <v>158.85371929999999</v>
      </c>
      <c r="U2662">
        <f t="shared" si="82"/>
        <v>0</v>
      </c>
      <c r="V2662">
        <f t="shared" si="83"/>
        <v>0</v>
      </c>
    </row>
    <row r="2663" spans="1:22" x14ac:dyDescent="0.2">
      <c r="A2663" t="s">
        <v>1098</v>
      </c>
      <c r="B2663" t="s">
        <v>19</v>
      </c>
      <c r="C2663" t="s">
        <v>76</v>
      </c>
      <c r="D2663" t="s">
        <v>77</v>
      </c>
      <c r="E2663">
        <v>20</v>
      </c>
      <c r="F2663" t="s">
        <v>104</v>
      </c>
      <c r="G2663">
        <v>95</v>
      </c>
      <c r="H2663">
        <v>2617</v>
      </c>
      <c r="I2663">
        <v>822</v>
      </c>
      <c r="J2663">
        <v>111</v>
      </c>
      <c r="K2663">
        <v>80</v>
      </c>
      <c r="L2663">
        <v>-1795</v>
      </c>
      <c r="M2663" s="1" t="s">
        <v>4541</v>
      </c>
      <c r="N2663" s="1" t="s">
        <v>4542</v>
      </c>
      <c r="O2663" s="1" t="s">
        <v>4543</v>
      </c>
      <c r="P2663">
        <v>0</v>
      </c>
      <c r="Q2663">
        <v>0</v>
      </c>
      <c r="R2663">
        <v>0</v>
      </c>
      <c r="S2663">
        <v>0</v>
      </c>
      <c r="T2663">
        <v>158.85371929999999</v>
      </c>
      <c r="U2663">
        <f t="shared" si="82"/>
        <v>0</v>
      </c>
      <c r="V2663">
        <f t="shared" si="83"/>
        <v>0</v>
      </c>
    </row>
    <row r="2664" spans="1:22" x14ac:dyDescent="0.2">
      <c r="A2664" t="s">
        <v>1098</v>
      </c>
      <c r="B2664" t="s">
        <v>19</v>
      </c>
      <c r="C2664" t="s">
        <v>76</v>
      </c>
      <c r="D2664" t="s">
        <v>77</v>
      </c>
      <c r="E2664">
        <v>13</v>
      </c>
      <c r="F2664" t="s">
        <v>91</v>
      </c>
      <c r="G2664">
        <v>69</v>
      </c>
      <c r="H2664">
        <v>1264</v>
      </c>
      <c r="I2664">
        <v>645</v>
      </c>
      <c r="J2664">
        <v>104</v>
      </c>
      <c r="K2664">
        <v>78</v>
      </c>
      <c r="L2664">
        <v>-619</v>
      </c>
      <c r="M2664" s="1" t="s">
        <v>4544</v>
      </c>
      <c r="N2664" s="1" t="s">
        <v>4545</v>
      </c>
      <c r="O2664" s="1" t="s">
        <v>4546</v>
      </c>
      <c r="P2664">
        <v>0</v>
      </c>
      <c r="Q2664">
        <v>0</v>
      </c>
      <c r="R2664">
        <v>0</v>
      </c>
      <c r="S2664">
        <v>0</v>
      </c>
      <c r="T2664">
        <v>158.85371929999999</v>
      </c>
      <c r="U2664">
        <f t="shared" si="82"/>
        <v>0</v>
      </c>
      <c r="V2664">
        <f t="shared" si="83"/>
        <v>0</v>
      </c>
    </row>
    <row r="2665" spans="1:22" x14ac:dyDescent="0.2">
      <c r="A2665" t="s">
        <v>1098</v>
      </c>
      <c r="B2665" t="s">
        <v>19</v>
      </c>
      <c r="C2665" t="s">
        <v>76</v>
      </c>
      <c r="D2665" t="s">
        <v>77</v>
      </c>
      <c r="E2665">
        <v>18</v>
      </c>
      <c r="F2665" t="s">
        <v>147</v>
      </c>
      <c r="G2665">
        <v>92</v>
      </c>
      <c r="H2665">
        <v>5909</v>
      </c>
      <c r="I2665">
        <v>251</v>
      </c>
      <c r="J2665">
        <v>59</v>
      </c>
      <c r="K2665">
        <v>63</v>
      </c>
      <c r="L2665">
        <v>-5658</v>
      </c>
      <c r="M2665" s="1" t="s">
        <v>4547</v>
      </c>
      <c r="N2665" s="1" t="s">
        <v>4548</v>
      </c>
      <c r="O2665" s="1" t="s">
        <v>4549</v>
      </c>
      <c r="P2665">
        <v>0</v>
      </c>
      <c r="Q2665">
        <v>0</v>
      </c>
      <c r="R2665">
        <v>0</v>
      </c>
      <c r="S2665">
        <v>0</v>
      </c>
      <c r="T2665">
        <v>158.85371929999999</v>
      </c>
      <c r="U2665">
        <f t="shared" si="82"/>
        <v>0</v>
      </c>
      <c r="V2665">
        <f t="shared" si="83"/>
        <v>0</v>
      </c>
    </row>
    <row r="2666" spans="1:22" x14ac:dyDescent="0.2">
      <c r="A2666" t="s">
        <v>1098</v>
      </c>
      <c r="B2666" t="s">
        <v>19</v>
      </c>
      <c r="C2666" t="s">
        <v>76</v>
      </c>
      <c r="D2666" t="s">
        <v>77</v>
      </c>
      <c r="E2666" s="1" t="s">
        <v>93</v>
      </c>
      <c r="F2666" t="s">
        <v>94</v>
      </c>
      <c r="G2666">
        <v>46</v>
      </c>
      <c r="H2666">
        <v>0</v>
      </c>
      <c r="I2666">
        <v>76</v>
      </c>
      <c r="J2666">
        <v>47</v>
      </c>
      <c r="K2666">
        <v>53</v>
      </c>
      <c r="L2666">
        <v>76</v>
      </c>
      <c r="M2666">
        <v>0</v>
      </c>
      <c r="N2666">
        <v>1</v>
      </c>
      <c r="O2666" s="1" t="s">
        <v>4550</v>
      </c>
      <c r="P2666">
        <v>0</v>
      </c>
      <c r="Q2666">
        <v>0</v>
      </c>
      <c r="R2666">
        <v>0</v>
      </c>
      <c r="S2666">
        <v>0</v>
      </c>
      <c r="T2666">
        <v>158.85371929999999</v>
      </c>
      <c r="U2666">
        <f t="shared" si="82"/>
        <v>0</v>
      </c>
      <c r="V2666">
        <f t="shared" si="83"/>
        <v>0</v>
      </c>
    </row>
    <row r="2667" spans="1:22" x14ac:dyDescent="0.2">
      <c r="A2667" t="s">
        <v>1098</v>
      </c>
      <c r="B2667" t="s">
        <v>19</v>
      </c>
      <c r="C2667" t="s">
        <v>76</v>
      </c>
      <c r="D2667" t="s">
        <v>77</v>
      </c>
      <c r="E2667">
        <v>12</v>
      </c>
      <c r="F2667" t="s">
        <v>194</v>
      </c>
      <c r="G2667">
        <v>66</v>
      </c>
      <c r="H2667">
        <v>0</v>
      </c>
      <c r="I2667">
        <v>56</v>
      </c>
      <c r="J2667">
        <v>69</v>
      </c>
      <c r="K2667">
        <v>54</v>
      </c>
      <c r="L2667">
        <v>56</v>
      </c>
      <c r="M2667">
        <v>0</v>
      </c>
      <c r="N2667">
        <v>1</v>
      </c>
      <c r="O2667" s="1" t="s">
        <v>4551</v>
      </c>
      <c r="P2667">
        <v>0</v>
      </c>
      <c r="Q2667">
        <v>0</v>
      </c>
      <c r="R2667">
        <v>0</v>
      </c>
      <c r="S2667">
        <v>0</v>
      </c>
      <c r="T2667">
        <v>158.85371929999999</v>
      </c>
      <c r="U2667">
        <f t="shared" si="82"/>
        <v>0</v>
      </c>
      <c r="V2667">
        <f t="shared" si="83"/>
        <v>0</v>
      </c>
    </row>
    <row r="2668" spans="1:22" x14ac:dyDescent="0.2">
      <c r="A2668" t="s">
        <v>1098</v>
      </c>
      <c r="B2668" t="s">
        <v>19</v>
      </c>
      <c r="C2668" t="s">
        <v>76</v>
      </c>
      <c r="D2668" t="s">
        <v>77</v>
      </c>
      <c r="E2668">
        <v>21</v>
      </c>
      <c r="F2668" t="s">
        <v>212</v>
      </c>
      <c r="G2668">
        <v>97</v>
      </c>
      <c r="H2668">
        <v>0</v>
      </c>
      <c r="I2668">
        <v>1951</v>
      </c>
      <c r="J2668">
        <v>97</v>
      </c>
      <c r="K2668">
        <v>70</v>
      </c>
      <c r="L2668">
        <v>1951</v>
      </c>
      <c r="M2668">
        <v>0</v>
      </c>
      <c r="N2668">
        <v>1</v>
      </c>
      <c r="O2668" s="1" t="s">
        <v>4552</v>
      </c>
      <c r="P2668">
        <v>0</v>
      </c>
      <c r="Q2668">
        <v>0</v>
      </c>
      <c r="R2668">
        <v>0</v>
      </c>
      <c r="S2668">
        <v>0</v>
      </c>
      <c r="T2668">
        <v>158.85371929999999</v>
      </c>
      <c r="U2668">
        <f t="shared" si="82"/>
        <v>0</v>
      </c>
      <c r="V2668">
        <f t="shared" si="83"/>
        <v>0</v>
      </c>
    </row>
    <row r="2669" spans="1:22" x14ac:dyDescent="0.2">
      <c r="A2669" t="s">
        <v>1098</v>
      </c>
      <c r="B2669" t="s">
        <v>19</v>
      </c>
      <c r="C2669" t="s">
        <v>76</v>
      </c>
      <c r="D2669" t="s">
        <v>77</v>
      </c>
      <c r="E2669">
        <v>11</v>
      </c>
      <c r="F2669" t="s">
        <v>127</v>
      </c>
      <c r="G2669">
        <v>57</v>
      </c>
      <c r="H2669">
        <v>2682</v>
      </c>
      <c r="I2669">
        <v>261</v>
      </c>
      <c r="J2669">
        <v>64</v>
      </c>
      <c r="K2669">
        <v>70</v>
      </c>
      <c r="L2669">
        <v>-2421</v>
      </c>
      <c r="M2669" s="1" t="s">
        <v>4553</v>
      </c>
      <c r="N2669">
        <v>8.8685015290519795E-2</v>
      </c>
      <c r="O2669" s="1" t="s">
        <v>4554</v>
      </c>
      <c r="P2669">
        <v>0</v>
      </c>
      <c r="Q2669">
        <v>0</v>
      </c>
      <c r="R2669">
        <v>0</v>
      </c>
      <c r="S2669">
        <v>0</v>
      </c>
      <c r="T2669">
        <v>158.85371929999999</v>
      </c>
      <c r="U2669">
        <f t="shared" si="82"/>
        <v>0</v>
      </c>
      <c r="V2669">
        <f t="shared" si="83"/>
        <v>0</v>
      </c>
    </row>
    <row r="2670" spans="1:22" x14ac:dyDescent="0.2">
      <c r="A2670" t="s">
        <v>1142</v>
      </c>
      <c r="B2670" t="s">
        <v>20</v>
      </c>
      <c r="C2670" t="s">
        <v>76</v>
      </c>
      <c r="D2670" t="s">
        <v>77</v>
      </c>
      <c r="E2670">
        <v>11</v>
      </c>
      <c r="F2670" t="s">
        <v>127</v>
      </c>
      <c r="G2670">
        <v>60</v>
      </c>
      <c r="H2670">
        <v>8650</v>
      </c>
      <c r="I2670">
        <v>0</v>
      </c>
      <c r="J2670">
        <v>27</v>
      </c>
      <c r="K2670">
        <v>60</v>
      </c>
      <c r="L2670">
        <v>-8650</v>
      </c>
      <c r="M2670">
        <v>1</v>
      </c>
      <c r="N2670">
        <v>0</v>
      </c>
      <c r="O2670" s="1" t="s">
        <v>4555</v>
      </c>
      <c r="P2670">
        <v>0</v>
      </c>
      <c r="Q2670">
        <v>0</v>
      </c>
      <c r="R2670">
        <v>0</v>
      </c>
      <c r="S2670">
        <v>0</v>
      </c>
      <c r="T2670">
        <v>257.83499610000001</v>
      </c>
      <c r="U2670">
        <f t="shared" si="82"/>
        <v>0</v>
      </c>
      <c r="V2670">
        <f t="shared" si="83"/>
        <v>0</v>
      </c>
    </row>
    <row r="2671" spans="1:22" x14ac:dyDescent="0.2">
      <c r="A2671" t="s">
        <v>1312</v>
      </c>
      <c r="B2671" t="s">
        <v>21</v>
      </c>
      <c r="C2671" t="s">
        <v>76</v>
      </c>
      <c r="D2671" t="s">
        <v>77</v>
      </c>
      <c r="E2671" s="1" t="s">
        <v>82</v>
      </c>
      <c r="F2671" t="s">
        <v>83</v>
      </c>
      <c r="G2671">
        <v>11</v>
      </c>
      <c r="H2671">
        <v>87584263</v>
      </c>
      <c r="I2671">
        <v>0</v>
      </c>
      <c r="J2671">
        <v>4</v>
      </c>
      <c r="K2671">
        <v>71</v>
      </c>
      <c r="L2671">
        <v>-87584263</v>
      </c>
      <c r="M2671">
        <v>1</v>
      </c>
      <c r="N2671">
        <v>0</v>
      </c>
      <c r="O2671" s="1" t="s">
        <v>4556</v>
      </c>
      <c r="P2671">
        <v>1</v>
      </c>
      <c r="Q2671">
        <v>0</v>
      </c>
      <c r="R2671">
        <v>1</v>
      </c>
      <c r="S2671">
        <v>0</v>
      </c>
      <c r="T2671">
        <v>12.414189650000001</v>
      </c>
      <c r="U2671">
        <f t="shared" si="82"/>
        <v>1</v>
      </c>
      <c r="V2671">
        <f t="shared" si="83"/>
        <v>1</v>
      </c>
    </row>
    <row r="2672" spans="1:22" x14ac:dyDescent="0.2">
      <c r="A2672" t="s">
        <v>1312</v>
      </c>
      <c r="B2672" t="s">
        <v>21</v>
      </c>
      <c r="C2672" t="s">
        <v>76</v>
      </c>
      <c r="D2672" t="s">
        <v>77</v>
      </c>
      <c r="E2672" s="1" t="s">
        <v>138</v>
      </c>
      <c r="F2672" t="s">
        <v>139</v>
      </c>
      <c r="G2672">
        <v>23</v>
      </c>
      <c r="H2672">
        <v>2520060</v>
      </c>
      <c r="I2672">
        <v>0</v>
      </c>
      <c r="J2672">
        <v>49</v>
      </c>
      <c r="K2672">
        <v>61</v>
      </c>
      <c r="L2672">
        <v>-2520060</v>
      </c>
      <c r="M2672">
        <v>1</v>
      </c>
      <c r="N2672">
        <v>0</v>
      </c>
      <c r="O2672">
        <v>4.6155615410311702E-3</v>
      </c>
      <c r="P2672">
        <v>0</v>
      </c>
      <c r="Q2672">
        <v>0</v>
      </c>
      <c r="R2672">
        <v>0</v>
      </c>
      <c r="S2672">
        <v>0</v>
      </c>
      <c r="T2672">
        <v>12.414189650000001</v>
      </c>
      <c r="U2672">
        <f t="shared" si="82"/>
        <v>0</v>
      </c>
      <c r="V2672">
        <f t="shared" si="83"/>
        <v>0</v>
      </c>
    </row>
    <row r="2673" spans="1:22" x14ac:dyDescent="0.2">
      <c r="A2673" t="s">
        <v>1312</v>
      </c>
      <c r="B2673" t="s">
        <v>21</v>
      </c>
      <c r="C2673" t="s">
        <v>76</v>
      </c>
      <c r="D2673" t="s">
        <v>77</v>
      </c>
      <c r="E2673" s="1" t="s">
        <v>155</v>
      </c>
      <c r="F2673" t="s">
        <v>156</v>
      </c>
      <c r="G2673" s="1" t="s">
        <v>110</v>
      </c>
      <c r="H2673">
        <v>2319584</v>
      </c>
      <c r="I2673">
        <v>0</v>
      </c>
      <c r="J2673">
        <v>56</v>
      </c>
      <c r="K2673">
        <v>77</v>
      </c>
      <c r="L2673">
        <v>-2319584</v>
      </c>
      <c r="M2673">
        <v>1</v>
      </c>
      <c r="N2673">
        <v>0</v>
      </c>
      <c r="O2673">
        <v>4.2483840470430197E-3</v>
      </c>
      <c r="P2673">
        <v>0</v>
      </c>
      <c r="Q2673">
        <v>0</v>
      </c>
      <c r="R2673">
        <v>0</v>
      </c>
      <c r="S2673">
        <v>0</v>
      </c>
      <c r="T2673">
        <v>12.414189650000001</v>
      </c>
      <c r="U2673">
        <f t="shared" si="82"/>
        <v>0</v>
      </c>
      <c r="V2673">
        <f t="shared" si="83"/>
        <v>0</v>
      </c>
    </row>
    <row r="2674" spans="1:22" x14ac:dyDescent="0.2">
      <c r="A2674" t="s">
        <v>1312</v>
      </c>
      <c r="B2674" t="s">
        <v>21</v>
      </c>
      <c r="C2674" t="s">
        <v>76</v>
      </c>
      <c r="D2674" t="s">
        <v>77</v>
      </c>
      <c r="E2674" s="1" t="s">
        <v>89</v>
      </c>
      <c r="F2674" t="s">
        <v>90</v>
      </c>
      <c r="G2674">
        <v>30</v>
      </c>
      <c r="H2674">
        <v>414729</v>
      </c>
      <c r="I2674">
        <v>0</v>
      </c>
      <c r="J2674">
        <v>74</v>
      </c>
      <c r="K2674">
        <v>91</v>
      </c>
      <c r="L2674">
        <v>-414729</v>
      </c>
      <c r="M2674">
        <v>1</v>
      </c>
      <c r="N2674">
        <v>0</v>
      </c>
      <c r="O2674" s="1" t="s">
        <v>4557</v>
      </c>
      <c r="P2674">
        <v>0</v>
      </c>
      <c r="Q2674">
        <v>0</v>
      </c>
      <c r="R2674">
        <v>0</v>
      </c>
      <c r="S2674">
        <v>0</v>
      </c>
      <c r="T2674">
        <v>12.414189650000001</v>
      </c>
      <c r="U2674">
        <f t="shared" si="82"/>
        <v>0</v>
      </c>
      <c r="V2674">
        <f t="shared" si="83"/>
        <v>0</v>
      </c>
    </row>
    <row r="2675" spans="1:22" x14ac:dyDescent="0.2">
      <c r="A2675" t="s">
        <v>1312</v>
      </c>
      <c r="B2675" t="s">
        <v>21</v>
      </c>
      <c r="C2675" t="s">
        <v>76</v>
      </c>
      <c r="D2675" t="s">
        <v>77</v>
      </c>
      <c r="E2675">
        <v>15</v>
      </c>
      <c r="F2675" t="s">
        <v>88</v>
      </c>
      <c r="G2675">
        <v>82</v>
      </c>
      <c r="H2675">
        <v>134</v>
      </c>
      <c r="I2675">
        <v>0</v>
      </c>
      <c r="J2675">
        <v>133</v>
      </c>
      <c r="K2675">
        <v>96</v>
      </c>
      <c r="L2675">
        <v>-134</v>
      </c>
      <c r="M2675">
        <v>1</v>
      </c>
      <c r="N2675">
        <v>0</v>
      </c>
      <c r="O2675" s="1" t="s">
        <v>4558</v>
      </c>
      <c r="P2675">
        <v>0</v>
      </c>
      <c r="Q2675">
        <v>0</v>
      </c>
      <c r="R2675">
        <v>0</v>
      </c>
      <c r="S2675">
        <v>0</v>
      </c>
      <c r="T2675">
        <v>12.414189650000001</v>
      </c>
      <c r="U2675">
        <f t="shared" si="82"/>
        <v>0</v>
      </c>
      <c r="V2675">
        <f t="shared" si="83"/>
        <v>0</v>
      </c>
    </row>
    <row r="2676" spans="1:22" x14ac:dyDescent="0.2">
      <c r="A2676" t="s">
        <v>1312</v>
      </c>
      <c r="B2676" t="s">
        <v>21</v>
      </c>
      <c r="C2676" t="s">
        <v>76</v>
      </c>
      <c r="D2676" t="s">
        <v>77</v>
      </c>
      <c r="E2676">
        <v>11</v>
      </c>
      <c r="F2676" t="s">
        <v>127</v>
      </c>
      <c r="G2676">
        <v>52</v>
      </c>
      <c r="H2676">
        <v>26</v>
      </c>
      <c r="I2676">
        <v>0</v>
      </c>
      <c r="J2676">
        <v>76</v>
      </c>
      <c r="K2676">
        <v>67</v>
      </c>
      <c r="L2676">
        <v>-26</v>
      </c>
      <c r="M2676">
        <v>1</v>
      </c>
      <c r="N2676">
        <v>0</v>
      </c>
      <c r="O2676" s="1" t="s">
        <v>4559</v>
      </c>
      <c r="P2676">
        <v>0</v>
      </c>
      <c r="Q2676">
        <v>0</v>
      </c>
      <c r="R2676">
        <v>0</v>
      </c>
      <c r="S2676">
        <v>0</v>
      </c>
      <c r="T2676">
        <v>12.414189650000001</v>
      </c>
      <c r="U2676">
        <f t="shared" si="82"/>
        <v>0</v>
      </c>
      <c r="V2676">
        <f t="shared" si="83"/>
        <v>0</v>
      </c>
    </row>
    <row r="2677" spans="1:22" x14ac:dyDescent="0.2">
      <c r="A2677" t="s">
        <v>1312</v>
      </c>
      <c r="B2677" t="s">
        <v>21</v>
      </c>
      <c r="C2677" t="s">
        <v>76</v>
      </c>
      <c r="D2677" t="s">
        <v>77</v>
      </c>
      <c r="E2677" s="1" t="s">
        <v>82</v>
      </c>
      <c r="F2677" t="s">
        <v>83</v>
      </c>
      <c r="G2677" s="1" t="s">
        <v>93</v>
      </c>
      <c r="H2677">
        <v>0</v>
      </c>
      <c r="I2677">
        <v>912</v>
      </c>
      <c r="J2677">
        <v>105</v>
      </c>
      <c r="K2677">
        <v>104</v>
      </c>
      <c r="L2677">
        <v>912</v>
      </c>
      <c r="M2677">
        <v>0</v>
      </c>
      <c r="N2677">
        <v>1</v>
      </c>
      <c r="O2677" s="1" t="s">
        <v>4560</v>
      </c>
      <c r="P2677">
        <v>0</v>
      </c>
      <c r="Q2677">
        <v>0</v>
      </c>
      <c r="R2677">
        <v>0</v>
      </c>
      <c r="S2677">
        <v>0</v>
      </c>
      <c r="T2677">
        <v>12.414189650000001</v>
      </c>
      <c r="U2677">
        <f t="shared" si="82"/>
        <v>0</v>
      </c>
      <c r="V2677">
        <f t="shared" si="83"/>
        <v>0</v>
      </c>
    </row>
    <row r="2678" spans="1:22" x14ac:dyDescent="0.2">
      <c r="A2678" t="s">
        <v>1374</v>
      </c>
      <c r="B2678" t="s">
        <v>22</v>
      </c>
      <c r="C2678" t="s">
        <v>76</v>
      </c>
      <c r="D2678" t="s">
        <v>77</v>
      </c>
      <c r="E2678" s="1" t="s">
        <v>89</v>
      </c>
      <c r="F2678" t="s">
        <v>90</v>
      </c>
      <c r="G2678">
        <v>38</v>
      </c>
      <c r="H2678">
        <v>196741</v>
      </c>
      <c r="I2678">
        <v>0</v>
      </c>
      <c r="J2678">
        <v>92</v>
      </c>
      <c r="K2678">
        <v>87</v>
      </c>
      <c r="L2678">
        <v>-196741</v>
      </c>
      <c r="M2678">
        <v>1</v>
      </c>
      <c r="N2678">
        <v>0</v>
      </c>
      <c r="O2678" s="1" t="s">
        <v>4561</v>
      </c>
      <c r="P2678">
        <v>0</v>
      </c>
      <c r="Q2678">
        <v>0</v>
      </c>
      <c r="R2678">
        <v>0</v>
      </c>
      <c r="S2678">
        <v>0</v>
      </c>
      <c r="T2678">
        <v>10.251031490000001</v>
      </c>
      <c r="U2678">
        <f t="shared" si="82"/>
        <v>0</v>
      </c>
      <c r="V2678">
        <f t="shared" si="83"/>
        <v>0</v>
      </c>
    </row>
    <row r="2679" spans="1:22" x14ac:dyDescent="0.2">
      <c r="A2679" t="s">
        <v>1374</v>
      </c>
      <c r="B2679" t="s">
        <v>22</v>
      </c>
      <c r="C2679" t="s">
        <v>76</v>
      </c>
      <c r="D2679" t="s">
        <v>77</v>
      </c>
      <c r="E2679">
        <v>21</v>
      </c>
      <c r="F2679" t="s">
        <v>212</v>
      </c>
      <c r="G2679">
        <v>97</v>
      </c>
      <c r="H2679">
        <v>6732</v>
      </c>
      <c r="I2679">
        <v>0</v>
      </c>
      <c r="J2679">
        <v>69</v>
      </c>
      <c r="K2679">
        <v>90</v>
      </c>
      <c r="L2679">
        <v>-6732</v>
      </c>
      <c r="M2679">
        <v>1</v>
      </c>
      <c r="N2679">
        <v>0</v>
      </c>
      <c r="O2679" s="1" t="s">
        <v>4562</v>
      </c>
      <c r="P2679">
        <v>0</v>
      </c>
      <c r="Q2679">
        <v>0</v>
      </c>
      <c r="R2679">
        <v>0</v>
      </c>
      <c r="S2679">
        <v>0</v>
      </c>
      <c r="T2679">
        <v>10.251031490000001</v>
      </c>
      <c r="U2679">
        <f t="shared" si="82"/>
        <v>0</v>
      </c>
      <c r="V2679">
        <f t="shared" si="83"/>
        <v>0</v>
      </c>
    </row>
    <row r="2680" spans="1:22" x14ac:dyDescent="0.2">
      <c r="A2680" t="s">
        <v>1374</v>
      </c>
      <c r="B2680" t="s">
        <v>22</v>
      </c>
      <c r="C2680" t="s">
        <v>76</v>
      </c>
      <c r="D2680" t="s">
        <v>77</v>
      </c>
      <c r="E2680">
        <v>15</v>
      </c>
      <c r="F2680" t="s">
        <v>88</v>
      </c>
      <c r="G2680">
        <v>82</v>
      </c>
      <c r="H2680">
        <v>27603</v>
      </c>
      <c r="I2680">
        <v>270</v>
      </c>
      <c r="J2680">
        <v>107</v>
      </c>
      <c r="K2680">
        <v>87</v>
      </c>
      <c r="L2680">
        <v>-27333</v>
      </c>
      <c r="M2680" s="1" t="s">
        <v>4563</v>
      </c>
      <c r="N2680">
        <v>9.6867936712948001E-3</v>
      </c>
      <c r="O2680" s="1" t="s">
        <v>4564</v>
      </c>
      <c r="P2680">
        <v>0</v>
      </c>
      <c r="Q2680">
        <v>0</v>
      </c>
      <c r="R2680">
        <v>0</v>
      </c>
      <c r="S2680">
        <v>0</v>
      </c>
      <c r="T2680">
        <v>10.251031490000001</v>
      </c>
      <c r="U2680">
        <f t="shared" si="82"/>
        <v>0</v>
      </c>
      <c r="V2680">
        <f t="shared" si="83"/>
        <v>0</v>
      </c>
    </row>
    <row r="2681" spans="1:22" x14ac:dyDescent="0.2">
      <c r="A2681" t="s">
        <v>1374</v>
      </c>
      <c r="B2681" t="s">
        <v>22</v>
      </c>
      <c r="C2681" t="s">
        <v>76</v>
      </c>
      <c r="D2681" t="s">
        <v>77</v>
      </c>
      <c r="E2681">
        <v>14</v>
      </c>
      <c r="F2681" t="s">
        <v>261</v>
      </c>
      <c r="G2681">
        <v>71</v>
      </c>
      <c r="H2681">
        <v>0</v>
      </c>
      <c r="I2681">
        <v>10</v>
      </c>
      <c r="J2681">
        <v>98</v>
      </c>
      <c r="K2681">
        <v>87</v>
      </c>
      <c r="L2681">
        <v>10</v>
      </c>
      <c r="M2681">
        <v>0</v>
      </c>
      <c r="N2681">
        <v>1</v>
      </c>
      <c r="O2681" s="1" t="s">
        <v>4565</v>
      </c>
      <c r="P2681">
        <v>0</v>
      </c>
      <c r="Q2681">
        <v>0</v>
      </c>
      <c r="R2681">
        <v>0</v>
      </c>
      <c r="S2681">
        <v>0</v>
      </c>
      <c r="T2681">
        <v>10.251031490000001</v>
      </c>
      <c r="U2681">
        <f t="shared" si="82"/>
        <v>0</v>
      </c>
      <c r="V2681">
        <f t="shared" si="83"/>
        <v>0</v>
      </c>
    </row>
    <row r="2682" spans="1:22" x14ac:dyDescent="0.2">
      <c r="A2682" t="s">
        <v>1374</v>
      </c>
      <c r="B2682" t="s">
        <v>22</v>
      </c>
      <c r="C2682" t="s">
        <v>76</v>
      </c>
      <c r="D2682" t="s">
        <v>77</v>
      </c>
      <c r="E2682">
        <v>17</v>
      </c>
      <c r="F2682" t="s">
        <v>97</v>
      </c>
      <c r="G2682">
        <v>88</v>
      </c>
      <c r="H2682">
        <v>0</v>
      </c>
      <c r="I2682">
        <v>1100000</v>
      </c>
      <c r="J2682">
        <v>105</v>
      </c>
      <c r="K2682">
        <v>45</v>
      </c>
      <c r="L2682">
        <v>1100000</v>
      </c>
      <c r="M2682">
        <v>0</v>
      </c>
      <c r="N2682">
        <v>1</v>
      </c>
      <c r="O2682">
        <v>2.4845083675621698E-3</v>
      </c>
      <c r="P2682">
        <v>0</v>
      </c>
      <c r="Q2682">
        <v>0</v>
      </c>
      <c r="R2682">
        <v>0</v>
      </c>
      <c r="S2682">
        <v>0</v>
      </c>
      <c r="T2682">
        <v>10.251031490000001</v>
      </c>
      <c r="U2682">
        <f t="shared" si="82"/>
        <v>0</v>
      </c>
      <c r="V2682">
        <f t="shared" si="83"/>
        <v>0</v>
      </c>
    </row>
    <row r="2683" spans="1:22" x14ac:dyDescent="0.2">
      <c r="A2683" t="s">
        <v>1438</v>
      </c>
      <c r="B2683" t="s">
        <v>23</v>
      </c>
      <c r="C2683" t="s">
        <v>76</v>
      </c>
      <c r="D2683" t="s">
        <v>77</v>
      </c>
      <c r="E2683" s="1" t="s">
        <v>89</v>
      </c>
      <c r="F2683" t="s">
        <v>90</v>
      </c>
      <c r="G2683">
        <v>32</v>
      </c>
      <c r="H2683">
        <v>103381</v>
      </c>
      <c r="I2683">
        <v>0</v>
      </c>
      <c r="J2683">
        <v>90</v>
      </c>
      <c r="K2683">
        <v>80</v>
      </c>
      <c r="L2683">
        <v>-103381</v>
      </c>
      <c r="M2683">
        <v>1</v>
      </c>
      <c r="N2683">
        <v>0</v>
      </c>
      <c r="O2683" s="1" t="s">
        <v>4566</v>
      </c>
      <c r="P2683">
        <v>0</v>
      </c>
      <c r="Q2683">
        <v>0</v>
      </c>
      <c r="R2683">
        <v>0</v>
      </c>
      <c r="S2683">
        <v>0</v>
      </c>
      <c r="T2683">
        <v>4.5962645599999998</v>
      </c>
      <c r="U2683">
        <f t="shared" si="82"/>
        <v>0</v>
      </c>
      <c r="V2683">
        <f t="shared" si="83"/>
        <v>0</v>
      </c>
    </row>
    <row r="2684" spans="1:22" x14ac:dyDescent="0.2">
      <c r="A2684" t="s">
        <v>1438</v>
      </c>
      <c r="B2684" t="s">
        <v>23</v>
      </c>
      <c r="C2684" t="s">
        <v>76</v>
      </c>
      <c r="D2684" t="s">
        <v>77</v>
      </c>
      <c r="E2684">
        <v>15</v>
      </c>
      <c r="F2684" t="s">
        <v>88</v>
      </c>
      <c r="G2684">
        <v>78</v>
      </c>
      <c r="H2684">
        <v>51675</v>
      </c>
      <c r="I2684">
        <v>0</v>
      </c>
      <c r="J2684">
        <v>54</v>
      </c>
      <c r="K2684">
        <v>44</v>
      </c>
      <c r="L2684">
        <v>-51675</v>
      </c>
      <c r="M2684">
        <v>1</v>
      </c>
      <c r="N2684">
        <v>0</v>
      </c>
      <c r="O2684" s="1" t="s">
        <v>4567</v>
      </c>
      <c r="P2684">
        <v>0</v>
      </c>
      <c r="Q2684">
        <v>0</v>
      </c>
      <c r="R2684">
        <v>0</v>
      </c>
      <c r="S2684">
        <v>0</v>
      </c>
      <c r="T2684">
        <v>4.5962645599999998</v>
      </c>
      <c r="U2684">
        <f t="shared" si="82"/>
        <v>0</v>
      </c>
      <c r="V2684">
        <f t="shared" si="83"/>
        <v>0</v>
      </c>
    </row>
    <row r="2685" spans="1:22" x14ac:dyDescent="0.2">
      <c r="A2685" t="s">
        <v>1438</v>
      </c>
      <c r="B2685" t="s">
        <v>23</v>
      </c>
      <c r="C2685" t="s">
        <v>76</v>
      </c>
      <c r="D2685" t="s">
        <v>77</v>
      </c>
      <c r="E2685">
        <v>13</v>
      </c>
      <c r="F2685" t="s">
        <v>91</v>
      </c>
      <c r="G2685">
        <v>70</v>
      </c>
      <c r="H2685">
        <v>327679</v>
      </c>
      <c r="I2685">
        <v>0</v>
      </c>
      <c r="J2685">
        <v>74</v>
      </c>
      <c r="K2685">
        <v>88</v>
      </c>
      <c r="L2685">
        <v>-327679</v>
      </c>
      <c r="M2685">
        <v>1</v>
      </c>
      <c r="N2685">
        <v>0</v>
      </c>
      <c r="O2685" s="1" t="s">
        <v>4568</v>
      </c>
      <c r="P2685">
        <v>0</v>
      </c>
      <c r="Q2685">
        <v>0</v>
      </c>
      <c r="R2685">
        <v>0</v>
      </c>
      <c r="S2685">
        <v>0</v>
      </c>
      <c r="T2685">
        <v>4.5962645599999998</v>
      </c>
      <c r="U2685">
        <f t="shared" si="82"/>
        <v>0</v>
      </c>
      <c r="V2685">
        <f t="shared" si="83"/>
        <v>0</v>
      </c>
    </row>
    <row r="2686" spans="1:22" x14ac:dyDescent="0.2">
      <c r="A2686" t="s">
        <v>1438</v>
      </c>
      <c r="B2686" t="s">
        <v>23</v>
      </c>
      <c r="C2686" t="s">
        <v>76</v>
      </c>
      <c r="D2686" t="s">
        <v>77</v>
      </c>
      <c r="E2686">
        <v>20</v>
      </c>
      <c r="F2686" t="s">
        <v>104</v>
      </c>
      <c r="G2686">
        <v>94</v>
      </c>
      <c r="H2686">
        <v>7635</v>
      </c>
      <c r="I2686">
        <v>0</v>
      </c>
      <c r="J2686">
        <v>113</v>
      </c>
      <c r="K2686">
        <v>103</v>
      </c>
      <c r="L2686">
        <v>-7635</v>
      </c>
      <c r="M2686">
        <v>1</v>
      </c>
      <c r="N2686">
        <v>0</v>
      </c>
      <c r="O2686" s="1" t="s">
        <v>4569</v>
      </c>
      <c r="P2686">
        <v>0</v>
      </c>
      <c r="Q2686">
        <v>0</v>
      </c>
      <c r="R2686">
        <v>0</v>
      </c>
      <c r="S2686">
        <v>0</v>
      </c>
      <c r="T2686">
        <v>4.5962645599999998</v>
      </c>
      <c r="U2686">
        <f t="shared" si="82"/>
        <v>0</v>
      </c>
      <c r="V2686">
        <f t="shared" si="83"/>
        <v>0</v>
      </c>
    </row>
    <row r="2687" spans="1:22" x14ac:dyDescent="0.2">
      <c r="A2687" t="s">
        <v>1438</v>
      </c>
      <c r="B2687" t="s">
        <v>23</v>
      </c>
      <c r="C2687" t="s">
        <v>76</v>
      </c>
      <c r="D2687" t="s">
        <v>77</v>
      </c>
      <c r="E2687">
        <v>17</v>
      </c>
      <c r="F2687" t="s">
        <v>97</v>
      </c>
      <c r="G2687">
        <v>88</v>
      </c>
      <c r="H2687">
        <v>2385</v>
      </c>
      <c r="I2687">
        <v>0</v>
      </c>
      <c r="J2687">
        <v>102</v>
      </c>
      <c r="K2687">
        <v>87</v>
      </c>
      <c r="L2687">
        <v>-2385</v>
      </c>
      <c r="M2687">
        <v>1</v>
      </c>
      <c r="N2687">
        <v>0</v>
      </c>
      <c r="O2687" s="1" t="s">
        <v>4570</v>
      </c>
      <c r="P2687">
        <v>0</v>
      </c>
      <c r="Q2687">
        <v>0</v>
      </c>
      <c r="R2687">
        <v>0</v>
      </c>
      <c r="S2687">
        <v>0</v>
      </c>
      <c r="T2687">
        <v>4.5962645599999998</v>
      </c>
      <c r="U2687">
        <f t="shared" si="82"/>
        <v>0</v>
      </c>
      <c r="V2687">
        <f t="shared" si="83"/>
        <v>0</v>
      </c>
    </row>
    <row r="2688" spans="1:22" x14ac:dyDescent="0.2">
      <c r="A2688" t="s">
        <v>1438</v>
      </c>
      <c r="B2688" t="s">
        <v>23</v>
      </c>
      <c r="C2688" t="s">
        <v>76</v>
      </c>
      <c r="D2688" t="s">
        <v>77</v>
      </c>
      <c r="E2688" s="1" t="s">
        <v>155</v>
      </c>
      <c r="F2688" t="s">
        <v>156</v>
      </c>
      <c r="G2688" s="1" t="s">
        <v>110</v>
      </c>
      <c r="H2688">
        <v>329</v>
      </c>
      <c r="I2688">
        <v>0</v>
      </c>
      <c r="J2688">
        <v>106</v>
      </c>
      <c r="K2688">
        <v>77</v>
      </c>
      <c r="L2688">
        <v>-329</v>
      </c>
      <c r="M2688">
        <v>1</v>
      </c>
      <c r="N2688">
        <v>0</v>
      </c>
      <c r="O2688" s="1" t="s">
        <v>4571</v>
      </c>
      <c r="P2688">
        <v>0</v>
      </c>
      <c r="Q2688">
        <v>0</v>
      </c>
      <c r="R2688">
        <v>0</v>
      </c>
      <c r="S2688">
        <v>0</v>
      </c>
      <c r="T2688">
        <v>4.5962645599999998</v>
      </c>
      <c r="U2688">
        <f t="shared" si="82"/>
        <v>0</v>
      </c>
      <c r="V2688">
        <f t="shared" si="83"/>
        <v>0</v>
      </c>
    </row>
    <row r="2689" spans="1:22" x14ac:dyDescent="0.2">
      <c r="A2689" t="s">
        <v>1438</v>
      </c>
      <c r="B2689" t="s">
        <v>23</v>
      </c>
      <c r="C2689" t="s">
        <v>76</v>
      </c>
      <c r="D2689" t="s">
        <v>77</v>
      </c>
      <c r="E2689">
        <v>12</v>
      </c>
      <c r="F2689" t="s">
        <v>194</v>
      </c>
      <c r="G2689">
        <v>64</v>
      </c>
      <c r="H2689">
        <v>845</v>
      </c>
      <c r="I2689">
        <v>0</v>
      </c>
      <c r="J2689">
        <v>103</v>
      </c>
      <c r="K2689">
        <v>94</v>
      </c>
      <c r="L2689">
        <v>-845</v>
      </c>
      <c r="M2689">
        <v>1</v>
      </c>
      <c r="N2689">
        <v>0</v>
      </c>
      <c r="O2689" s="1" t="s">
        <v>4572</v>
      </c>
      <c r="P2689">
        <v>0</v>
      </c>
      <c r="Q2689">
        <v>0</v>
      </c>
      <c r="R2689">
        <v>0</v>
      </c>
      <c r="S2689">
        <v>0</v>
      </c>
      <c r="T2689">
        <v>4.5962645599999998</v>
      </c>
      <c r="U2689">
        <f t="shared" si="82"/>
        <v>0</v>
      </c>
      <c r="V2689">
        <f t="shared" si="83"/>
        <v>0</v>
      </c>
    </row>
    <row r="2690" spans="1:22" x14ac:dyDescent="0.2">
      <c r="A2690" t="s">
        <v>1438</v>
      </c>
      <c r="B2690" t="s">
        <v>23</v>
      </c>
      <c r="C2690" t="s">
        <v>76</v>
      </c>
      <c r="D2690" t="s">
        <v>77</v>
      </c>
      <c r="E2690">
        <v>12</v>
      </c>
      <c r="F2690" t="s">
        <v>194</v>
      </c>
      <c r="G2690">
        <v>65</v>
      </c>
      <c r="H2690">
        <v>414</v>
      </c>
      <c r="I2690">
        <v>0</v>
      </c>
      <c r="J2690">
        <v>87</v>
      </c>
      <c r="K2690">
        <v>84</v>
      </c>
      <c r="L2690">
        <v>-414</v>
      </c>
      <c r="M2690">
        <v>1</v>
      </c>
      <c r="N2690">
        <v>0</v>
      </c>
      <c r="O2690" s="1" t="s">
        <v>4573</v>
      </c>
      <c r="P2690">
        <v>0</v>
      </c>
      <c r="Q2690">
        <v>0</v>
      </c>
      <c r="R2690">
        <v>0</v>
      </c>
      <c r="S2690">
        <v>0</v>
      </c>
      <c r="T2690">
        <v>4.5962645599999998</v>
      </c>
      <c r="U2690">
        <f t="shared" si="82"/>
        <v>0</v>
      </c>
      <c r="V2690">
        <f t="shared" si="83"/>
        <v>0</v>
      </c>
    </row>
    <row r="2691" spans="1:22" x14ac:dyDescent="0.2">
      <c r="A2691" t="s">
        <v>1438</v>
      </c>
      <c r="B2691" t="s">
        <v>23</v>
      </c>
      <c r="C2691" t="s">
        <v>76</v>
      </c>
      <c r="D2691" t="s">
        <v>77</v>
      </c>
      <c r="E2691">
        <v>14</v>
      </c>
      <c r="F2691" t="s">
        <v>261</v>
      </c>
      <c r="G2691">
        <v>71</v>
      </c>
      <c r="H2691">
        <v>73</v>
      </c>
      <c r="I2691">
        <v>0</v>
      </c>
      <c r="J2691">
        <v>93</v>
      </c>
      <c r="K2691">
        <v>89</v>
      </c>
      <c r="L2691">
        <v>-73</v>
      </c>
      <c r="M2691">
        <v>1</v>
      </c>
      <c r="N2691">
        <v>0</v>
      </c>
      <c r="O2691" s="1" t="s">
        <v>4574</v>
      </c>
      <c r="P2691">
        <v>0</v>
      </c>
      <c r="Q2691">
        <v>0</v>
      </c>
      <c r="R2691">
        <v>0</v>
      </c>
      <c r="S2691">
        <v>0</v>
      </c>
      <c r="T2691">
        <v>4.5962645599999998</v>
      </c>
      <c r="U2691">
        <f t="shared" ref="U2691:U2754" si="84">IF(OR(P2691=1,Q2691=1),1,0)</f>
        <v>0</v>
      </c>
      <c r="V2691">
        <f t="shared" ref="V2691:V2754" si="85">IF(OR(R2691=1,S2691=1),1,0)</f>
        <v>0</v>
      </c>
    </row>
    <row r="2692" spans="1:22" x14ac:dyDescent="0.2">
      <c r="A2692" t="s">
        <v>1438</v>
      </c>
      <c r="B2692" t="s">
        <v>23</v>
      </c>
      <c r="C2692" t="s">
        <v>76</v>
      </c>
      <c r="D2692" t="s">
        <v>77</v>
      </c>
      <c r="E2692" s="1" t="s">
        <v>85</v>
      </c>
      <c r="F2692" t="s">
        <v>86</v>
      </c>
      <c r="G2692">
        <v>27</v>
      </c>
      <c r="H2692">
        <v>10905</v>
      </c>
      <c r="I2692">
        <v>0</v>
      </c>
      <c r="J2692">
        <v>134</v>
      </c>
      <c r="K2692">
        <v>91</v>
      </c>
      <c r="L2692">
        <v>-10905</v>
      </c>
      <c r="M2692">
        <v>1</v>
      </c>
      <c r="N2692">
        <v>0</v>
      </c>
      <c r="O2692" s="1" t="s">
        <v>4575</v>
      </c>
      <c r="P2692">
        <v>0</v>
      </c>
      <c r="Q2692">
        <v>0</v>
      </c>
      <c r="R2692">
        <v>0</v>
      </c>
      <c r="S2692">
        <v>0</v>
      </c>
      <c r="T2692">
        <v>4.5962645599999998</v>
      </c>
      <c r="U2692">
        <f t="shared" si="84"/>
        <v>0</v>
      </c>
      <c r="V2692">
        <f t="shared" si="85"/>
        <v>0</v>
      </c>
    </row>
    <row r="2693" spans="1:22" x14ac:dyDescent="0.2">
      <c r="A2693" t="s">
        <v>1438</v>
      </c>
      <c r="B2693" t="s">
        <v>23</v>
      </c>
      <c r="C2693" t="s">
        <v>76</v>
      </c>
      <c r="D2693" t="s">
        <v>77</v>
      </c>
      <c r="E2693">
        <v>11</v>
      </c>
      <c r="F2693" t="s">
        <v>127</v>
      </c>
      <c r="G2693">
        <v>56</v>
      </c>
      <c r="H2693">
        <v>18</v>
      </c>
      <c r="I2693">
        <v>0</v>
      </c>
      <c r="J2693">
        <v>101</v>
      </c>
      <c r="K2693">
        <v>77</v>
      </c>
      <c r="L2693">
        <v>-18</v>
      </c>
      <c r="M2693">
        <v>1</v>
      </c>
      <c r="N2693">
        <v>0</v>
      </c>
      <c r="O2693" s="1" t="s">
        <v>4576</v>
      </c>
      <c r="P2693">
        <v>0</v>
      </c>
      <c r="Q2693">
        <v>0</v>
      </c>
      <c r="R2693">
        <v>0</v>
      </c>
      <c r="S2693">
        <v>0</v>
      </c>
      <c r="T2693">
        <v>4.5962645599999998</v>
      </c>
      <c r="U2693">
        <f t="shared" si="84"/>
        <v>0</v>
      </c>
      <c r="V2693">
        <f t="shared" si="85"/>
        <v>0</v>
      </c>
    </row>
    <row r="2694" spans="1:22" x14ac:dyDescent="0.2">
      <c r="A2694" t="s">
        <v>1438</v>
      </c>
      <c r="B2694" t="s">
        <v>23</v>
      </c>
      <c r="C2694" t="s">
        <v>76</v>
      </c>
      <c r="D2694" t="s">
        <v>77</v>
      </c>
      <c r="E2694" s="1" t="s">
        <v>163</v>
      </c>
      <c r="F2694" t="s">
        <v>224</v>
      </c>
      <c r="G2694">
        <v>42</v>
      </c>
      <c r="H2694">
        <v>954</v>
      </c>
      <c r="I2694">
        <v>0</v>
      </c>
      <c r="J2694">
        <v>101</v>
      </c>
      <c r="K2694">
        <v>99</v>
      </c>
      <c r="L2694">
        <v>-954</v>
      </c>
      <c r="M2694">
        <v>1</v>
      </c>
      <c r="N2694">
        <v>0</v>
      </c>
      <c r="O2694" s="1" t="s">
        <v>4577</v>
      </c>
      <c r="P2694">
        <v>0</v>
      </c>
      <c r="Q2694">
        <v>0</v>
      </c>
      <c r="R2694">
        <v>0</v>
      </c>
      <c r="S2694">
        <v>0</v>
      </c>
      <c r="T2694">
        <v>4.5962645599999998</v>
      </c>
      <c r="U2694">
        <f t="shared" si="84"/>
        <v>0</v>
      </c>
      <c r="V2694">
        <f t="shared" si="85"/>
        <v>0</v>
      </c>
    </row>
    <row r="2695" spans="1:22" x14ac:dyDescent="0.2">
      <c r="A2695" t="s">
        <v>1438</v>
      </c>
      <c r="B2695" t="s">
        <v>23</v>
      </c>
      <c r="C2695" t="s">
        <v>76</v>
      </c>
      <c r="D2695" t="s">
        <v>77</v>
      </c>
      <c r="E2695" s="1" t="s">
        <v>138</v>
      </c>
      <c r="F2695" t="s">
        <v>139</v>
      </c>
      <c r="G2695">
        <v>24</v>
      </c>
      <c r="H2695">
        <v>0</v>
      </c>
      <c r="I2695">
        <v>16394</v>
      </c>
      <c r="J2695">
        <v>98</v>
      </c>
      <c r="K2695">
        <v>72</v>
      </c>
      <c r="L2695">
        <v>16394</v>
      </c>
      <c r="M2695">
        <v>0</v>
      </c>
      <c r="N2695">
        <v>1</v>
      </c>
      <c r="O2695" s="1" t="s">
        <v>4578</v>
      </c>
      <c r="P2695">
        <v>0</v>
      </c>
      <c r="Q2695">
        <v>0</v>
      </c>
      <c r="R2695">
        <v>0</v>
      </c>
      <c r="S2695">
        <v>0</v>
      </c>
      <c r="T2695">
        <v>4.5962645599999998</v>
      </c>
      <c r="U2695">
        <f t="shared" si="84"/>
        <v>0</v>
      </c>
      <c r="V2695">
        <f t="shared" si="85"/>
        <v>0</v>
      </c>
    </row>
    <row r="2696" spans="1:22" x14ac:dyDescent="0.2">
      <c r="A2696" t="s">
        <v>1438</v>
      </c>
      <c r="B2696" t="s">
        <v>23</v>
      </c>
      <c r="C2696" t="s">
        <v>76</v>
      </c>
      <c r="D2696" t="s">
        <v>77</v>
      </c>
      <c r="E2696" s="1" t="s">
        <v>82</v>
      </c>
      <c r="F2696" t="s">
        <v>83</v>
      </c>
      <c r="G2696" s="1" t="s">
        <v>163</v>
      </c>
      <c r="H2696">
        <v>0</v>
      </c>
      <c r="I2696">
        <v>538977</v>
      </c>
      <c r="J2696">
        <v>74</v>
      </c>
      <c r="K2696">
        <v>74</v>
      </c>
      <c r="L2696">
        <v>538977</v>
      </c>
      <c r="M2696">
        <v>0</v>
      </c>
      <c r="N2696">
        <v>1</v>
      </c>
      <c r="O2696">
        <v>1.3322772085195701E-3</v>
      </c>
      <c r="P2696">
        <v>0</v>
      </c>
      <c r="Q2696">
        <v>0</v>
      </c>
      <c r="R2696">
        <v>0</v>
      </c>
      <c r="S2696">
        <v>0</v>
      </c>
      <c r="T2696">
        <v>4.5962645599999998</v>
      </c>
      <c r="U2696">
        <f t="shared" si="84"/>
        <v>0</v>
      </c>
      <c r="V2696">
        <f t="shared" si="85"/>
        <v>0</v>
      </c>
    </row>
    <row r="2697" spans="1:22" x14ac:dyDescent="0.2">
      <c r="A2697" t="s">
        <v>1484</v>
      </c>
      <c r="B2697" t="s">
        <v>24</v>
      </c>
      <c r="C2697" t="s">
        <v>76</v>
      </c>
      <c r="D2697" t="s">
        <v>77</v>
      </c>
      <c r="E2697">
        <v>11</v>
      </c>
      <c r="F2697" t="s">
        <v>127</v>
      </c>
      <c r="G2697">
        <v>53</v>
      </c>
      <c r="H2697">
        <v>27832</v>
      </c>
      <c r="I2697">
        <v>0</v>
      </c>
      <c r="J2697">
        <v>46</v>
      </c>
      <c r="K2697">
        <v>49</v>
      </c>
      <c r="L2697">
        <v>-27832</v>
      </c>
      <c r="M2697">
        <v>1</v>
      </c>
      <c r="N2697">
        <v>0</v>
      </c>
      <c r="O2697" s="1" t="s">
        <v>4579</v>
      </c>
      <c r="P2697">
        <v>0</v>
      </c>
      <c r="Q2697">
        <v>0</v>
      </c>
      <c r="R2697">
        <v>0</v>
      </c>
      <c r="S2697">
        <v>0</v>
      </c>
      <c r="T2697">
        <v>146.3475875</v>
      </c>
      <c r="U2697">
        <f t="shared" si="84"/>
        <v>0</v>
      </c>
      <c r="V2697">
        <f t="shared" si="85"/>
        <v>0</v>
      </c>
    </row>
    <row r="2698" spans="1:22" x14ac:dyDescent="0.2">
      <c r="A2698" t="s">
        <v>1484</v>
      </c>
      <c r="B2698" t="s">
        <v>24</v>
      </c>
      <c r="C2698" t="s">
        <v>76</v>
      </c>
      <c r="D2698" t="s">
        <v>77</v>
      </c>
      <c r="E2698">
        <v>15</v>
      </c>
      <c r="F2698" t="s">
        <v>88</v>
      </c>
      <c r="G2698">
        <v>75</v>
      </c>
      <c r="H2698">
        <v>21211</v>
      </c>
      <c r="I2698">
        <v>227024</v>
      </c>
      <c r="J2698">
        <v>65</v>
      </c>
      <c r="K2698">
        <v>30</v>
      </c>
      <c r="L2698">
        <v>205813</v>
      </c>
      <c r="M2698">
        <v>8.5447257638930796E-2</v>
      </c>
      <c r="N2698" s="1" t="s">
        <v>4580</v>
      </c>
      <c r="O2698" s="1" t="s">
        <v>4581</v>
      </c>
      <c r="P2698">
        <v>0</v>
      </c>
      <c r="Q2698">
        <v>0</v>
      </c>
      <c r="R2698">
        <v>0</v>
      </c>
      <c r="S2698">
        <v>0</v>
      </c>
      <c r="T2698">
        <v>146.3475875</v>
      </c>
      <c r="U2698">
        <f t="shared" si="84"/>
        <v>0</v>
      </c>
      <c r="V2698">
        <f t="shared" si="85"/>
        <v>0</v>
      </c>
    </row>
    <row r="2699" spans="1:22" x14ac:dyDescent="0.2">
      <c r="A2699" t="s">
        <v>1484</v>
      </c>
      <c r="B2699" t="s">
        <v>24</v>
      </c>
      <c r="C2699" t="s">
        <v>76</v>
      </c>
      <c r="D2699" t="s">
        <v>77</v>
      </c>
      <c r="E2699" s="1" t="s">
        <v>163</v>
      </c>
      <c r="F2699" t="s">
        <v>224</v>
      </c>
      <c r="G2699">
        <v>43</v>
      </c>
      <c r="H2699">
        <v>4326</v>
      </c>
      <c r="I2699">
        <v>88339</v>
      </c>
      <c r="J2699">
        <v>47</v>
      </c>
      <c r="K2699">
        <v>38</v>
      </c>
      <c r="L2699">
        <v>84013</v>
      </c>
      <c r="M2699">
        <v>4.6684292882965502E-2</v>
      </c>
      <c r="N2699" s="1" t="s">
        <v>4582</v>
      </c>
      <c r="O2699" s="1" t="s">
        <v>4583</v>
      </c>
      <c r="P2699">
        <v>0</v>
      </c>
      <c r="Q2699">
        <v>0</v>
      </c>
      <c r="R2699">
        <v>0</v>
      </c>
      <c r="S2699">
        <v>0</v>
      </c>
      <c r="T2699">
        <v>146.3475875</v>
      </c>
      <c r="U2699">
        <f t="shared" si="84"/>
        <v>0</v>
      </c>
      <c r="V2699">
        <f t="shared" si="85"/>
        <v>0</v>
      </c>
    </row>
    <row r="2700" spans="1:22" x14ac:dyDescent="0.2">
      <c r="A2700" t="s">
        <v>1671</v>
      </c>
      <c r="B2700" t="s">
        <v>25</v>
      </c>
      <c r="C2700" t="s">
        <v>76</v>
      </c>
      <c r="D2700" t="s">
        <v>77</v>
      </c>
      <c r="E2700" s="1" t="s">
        <v>89</v>
      </c>
      <c r="F2700" t="s">
        <v>90</v>
      </c>
      <c r="G2700">
        <v>36</v>
      </c>
      <c r="H2700">
        <v>412025</v>
      </c>
      <c r="I2700">
        <v>0</v>
      </c>
      <c r="J2700">
        <v>31</v>
      </c>
      <c r="K2700">
        <v>37</v>
      </c>
      <c r="L2700">
        <v>-412025</v>
      </c>
      <c r="M2700">
        <v>1</v>
      </c>
      <c r="N2700">
        <v>0</v>
      </c>
      <c r="O2700" s="1" t="s">
        <v>4584</v>
      </c>
      <c r="P2700">
        <v>0</v>
      </c>
      <c r="Q2700">
        <v>0</v>
      </c>
      <c r="R2700">
        <v>0</v>
      </c>
      <c r="S2700">
        <v>0</v>
      </c>
      <c r="T2700">
        <v>24.185020420000001</v>
      </c>
      <c r="U2700">
        <f t="shared" si="84"/>
        <v>0</v>
      </c>
      <c r="V2700">
        <f t="shared" si="85"/>
        <v>0</v>
      </c>
    </row>
    <row r="2701" spans="1:22" x14ac:dyDescent="0.2">
      <c r="A2701" t="s">
        <v>1671</v>
      </c>
      <c r="B2701" t="s">
        <v>25</v>
      </c>
      <c r="C2701" t="s">
        <v>76</v>
      </c>
      <c r="D2701" t="s">
        <v>77</v>
      </c>
      <c r="E2701">
        <v>15</v>
      </c>
      <c r="F2701" t="s">
        <v>88</v>
      </c>
      <c r="G2701">
        <v>80</v>
      </c>
      <c r="H2701">
        <v>40047</v>
      </c>
      <c r="I2701">
        <v>215</v>
      </c>
      <c r="J2701">
        <v>30</v>
      </c>
      <c r="K2701">
        <v>40</v>
      </c>
      <c r="L2701">
        <v>-39832</v>
      </c>
      <c r="M2701" s="1" t="s">
        <v>4585</v>
      </c>
      <c r="N2701">
        <v>5.3400228503303303E-3</v>
      </c>
      <c r="O2701" s="1" t="s">
        <v>4586</v>
      </c>
      <c r="P2701">
        <v>0</v>
      </c>
      <c r="Q2701">
        <v>0</v>
      </c>
      <c r="R2701">
        <v>0</v>
      </c>
      <c r="S2701">
        <v>0</v>
      </c>
      <c r="T2701">
        <v>24.185020420000001</v>
      </c>
      <c r="U2701">
        <f t="shared" si="84"/>
        <v>0</v>
      </c>
      <c r="V2701">
        <f t="shared" si="85"/>
        <v>0</v>
      </c>
    </row>
    <row r="2702" spans="1:22" x14ac:dyDescent="0.2">
      <c r="A2702" t="s">
        <v>1671</v>
      </c>
      <c r="B2702" t="s">
        <v>25</v>
      </c>
      <c r="C2702" t="s">
        <v>76</v>
      </c>
      <c r="D2702" t="s">
        <v>77</v>
      </c>
      <c r="E2702" s="1" t="s">
        <v>93</v>
      </c>
      <c r="F2702" t="s">
        <v>94</v>
      </c>
      <c r="G2702">
        <v>45</v>
      </c>
      <c r="H2702">
        <v>118</v>
      </c>
      <c r="I2702">
        <v>12247</v>
      </c>
      <c r="J2702">
        <v>42</v>
      </c>
      <c r="K2702">
        <v>28</v>
      </c>
      <c r="L2702">
        <v>12129</v>
      </c>
      <c r="M2702">
        <v>9.54306510311362E-3</v>
      </c>
      <c r="N2702" s="1" t="s">
        <v>4587</v>
      </c>
      <c r="O2702" s="1" t="s">
        <v>4588</v>
      </c>
      <c r="P2702">
        <v>0</v>
      </c>
      <c r="Q2702">
        <v>0</v>
      </c>
      <c r="R2702">
        <v>0</v>
      </c>
      <c r="S2702">
        <v>0</v>
      </c>
      <c r="T2702">
        <v>24.185020420000001</v>
      </c>
      <c r="U2702">
        <f t="shared" si="84"/>
        <v>0</v>
      </c>
      <c r="V2702">
        <f t="shared" si="85"/>
        <v>0</v>
      </c>
    </row>
    <row r="2703" spans="1:22" x14ac:dyDescent="0.2">
      <c r="A2703" t="s">
        <v>1671</v>
      </c>
      <c r="B2703" t="s">
        <v>25</v>
      </c>
      <c r="C2703" t="s">
        <v>76</v>
      </c>
      <c r="D2703" t="s">
        <v>77</v>
      </c>
      <c r="E2703">
        <v>12</v>
      </c>
      <c r="F2703" t="s">
        <v>194</v>
      </c>
      <c r="G2703">
        <v>66</v>
      </c>
      <c r="H2703">
        <v>40</v>
      </c>
      <c r="I2703">
        <v>884</v>
      </c>
      <c r="J2703">
        <v>63</v>
      </c>
      <c r="K2703">
        <v>50</v>
      </c>
      <c r="L2703">
        <v>844</v>
      </c>
      <c r="M2703">
        <v>4.3290043290043198E-2</v>
      </c>
      <c r="N2703" s="1" t="s">
        <v>4589</v>
      </c>
      <c r="O2703" s="1" t="s">
        <v>4590</v>
      </c>
      <c r="P2703">
        <v>0</v>
      </c>
      <c r="Q2703">
        <v>0</v>
      </c>
      <c r="R2703">
        <v>0</v>
      </c>
      <c r="S2703">
        <v>0</v>
      </c>
      <c r="T2703">
        <v>24.185020420000001</v>
      </c>
      <c r="U2703">
        <f t="shared" si="84"/>
        <v>0</v>
      </c>
      <c r="V2703">
        <f t="shared" si="85"/>
        <v>0</v>
      </c>
    </row>
    <row r="2704" spans="1:22" x14ac:dyDescent="0.2">
      <c r="A2704" t="s">
        <v>1849</v>
      </c>
      <c r="B2704" t="s">
        <v>26</v>
      </c>
      <c r="C2704" t="s">
        <v>76</v>
      </c>
      <c r="D2704" t="s">
        <v>77</v>
      </c>
      <c r="E2704" s="1" t="s">
        <v>138</v>
      </c>
      <c r="F2704" t="s">
        <v>139</v>
      </c>
      <c r="G2704">
        <v>19</v>
      </c>
      <c r="H2704">
        <v>6095</v>
      </c>
      <c r="I2704">
        <v>797172</v>
      </c>
      <c r="J2704">
        <v>84</v>
      </c>
      <c r="K2704">
        <v>55</v>
      </c>
      <c r="L2704">
        <v>791077</v>
      </c>
      <c r="M2704">
        <v>7.5877634709255997E-3</v>
      </c>
      <c r="N2704" s="1" t="s">
        <v>4591</v>
      </c>
      <c r="O2704" s="1" t="s">
        <v>4592</v>
      </c>
      <c r="P2704">
        <v>0</v>
      </c>
      <c r="Q2704">
        <v>0</v>
      </c>
      <c r="R2704">
        <v>0</v>
      </c>
      <c r="S2704">
        <v>0</v>
      </c>
      <c r="T2704">
        <v>12.98266392</v>
      </c>
      <c r="U2704">
        <f t="shared" si="84"/>
        <v>0</v>
      </c>
      <c r="V2704">
        <f t="shared" si="85"/>
        <v>0</v>
      </c>
    </row>
    <row r="2705" spans="1:22" x14ac:dyDescent="0.2">
      <c r="A2705" t="s">
        <v>1849</v>
      </c>
      <c r="B2705" t="s">
        <v>26</v>
      </c>
      <c r="C2705" t="s">
        <v>76</v>
      </c>
      <c r="D2705" t="s">
        <v>77</v>
      </c>
      <c r="E2705">
        <v>17</v>
      </c>
      <c r="F2705" t="s">
        <v>97</v>
      </c>
      <c r="G2705">
        <v>86</v>
      </c>
      <c r="H2705">
        <v>869983</v>
      </c>
      <c r="I2705">
        <v>1246770</v>
      </c>
      <c r="J2705">
        <v>44</v>
      </c>
      <c r="K2705">
        <v>33</v>
      </c>
      <c r="L2705">
        <v>376787</v>
      </c>
      <c r="M2705" s="1" t="s">
        <v>4593</v>
      </c>
      <c r="N2705" s="1" t="s">
        <v>4594</v>
      </c>
      <c r="O2705" s="1" t="s">
        <v>4595</v>
      </c>
      <c r="P2705">
        <v>0</v>
      </c>
      <c r="Q2705">
        <v>0</v>
      </c>
      <c r="R2705">
        <v>0</v>
      </c>
      <c r="S2705">
        <v>0</v>
      </c>
      <c r="T2705">
        <v>12.98266392</v>
      </c>
      <c r="U2705">
        <f t="shared" si="84"/>
        <v>0</v>
      </c>
      <c r="V2705">
        <f t="shared" si="85"/>
        <v>0</v>
      </c>
    </row>
    <row r="2706" spans="1:22" x14ac:dyDescent="0.2">
      <c r="A2706" t="s">
        <v>2010</v>
      </c>
      <c r="B2706" t="s">
        <v>27</v>
      </c>
      <c r="C2706" t="s">
        <v>76</v>
      </c>
      <c r="D2706" t="s">
        <v>77</v>
      </c>
      <c r="E2706">
        <v>13</v>
      </c>
      <c r="F2706" t="s">
        <v>91</v>
      </c>
      <c r="G2706">
        <v>69</v>
      </c>
      <c r="H2706">
        <v>100095</v>
      </c>
      <c r="I2706">
        <v>0</v>
      </c>
      <c r="J2706">
        <v>68</v>
      </c>
      <c r="K2706">
        <v>91</v>
      </c>
      <c r="L2706">
        <v>-100095</v>
      </c>
      <c r="M2706">
        <v>1</v>
      </c>
      <c r="N2706">
        <v>0</v>
      </c>
      <c r="O2706" s="1" t="s">
        <v>4596</v>
      </c>
      <c r="P2706">
        <v>0</v>
      </c>
      <c r="Q2706">
        <v>0</v>
      </c>
      <c r="R2706">
        <v>0</v>
      </c>
      <c r="S2706">
        <v>0</v>
      </c>
      <c r="T2706">
        <v>13.62458097</v>
      </c>
      <c r="U2706">
        <f t="shared" si="84"/>
        <v>0</v>
      </c>
      <c r="V2706">
        <f t="shared" si="85"/>
        <v>0</v>
      </c>
    </row>
    <row r="2707" spans="1:22" x14ac:dyDescent="0.2">
      <c r="A2707" t="s">
        <v>2010</v>
      </c>
      <c r="B2707" t="s">
        <v>27</v>
      </c>
      <c r="C2707" t="s">
        <v>76</v>
      </c>
      <c r="D2707" t="s">
        <v>77</v>
      </c>
      <c r="E2707" s="1" t="s">
        <v>89</v>
      </c>
      <c r="F2707" t="s">
        <v>90</v>
      </c>
      <c r="G2707">
        <v>31</v>
      </c>
      <c r="H2707">
        <v>106797</v>
      </c>
      <c r="I2707">
        <v>0</v>
      </c>
      <c r="J2707">
        <v>125</v>
      </c>
      <c r="K2707">
        <v>51</v>
      </c>
      <c r="L2707">
        <v>-106797</v>
      </c>
      <c r="M2707">
        <v>1</v>
      </c>
      <c r="N2707">
        <v>0</v>
      </c>
      <c r="O2707" s="1" t="s">
        <v>4597</v>
      </c>
      <c r="P2707">
        <v>0</v>
      </c>
      <c r="Q2707">
        <v>0</v>
      </c>
      <c r="R2707">
        <v>0</v>
      </c>
      <c r="S2707">
        <v>0</v>
      </c>
      <c r="T2707">
        <v>13.62458097</v>
      </c>
      <c r="U2707">
        <f t="shared" si="84"/>
        <v>0</v>
      </c>
      <c r="V2707">
        <f t="shared" si="85"/>
        <v>0</v>
      </c>
    </row>
    <row r="2708" spans="1:22" x14ac:dyDescent="0.2">
      <c r="A2708" t="s">
        <v>2010</v>
      </c>
      <c r="B2708" t="s">
        <v>27</v>
      </c>
      <c r="C2708" t="s">
        <v>76</v>
      </c>
      <c r="D2708" t="s">
        <v>77</v>
      </c>
      <c r="E2708">
        <v>11</v>
      </c>
      <c r="F2708" t="s">
        <v>127</v>
      </c>
      <c r="G2708">
        <v>62</v>
      </c>
      <c r="H2708">
        <v>536</v>
      </c>
      <c r="I2708">
        <v>0</v>
      </c>
      <c r="J2708">
        <v>114</v>
      </c>
      <c r="K2708">
        <v>105</v>
      </c>
      <c r="L2708">
        <v>-536</v>
      </c>
      <c r="M2708">
        <v>1</v>
      </c>
      <c r="N2708">
        <v>0</v>
      </c>
      <c r="O2708" s="1" t="s">
        <v>4598</v>
      </c>
      <c r="P2708">
        <v>0</v>
      </c>
      <c r="Q2708">
        <v>0</v>
      </c>
      <c r="R2708">
        <v>0</v>
      </c>
      <c r="S2708">
        <v>0</v>
      </c>
      <c r="T2708">
        <v>13.62458097</v>
      </c>
      <c r="U2708">
        <f t="shared" si="84"/>
        <v>0</v>
      </c>
      <c r="V2708">
        <f t="shared" si="85"/>
        <v>0</v>
      </c>
    </row>
    <row r="2709" spans="1:22" x14ac:dyDescent="0.2">
      <c r="A2709" t="s">
        <v>2010</v>
      </c>
      <c r="B2709" t="s">
        <v>27</v>
      </c>
      <c r="C2709" t="s">
        <v>76</v>
      </c>
      <c r="D2709" t="s">
        <v>77</v>
      </c>
      <c r="E2709">
        <v>12</v>
      </c>
      <c r="F2709" t="s">
        <v>194</v>
      </c>
      <c r="G2709">
        <v>64</v>
      </c>
      <c r="H2709">
        <v>349</v>
      </c>
      <c r="I2709">
        <v>0</v>
      </c>
      <c r="J2709">
        <v>111</v>
      </c>
      <c r="K2709">
        <v>94</v>
      </c>
      <c r="L2709">
        <v>-349</v>
      </c>
      <c r="M2709">
        <v>1</v>
      </c>
      <c r="N2709">
        <v>0</v>
      </c>
      <c r="O2709" s="1" t="s">
        <v>4599</v>
      </c>
      <c r="P2709">
        <v>0</v>
      </c>
      <c r="Q2709">
        <v>0</v>
      </c>
      <c r="R2709">
        <v>0</v>
      </c>
      <c r="S2709">
        <v>0</v>
      </c>
      <c r="T2709">
        <v>13.62458097</v>
      </c>
      <c r="U2709">
        <f t="shared" si="84"/>
        <v>0</v>
      </c>
      <c r="V2709">
        <f t="shared" si="85"/>
        <v>0</v>
      </c>
    </row>
    <row r="2710" spans="1:22" x14ac:dyDescent="0.2">
      <c r="A2710" t="s">
        <v>2010</v>
      </c>
      <c r="B2710" t="s">
        <v>27</v>
      </c>
      <c r="C2710" t="s">
        <v>76</v>
      </c>
      <c r="D2710" t="s">
        <v>77</v>
      </c>
      <c r="E2710">
        <v>15</v>
      </c>
      <c r="F2710" t="s">
        <v>88</v>
      </c>
      <c r="G2710">
        <v>73</v>
      </c>
      <c r="H2710">
        <v>18643</v>
      </c>
      <c r="I2710">
        <v>0</v>
      </c>
      <c r="J2710">
        <v>123</v>
      </c>
      <c r="K2710">
        <v>103</v>
      </c>
      <c r="L2710">
        <v>-18643</v>
      </c>
      <c r="M2710">
        <v>1</v>
      </c>
      <c r="N2710">
        <v>0</v>
      </c>
      <c r="O2710" s="1" t="s">
        <v>4600</v>
      </c>
      <c r="P2710">
        <v>0</v>
      </c>
      <c r="Q2710">
        <v>0</v>
      </c>
      <c r="R2710">
        <v>0</v>
      </c>
      <c r="S2710">
        <v>0</v>
      </c>
      <c r="T2710">
        <v>13.62458097</v>
      </c>
      <c r="U2710">
        <f t="shared" si="84"/>
        <v>0</v>
      </c>
      <c r="V2710">
        <f t="shared" si="85"/>
        <v>0</v>
      </c>
    </row>
    <row r="2711" spans="1:22" x14ac:dyDescent="0.2">
      <c r="A2711" t="s">
        <v>2010</v>
      </c>
      <c r="B2711" t="s">
        <v>27</v>
      </c>
      <c r="C2711" t="s">
        <v>76</v>
      </c>
      <c r="D2711" t="s">
        <v>77</v>
      </c>
      <c r="E2711" s="1" t="s">
        <v>163</v>
      </c>
      <c r="F2711" t="s">
        <v>224</v>
      </c>
      <c r="G2711">
        <v>42</v>
      </c>
      <c r="H2711">
        <v>138</v>
      </c>
      <c r="I2711">
        <v>0</v>
      </c>
      <c r="J2711">
        <v>118</v>
      </c>
      <c r="K2711">
        <v>99</v>
      </c>
      <c r="L2711">
        <v>-138</v>
      </c>
      <c r="M2711">
        <v>1</v>
      </c>
      <c r="N2711">
        <v>0</v>
      </c>
      <c r="O2711" s="1" t="s">
        <v>4601</v>
      </c>
      <c r="P2711">
        <v>0</v>
      </c>
      <c r="Q2711">
        <v>0</v>
      </c>
      <c r="R2711">
        <v>0</v>
      </c>
      <c r="S2711">
        <v>0</v>
      </c>
      <c r="T2711">
        <v>13.62458097</v>
      </c>
      <c r="U2711">
        <f t="shared" si="84"/>
        <v>0</v>
      </c>
      <c r="V2711">
        <f t="shared" si="85"/>
        <v>0</v>
      </c>
    </row>
    <row r="2712" spans="1:22" x14ac:dyDescent="0.2">
      <c r="A2712" t="s">
        <v>2010</v>
      </c>
      <c r="B2712" t="s">
        <v>27</v>
      </c>
      <c r="C2712" t="s">
        <v>76</v>
      </c>
      <c r="D2712" t="s">
        <v>77</v>
      </c>
      <c r="E2712" s="1" t="s">
        <v>82</v>
      </c>
      <c r="F2712" t="s">
        <v>83</v>
      </c>
      <c r="G2712" s="1" t="s">
        <v>93</v>
      </c>
      <c r="H2712">
        <v>0</v>
      </c>
      <c r="I2712">
        <v>82616</v>
      </c>
      <c r="J2712">
        <v>105</v>
      </c>
      <c r="K2712">
        <v>79</v>
      </c>
      <c r="L2712">
        <v>82616</v>
      </c>
      <c r="M2712">
        <v>0</v>
      </c>
      <c r="N2712">
        <v>1</v>
      </c>
      <c r="O2712" s="1" t="s">
        <v>4602</v>
      </c>
      <c r="P2712">
        <v>0</v>
      </c>
      <c r="Q2712">
        <v>0</v>
      </c>
      <c r="R2712">
        <v>0</v>
      </c>
      <c r="S2712">
        <v>0</v>
      </c>
      <c r="T2712">
        <v>13.62458097</v>
      </c>
      <c r="U2712">
        <f t="shared" si="84"/>
        <v>0</v>
      </c>
      <c r="V2712">
        <f t="shared" si="85"/>
        <v>0</v>
      </c>
    </row>
    <row r="2713" spans="1:22" x14ac:dyDescent="0.2">
      <c r="A2713" t="s">
        <v>2212</v>
      </c>
      <c r="B2713" t="s">
        <v>29</v>
      </c>
      <c r="C2713" t="s">
        <v>76</v>
      </c>
      <c r="D2713" t="s">
        <v>77</v>
      </c>
      <c r="E2713">
        <v>15</v>
      </c>
      <c r="F2713" t="s">
        <v>88</v>
      </c>
      <c r="G2713">
        <v>79</v>
      </c>
      <c r="H2713">
        <v>1421479</v>
      </c>
      <c r="I2713">
        <v>0</v>
      </c>
      <c r="J2713">
        <v>17</v>
      </c>
      <c r="K2713">
        <v>54</v>
      </c>
      <c r="L2713">
        <v>-1421479</v>
      </c>
      <c r="M2713">
        <v>1</v>
      </c>
      <c r="N2713">
        <v>0</v>
      </c>
      <c r="O2713" s="1" t="s">
        <v>4603</v>
      </c>
      <c r="P2713">
        <v>0</v>
      </c>
      <c r="Q2713">
        <v>0</v>
      </c>
      <c r="R2713">
        <v>0</v>
      </c>
      <c r="S2713">
        <v>0</v>
      </c>
      <c r="T2713">
        <v>25.232029140000002</v>
      </c>
      <c r="U2713">
        <f t="shared" si="84"/>
        <v>0</v>
      </c>
      <c r="V2713">
        <f t="shared" si="85"/>
        <v>0</v>
      </c>
    </row>
    <row r="2714" spans="1:22" x14ac:dyDescent="0.2">
      <c r="A2714" t="s">
        <v>2212</v>
      </c>
      <c r="B2714" t="s">
        <v>29</v>
      </c>
      <c r="C2714" t="s">
        <v>76</v>
      </c>
      <c r="D2714" t="s">
        <v>77</v>
      </c>
      <c r="E2714">
        <v>11</v>
      </c>
      <c r="F2714" t="s">
        <v>127</v>
      </c>
      <c r="G2714">
        <v>54</v>
      </c>
      <c r="H2714">
        <v>132267</v>
      </c>
      <c r="I2714">
        <v>0</v>
      </c>
      <c r="J2714">
        <v>44</v>
      </c>
      <c r="K2714">
        <v>68</v>
      </c>
      <c r="L2714">
        <v>-132267</v>
      </c>
      <c r="M2714">
        <v>1</v>
      </c>
      <c r="N2714">
        <v>0</v>
      </c>
      <c r="O2714" s="1" t="s">
        <v>4604</v>
      </c>
      <c r="P2714">
        <v>0</v>
      </c>
      <c r="Q2714">
        <v>0</v>
      </c>
      <c r="R2714">
        <v>0</v>
      </c>
      <c r="S2714">
        <v>0</v>
      </c>
      <c r="T2714">
        <v>25.232029140000002</v>
      </c>
      <c r="U2714">
        <f t="shared" si="84"/>
        <v>0</v>
      </c>
      <c r="V2714">
        <f t="shared" si="85"/>
        <v>0</v>
      </c>
    </row>
    <row r="2715" spans="1:22" x14ac:dyDescent="0.2">
      <c r="A2715" t="s">
        <v>2212</v>
      </c>
      <c r="B2715" t="s">
        <v>29</v>
      </c>
      <c r="C2715" t="s">
        <v>76</v>
      </c>
      <c r="D2715" t="s">
        <v>77</v>
      </c>
      <c r="E2715" s="1" t="s">
        <v>155</v>
      </c>
      <c r="F2715" t="s">
        <v>156</v>
      </c>
      <c r="G2715" s="1" t="s">
        <v>138</v>
      </c>
      <c r="H2715">
        <v>0</v>
      </c>
      <c r="I2715">
        <v>218</v>
      </c>
      <c r="J2715">
        <v>75</v>
      </c>
      <c r="K2715">
        <v>67</v>
      </c>
      <c r="L2715">
        <v>218</v>
      </c>
      <c r="M2715">
        <v>0</v>
      </c>
      <c r="N2715">
        <v>1</v>
      </c>
      <c r="O2715" s="1" t="s">
        <v>4605</v>
      </c>
      <c r="P2715">
        <v>0</v>
      </c>
      <c r="Q2715">
        <v>0</v>
      </c>
      <c r="R2715">
        <v>0</v>
      </c>
      <c r="S2715">
        <v>0</v>
      </c>
      <c r="T2715">
        <v>25.232029140000002</v>
      </c>
      <c r="U2715">
        <f t="shared" si="84"/>
        <v>0</v>
      </c>
      <c r="V2715">
        <f t="shared" si="85"/>
        <v>0</v>
      </c>
    </row>
    <row r="2716" spans="1:22" x14ac:dyDescent="0.2">
      <c r="A2716" t="s">
        <v>2212</v>
      </c>
      <c r="B2716" t="s">
        <v>29</v>
      </c>
      <c r="C2716" t="s">
        <v>76</v>
      </c>
      <c r="D2716" t="s">
        <v>77</v>
      </c>
      <c r="E2716" s="1" t="s">
        <v>155</v>
      </c>
      <c r="F2716" t="s">
        <v>156</v>
      </c>
      <c r="G2716" s="1" t="s">
        <v>155</v>
      </c>
      <c r="H2716">
        <v>0</v>
      </c>
      <c r="I2716">
        <v>2250</v>
      </c>
      <c r="J2716">
        <v>88</v>
      </c>
      <c r="K2716">
        <v>61</v>
      </c>
      <c r="L2716">
        <v>2250</v>
      </c>
      <c r="M2716">
        <v>0</v>
      </c>
      <c r="N2716">
        <v>1</v>
      </c>
      <c r="O2716" s="1" t="s">
        <v>4606</v>
      </c>
      <c r="P2716">
        <v>0</v>
      </c>
      <c r="Q2716">
        <v>0</v>
      </c>
      <c r="R2716">
        <v>0</v>
      </c>
      <c r="S2716">
        <v>0</v>
      </c>
      <c r="T2716">
        <v>25.232029140000002</v>
      </c>
      <c r="U2716">
        <f t="shared" si="84"/>
        <v>0</v>
      </c>
      <c r="V2716">
        <f t="shared" si="85"/>
        <v>0</v>
      </c>
    </row>
    <row r="2717" spans="1:22" x14ac:dyDescent="0.2">
      <c r="A2717" t="s">
        <v>2212</v>
      </c>
      <c r="B2717" t="s">
        <v>29</v>
      </c>
      <c r="C2717" t="s">
        <v>76</v>
      </c>
      <c r="D2717" t="s">
        <v>77</v>
      </c>
      <c r="E2717">
        <v>11</v>
      </c>
      <c r="F2717" t="s">
        <v>127</v>
      </c>
      <c r="G2717">
        <v>52</v>
      </c>
      <c r="H2717">
        <v>0</v>
      </c>
      <c r="I2717">
        <v>868</v>
      </c>
      <c r="J2717">
        <v>81</v>
      </c>
      <c r="K2717">
        <v>59</v>
      </c>
      <c r="L2717">
        <v>868</v>
      </c>
      <c r="M2717">
        <v>0</v>
      </c>
      <c r="N2717">
        <v>1</v>
      </c>
      <c r="O2717" s="1" t="s">
        <v>4607</v>
      </c>
      <c r="P2717">
        <v>0</v>
      </c>
      <c r="Q2717">
        <v>0</v>
      </c>
      <c r="R2717">
        <v>0</v>
      </c>
      <c r="S2717">
        <v>0</v>
      </c>
      <c r="T2717">
        <v>25.232029140000002</v>
      </c>
      <c r="U2717">
        <f t="shared" si="84"/>
        <v>0</v>
      </c>
      <c r="V2717">
        <f t="shared" si="85"/>
        <v>0</v>
      </c>
    </row>
    <row r="2718" spans="1:22" x14ac:dyDescent="0.2">
      <c r="A2718" t="s">
        <v>2212</v>
      </c>
      <c r="B2718" t="s">
        <v>29</v>
      </c>
      <c r="C2718" t="s">
        <v>76</v>
      </c>
      <c r="D2718" t="s">
        <v>77</v>
      </c>
      <c r="E2718" s="1" t="s">
        <v>155</v>
      </c>
      <c r="F2718" t="s">
        <v>156</v>
      </c>
      <c r="G2718" s="1" t="s">
        <v>85</v>
      </c>
      <c r="H2718">
        <v>0</v>
      </c>
      <c r="I2718">
        <v>2189</v>
      </c>
      <c r="J2718">
        <v>74</v>
      </c>
      <c r="K2718">
        <v>65</v>
      </c>
      <c r="L2718">
        <v>2189</v>
      </c>
      <c r="M2718">
        <v>0</v>
      </c>
      <c r="N2718">
        <v>1</v>
      </c>
      <c r="O2718" s="1" t="s">
        <v>4608</v>
      </c>
      <c r="P2718">
        <v>0</v>
      </c>
      <c r="Q2718">
        <v>0</v>
      </c>
      <c r="R2718">
        <v>0</v>
      </c>
      <c r="S2718">
        <v>0</v>
      </c>
      <c r="T2718">
        <v>25.232029140000002</v>
      </c>
      <c r="U2718">
        <f t="shared" si="84"/>
        <v>0</v>
      </c>
      <c r="V2718">
        <f t="shared" si="85"/>
        <v>0</v>
      </c>
    </row>
    <row r="2719" spans="1:22" x14ac:dyDescent="0.2">
      <c r="A2719" t="s">
        <v>2299</v>
      </c>
      <c r="B2719" t="s">
        <v>30</v>
      </c>
      <c r="C2719" t="s">
        <v>76</v>
      </c>
      <c r="D2719" t="s">
        <v>77</v>
      </c>
      <c r="E2719" s="1" t="s">
        <v>155</v>
      </c>
      <c r="F2719" t="s">
        <v>156</v>
      </c>
      <c r="G2719" s="1" t="s">
        <v>155</v>
      </c>
      <c r="H2719">
        <v>4970741</v>
      </c>
      <c r="I2719">
        <v>324433</v>
      </c>
      <c r="J2719">
        <v>8</v>
      </c>
      <c r="K2719">
        <v>32</v>
      </c>
      <c r="L2719">
        <v>-4646308</v>
      </c>
      <c r="M2719" s="1" t="s">
        <v>4609</v>
      </c>
      <c r="N2719" s="1" t="s">
        <v>4610</v>
      </c>
      <c r="O2719" s="1" t="s">
        <v>4611</v>
      </c>
      <c r="P2719">
        <v>0</v>
      </c>
      <c r="Q2719">
        <v>0</v>
      </c>
      <c r="R2719">
        <v>1</v>
      </c>
      <c r="S2719">
        <v>0</v>
      </c>
      <c r="T2719">
        <v>215.2532736</v>
      </c>
      <c r="U2719">
        <f t="shared" si="84"/>
        <v>0</v>
      </c>
      <c r="V2719">
        <f t="shared" si="85"/>
        <v>1</v>
      </c>
    </row>
    <row r="2720" spans="1:22" x14ac:dyDescent="0.2">
      <c r="A2720" t="s">
        <v>2299</v>
      </c>
      <c r="B2720" t="s">
        <v>30</v>
      </c>
      <c r="C2720" t="s">
        <v>76</v>
      </c>
      <c r="D2720" t="s">
        <v>77</v>
      </c>
      <c r="E2720">
        <v>15</v>
      </c>
      <c r="F2720" t="s">
        <v>88</v>
      </c>
      <c r="G2720">
        <v>79</v>
      </c>
      <c r="H2720">
        <v>271371</v>
      </c>
      <c r="I2720">
        <v>0</v>
      </c>
      <c r="J2720">
        <v>34</v>
      </c>
      <c r="K2720">
        <v>54</v>
      </c>
      <c r="L2720">
        <v>-271371</v>
      </c>
      <c r="M2720">
        <v>1</v>
      </c>
      <c r="N2720">
        <v>0</v>
      </c>
      <c r="O2720" s="1" t="s">
        <v>4612</v>
      </c>
      <c r="P2720">
        <v>0</v>
      </c>
      <c r="Q2720">
        <v>0</v>
      </c>
      <c r="R2720">
        <v>0</v>
      </c>
      <c r="S2720">
        <v>0</v>
      </c>
      <c r="T2720">
        <v>215.2532736</v>
      </c>
      <c r="U2720">
        <f t="shared" si="84"/>
        <v>0</v>
      </c>
      <c r="V2720">
        <f t="shared" si="85"/>
        <v>0</v>
      </c>
    </row>
    <row r="2721" spans="1:22" x14ac:dyDescent="0.2">
      <c r="A2721" t="s">
        <v>2299</v>
      </c>
      <c r="B2721" t="s">
        <v>30</v>
      </c>
      <c r="C2721" t="s">
        <v>76</v>
      </c>
      <c r="D2721" t="s">
        <v>77</v>
      </c>
      <c r="E2721" s="1" t="s">
        <v>85</v>
      </c>
      <c r="F2721" t="s">
        <v>86</v>
      </c>
      <c r="G2721">
        <v>26</v>
      </c>
      <c r="H2721">
        <v>17124</v>
      </c>
      <c r="I2721">
        <v>708</v>
      </c>
      <c r="J2721">
        <v>55</v>
      </c>
      <c r="K2721">
        <v>55</v>
      </c>
      <c r="L2721">
        <v>-16416</v>
      </c>
      <c r="M2721" s="1" t="s">
        <v>4613</v>
      </c>
      <c r="N2721" s="1" t="s">
        <v>4614</v>
      </c>
      <c r="O2721" s="1" t="s">
        <v>4615</v>
      </c>
      <c r="P2721">
        <v>0</v>
      </c>
      <c r="Q2721">
        <v>0</v>
      </c>
      <c r="R2721">
        <v>0</v>
      </c>
      <c r="S2721">
        <v>0</v>
      </c>
      <c r="T2721">
        <v>215.2532736</v>
      </c>
      <c r="U2721">
        <f t="shared" si="84"/>
        <v>0</v>
      </c>
      <c r="V2721">
        <f t="shared" si="85"/>
        <v>0</v>
      </c>
    </row>
    <row r="2722" spans="1:22" x14ac:dyDescent="0.2">
      <c r="A2722" t="s">
        <v>2299</v>
      </c>
      <c r="B2722" t="s">
        <v>30</v>
      </c>
      <c r="C2722" t="s">
        <v>76</v>
      </c>
      <c r="D2722" t="s">
        <v>77</v>
      </c>
      <c r="E2722" s="1" t="s">
        <v>93</v>
      </c>
      <c r="F2722" t="s">
        <v>94</v>
      </c>
      <c r="G2722">
        <v>46</v>
      </c>
      <c r="H2722">
        <v>44416</v>
      </c>
      <c r="I2722">
        <v>213842</v>
      </c>
      <c r="J2722">
        <v>7</v>
      </c>
      <c r="K2722">
        <v>15</v>
      </c>
      <c r="L2722">
        <v>169426</v>
      </c>
      <c r="M2722" s="1" t="s">
        <v>4616</v>
      </c>
      <c r="N2722">
        <v>0.82801694429601402</v>
      </c>
      <c r="O2722" s="1" t="s">
        <v>4617</v>
      </c>
      <c r="P2722">
        <v>0</v>
      </c>
      <c r="Q2722">
        <v>0</v>
      </c>
      <c r="R2722">
        <v>1</v>
      </c>
      <c r="S2722">
        <v>0</v>
      </c>
      <c r="T2722">
        <v>215.2532736</v>
      </c>
      <c r="U2722">
        <f t="shared" si="84"/>
        <v>0</v>
      </c>
      <c r="V2722">
        <f t="shared" si="85"/>
        <v>1</v>
      </c>
    </row>
    <row r="2723" spans="1:22" x14ac:dyDescent="0.2">
      <c r="A2723" t="s">
        <v>2299</v>
      </c>
      <c r="B2723" t="s">
        <v>30</v>
      </c>
      <c r="C2723" t="s">
        <v>76</v>
      </c>
      <c r="D2723" t="s">
        <v>77</v>
      </c>
      <c r="E2723">
        <v>12</v>
      </c>
      <c r="F2723" t="s">
        <v>194</v>
      </c>
      <c r="G2723">
        <v>66</v>
      </c>
      <c r="H2723">
        <v>46313</v>
      </c>
      <c r="I2723">
        <v>572630</v>
      </c>
      <c r="J2723">
        <v>6</v>
      </c>
      <c r="K2723">
        <v>14</v>
      </c>
      <c r="L2723">
        <v>526317</v>
      </c>
      <c r="M2723">
        <v>7.4825953278411697E-2</v>
      </c>
      <c r="N2723" s="1" t="s">
        <v>4618</v>
      </c>
      <c r="O2723" s="1" t="s">
        <v>4619</v>
      </c>
      <c r="P2723">
        <v>0</v>
      </c>
      <c r="Q2723">
        <v>0</v>
      </c>
      <c r="R2723">
        <v>1</v>
      </c>
      <c r="S2723">
        <v>0</v>
      </c>
      <c r="T2723">
        <v>215.2532736</v>
      </c>
      <c r="U2723">
        <f t="shared" si="84"/>
        <v>0</v>
      </c>
      <c r="V2723">
        <f t="shared" si="85"/>
        <v>1</v>
      </c>
    </row>
    <row r="2724" spans="1:22" x14ac:dyDescent="0.2">
      <c r="A2724" t="s">
        <v>2299</v>
      </c>
      <c r="B2724" t="s">
        <v>30</v>
      </c>
      <c r="C2724" t="s">
        <v>76</v>
      </c>
      <c r="D2724" t="s">
        <v>77</v>
      </c>
      <c r="E2724">
        <v>18</v>
      </c>
      <c r="F2724" t="s">
        <v>147</v>
      </c>
      <c r="G2724">
        <v>92</v>
      </c>
      <c r="H2724">
        <v>33373</v>
      </c>
      <c r="I2724">
        <v>0</v>
      </c>
      <c r="J2724">
        <v>35</v>
      </c>
      <c r="K2724">
        <v>66</v>
      </c>
      <c r="L2724">
        <v>-33373</v>
      </c>
      <c r="M2724">
        <v>1</v>
      </c>
      <c r="N2724">
        <v>0</v>
      </c>
      <c r="O2724" s="1" t="s">
        <v>4620</v>
      </c>
      <c r="P2724">
        <v>0</v>
      </c>
      <c r="Q2724">
        <v>0</v>
      </c>
      <c r="R2724">
        <v>0</v>
      </c>
      <c r="S2724">
        <v>0</v>
      </c>
      <c r="T2724">
        <v>215.2532736</v>
      </c>
      <c r="U2724">
        <f t="shared" si="84"/>
        <v>0</v>
      </c>
      <c r="V2724">
        <f t="shared" si="85"/>
        <v>0</v>
      </c>
    </row>
    <row r="2725" spans="1:22" x14ac:dyDescent="0.2">
      <c r="A2725" t="s">
        <v>2471</v>
      </c>
      <c r="B2725" t="s">
        <v>31</v>
      </c>
      <c r="C2725" t="s">
        <v>76</v>
      </c>
      <c r="D2725" t="s">
        <v>77</v>
      </c>
      <c r="E2725" s="1" t="s">
        <v>89</v>
      </c>
      <c r="F2725" t="s">
        <v>90</v>
      </c>
      <c r="G2725">
        <v>29</v>
      </c>
      <c r="H2725">
        <v>10632</v>
      </c>
      <c r="I2725">
        <v>0</v>
      </c>
      <c r="J2725">
        <v>114</v>
      </c>
      <c r="K2725">
        <v>81</v>
      </c>
      <c r="L2725">
        <v>-10632</v>
      </c>
      <c r="M2725">
        <v>1</v>
      </c>
      <c r="N2725">
        <v>0</v>
      </c>
      <c r="O2725" s="1" t="s">
        <v>4621</v>
      </c>
      <c r="P2725">
        <v>0</v>
      </c>
      <c r="Q2725">
        <v>0</v>
      </c>
      <c r="R2725">
        <v>0</v>
      </c>
      <c r="S2725">
        <v>0</v>
      </c>
      <c r="T2725">
        <v>11.22870996</v>
      </c>
      <c r="U2725">
        <f t="shared" si="84"/>
        <v>0</v>
      </c>
      <c r="V2725">
        <f t="shared" si="85"/>
        <v>0</v>
      </c>
    </row>
    <row r="2726" spans="1:22" x14ac:dyDescent="0.2">
      <c r="A2726" t="s">
        <v>2471</v>
      </c>
      <c r="B2726" t="s">
        <v>31</v>
      </c>
      <c r="C2726" t="s">
        <v>76</v>
      </c>
      <c r="D2726" t="s">
        <v>77</v>
      </c>
      <c r="E2726" s="1" t="s">
        <v>89</v>
      </c>
      <c r="F2726" t="s">
        <v>90</v>
      </c>
      <c r="G2726">
        <v>38</v>
      </c>
      <c r="H2726">
        <v>26160</v>
      </c>
      <c r="I2726">
        <v>0</v>
      </c>
      <c r="J2726">
        <v>111</v>
      </c>
      <c r="K2726">
        <v>87</v>
      </c>
      <c r="L2726">
        <v>-26160</v>
      </c>
      <c r="M2726">
        <v>1</v>
      </c>
      <c r="N2726">
        <v>0</v>
      </c>
      <c r="O2726" s="1" t="s">
        <v>4622</v>
      </c>
      <c r="P2726">
        <v>0</v>
      </c>
      <c r="Q2726">
        <v>0</v>
      </c>
      <c r="R2726">
        <v>0</v>
      </c>
      <c r="S2726">
        <v>0</v>
      </c>
      <c r="T2726">
        <v>11.22870996</v>
      </c>
      <c r="U2726">
        <f t="shared" si="84"/>
        <v>0</v>
      </c>
      <c r="V2726">
        <f t="shared" si="85"/>
        <v>0</v>
      </c>
    </row>
    <row r="2727" spans="1:22" x14ac:dyDescent="0.2">
      <c r="A2727" t="s">
        <v>2471</v>
      </c>
      <c r="B2727" t="s">
        <v>31</v>
      </c>
      <c r="C2727" t="s">
        <v>76</v>
      </c>
      <c r="D2727" t="s">
        <v>77</v>
      </c>
      <c r="E2727" s="1" t="s">
        <v>99</v>
      </c>
      <c r="F2727" t="s">
        <v>100</v>
      </c>
      <c r="G2727">
        <v>39</v>
      </c>
      <c r="H2727">
        <v>2884</v>
      </c>
      <c r="I2727">
        <v>0</v>
      </c>
      <c r="J2727">
        <v>134</v>
      </c>
      <c r="K2727">
        <v>109</v>
      </c>
      <c r="L2727">
        <v>-2884</v>
      </c>
      <c r="M2727">
        <v>1</v>
      </c>
      <c r="N2727">
        <v>0</v>
      </c>
      <c r="O2727" s="1" t="s">
        <v>4623</v>
      </c>
      <c r="P2727">
        <v>0</v>
      </c>
      <c r="Q2727">
        <v>0</v>
      </c>
      <c r="R2727">
        <v>0</v>
      </c>
      <c r="S2727">
        <v>0</v>
      </c>
      <c r="T2727">
        <v>11.22870996</v>
      </c>
      <c r="U2727">
        <f t="shared" si="84"/>
        <v>0</v>
      </c>
      <c r="V2727">
        <f t="shared" si="85"/>
        <v>0</v>
      </c>
    </row>
    <row r="2728" spans="1:22" x14ac:dyDescent="0.2">
      <c r="A2728" t="s">
        <v>2471</v>
      </c>
      <c r="B2728" t="s">
        <v>31</v>
      </c>
      <c r="C2728" t="s">
        <v>76</v>
      </c>
      <c r="D2728" t="s">
        <v>77</v>
      </c>
      <c r="E2728">
        <v>11</v>
      </c>
      <c r="F2728" t="s">
        <v>127</v>
      </c>
      <c r="G2728">
        <v>62</v>
      </c>
      <c r="H2728">
        <v>100</v>
      </c>
      <c r="I2728">
        <v>0</v>
      </c>
      <c r="J2728">
        <v>126</v>
      </c>
      <c r="K2728">
        <v>105</v>
      </c>
      <c r="L2728">
        <v>-100</v>
      </c>
      <c r="M2728">
        <v>1</v>
      </c>
      <c r="N2728">
        <v>0</v>
      </c>
      <c r="O2728" s="1" t="s">
        <v>4624</v>
      </c>
      <c r="P2728">
        <v>0</v>
      </c>
      <c r="Q2728">
        <v>0</v>
      </c>
      <c r="R2728">
        <v>0</v>
      </c>
      <c r="S2728">
        <v>0</v>
      </c>
      <c r="T2728">
        <v>11.22870996</v>
      </c>
      <c r="U2728">
        <f t="shared" si="84"/>
        <v>0</v>
      </c>
      <c r="V2728">
        <f t="shared" si="85"/>
        <v>0</v>
      </c>
    </row>
    <row r="2729" spans="1:22" x14ac:dyDescent="0.2">
      <c r="A2729" t="s">
        <v>2495</v>
      </c>
      <c r="B2729" t="s">
        <v>32</v>
      </c>
      <c r="C2729" t="s">
        <v>76</v>
      </c>
      <c r="D2729" t="s">
        <v>77</v>
      </c>
      <c r="E2729">
        <v>15</v>
      </c>
      <c r="F2729" t="s">
        <v>88</v>
      </c>
      <c r="G2729">
        <v>78</v>
      </c>
      <c r="H2729">
        <v>273486</v>
      </c>
      <c r="I2729">
        <v>0</v>
      </c>
      <c r="J2729">
        <v>43</v>
      </c>
      <c r="K2729">
        <v>44</v>
      </c>
      <c r="L2729">
        <v>-273486</v>
      </c>
      <c r="M2729">
        <v>1</v>
      </c>
      <c r="N2729">
        <v>0</v>
      </c>
      <c r="O2729" s="1" t="s">
        <v>4625</v>
      </c>
      <c r="P2729">
        <v>0</v>
      </c>
      <c r="Q2729">
        <v>0</v>
      </c>
      <c r="R2729">
        <v>0</v>
      </c>
      <c r="S2729">
        <v>0</v>
      </c>
      <c r="T2729">
        <v>12.2149565</v>
      </c>
      <c r="U2729">
        <f t="shared" si="84"/>
        <v>0</v>
      </c>
      <c r="V2729">
        <f t="shared" si="85"/>
        <v>0</v>
      </c>
    </row>
    <row r="2730" spans="1:22" x14ac:dyDescent="0.2">
      <c r="A2730" t="s">
        <v>2495</v>
      </c>
      <c r="B2730" t="s">
        <v>32</v>
      </c>
      <c r="C2730" t="s">
        <v>76</v>
      </c>
      <c r="D2730" t="s">
        <v>77</v>
      </c>
      <c r="E2730" s="1" t="s">
        <v>82</v>
      </c>
      <c r="F2730" t="s">
        <v>83</v>
      </c>
      <c r="G2730">
        <v>12</v>
      </c>
      <c r="H2730">
        <v>2803910</v>
      </c>
      <c r="I2730">
        <v>0</v>
      </c>
      <c r="J2730">
        <v>43</v>
      </c>
      <c r="K2730">
        <v>98</v>
      </c>
      <c r="L2730">
        <v>-2803910</v>
      </c>
      <c r="M2730">
        <v>1</v>
      </c>
      <c r="N2730">
        <v>0</v>
      </c>
      <c r="O2730" s="1" t="s">
        <v>4626</v>
      </c>
      <c r="P2730">
        <v>0</v>
      </c>
      <c r="Q2730">
        <v>0</v>
      </c>
      <c r="R2730">
        <v>0</v>
      </c>
      <c r="S2730">
        <v>0</v>
      </c>
      <c r="T2730">
        <v>12.2149565</v>
      </c>
      <c r="U2730">
        <f t="shared" si="84"/>
        <v>0</v>
      </c>
      <c r="V2730">
        <f t="shared" si="85"/>
        <v>0</v>
      </c>
    </row>
    <row r="2731" spans="1:22" x14ac:dyDescent="0.2">
      <c r="A2731" t="s">
        <v>2495</v>
      </c>
      <c r="B2731" t="s">
        <v>32</v>
      </c>
      <c r="C2731" t="s">
        <v>76</v>
      </c>
      <c r="D2731" t="s">
        <v>77</v>
      </c>
      <c r="E2731" s="1" t="s">
        <v>163</v>
      </c>
      <c r="F2731" t="s">
        <v>224</v>
      </c>
      <c r="G2731">
        <v>43</v>
      </c>
      <c r="H2731">
        <v>750416</v>
      </c>
      <c r="I2731">
        <v>0</v>
      </c>
      <c r="J2731">
        <v>18</v>
      </c>
      <c r="K2731">
        <v>58</v>
      </c>
      <c r="L2731">
        <v>-750416</v>
      </c>
      <c r="M2731">
        <v>1</v>
      </c>
      <c r="N2731">
        <v>0</v>
      </c>
      <c r="O2731" s="1" t="s">
        <v>4627</v>
      </c>
      <c r="P2731">
        <v>0</v>
      </c>
      <c r="Q2731">
        <v>0</v>
      </c>
      <c r="R2731">
        <v>0</v>
      </c>
      <c r="S2731">
        <v>0</v>
      </c>
      <c r="T2731">
        <v>12.2149565</v>
      </c>
      <c r="U2731">
        <f t="shared" si="84"/>
        <v>0</v>
      </c>
      <c r="V2731">
        <f t="shared" si="85"/>
        <v>0</v>
      </c>
    </row>
    <row r="2732" spans="1:22" x14ac:dyDescent="0.2">
      <c r="A2732" t="s">
        <v>2495</v>
      </c>
      <c r="B2732" t="s">
        <v>32</v>
      </c>
      <c r="C2732" t="s">
        <v>76</v>
      </c>
      <c r="D2732" t="s">
        <v>77</v>
      </c>
      <c r="E2732" s="1" t="s">
        <v>89</v>
      </c>
      <c r="F2732" t="s">
        <v>90</v>
      </c>
      <c r="G2732">
        <v>30</v>
      </c>
      <c r="H2732">
        <v>105207</v>
      </c>
      <c r="I2732">
        <v>70538</v>
      </c>
      <c r="J2732">
        <v>98</v>
      </c>
      <c r="K2732">
        <v>73</v>
      </c>
      <c r="L2732">
        <v>-34669</v>
      </c>
      <c r="M2732" s="1" t="s">
        <v>4628</v>
      </c>
      <c r="N2732" s="1" t="s">
        <v>4629</v>
      </c>
      <c r="O2732" s="1" t="s">
        <v>4630</v>
      </c>
      <c r="P2732">
        <v>0</v>
      </c>
      <c r="Q2732">
        <v>0</v>
      </c>
      <c r="R2732">
        <v>0</v>
      </c>
      <c r="S2732">
        <v>0</v>
      </c>
      <c r="T2732">
        <v>12.2149565</v>
      </c>
      <c r="U2732">
        <f t="shared" si="84"/>
        <v>0</v>
      </c>
      <c r="V2732">
        <f t="shared" si="85"/>
        <v>0</v>
      </c>
    </row>
    <row r="2733" spans="1:22" x14ac:dyDescent="0.2">
      <c r="A2733" t="s">
        <v>2495</v>
      </c>
      <c r="B2733" t="s">
        <v>32</v>
      </c>
      <c r="C2733" t="s">
        <v>76</v>
      </c>
      <c r="D2733" t="s">
        <v>77</v>
      </c>
      <c r="E2733">
        <v>11</v>
      </c>
      <c r="F2733" t="s">
        <v>127</v>
      </c>
      <c r="G2733">
        <v>58</v>
      </c>
      <c r="H2733">
        <v>15882</v>
      </c>
      <c r="I2733">
        <v>0</v>
      </c>
      <c r="J2733">
        <v>32</v>
      </c>
      <c r="K2733">
        <v>65</v>
      </c>
      <c r="L2733">
        <v>-15882</v>
      </c>
      <c r="M2733">
        <v>1</v>
      </c>
      <c r="N2733">
        <v>0</v>
      </c>
      <c r="O2733" s="1" t="s">
        <v>4631</v>
      </c>
      <c r="P2733">
        <v>0</v>
      </c>
      <c r="Q2733">
        <v>0</v>
      </c>
      <c r="R2733">
        <v>0</v>
      </c>
      <c r="S2733">
        <v>0</v>
      </c>
      <c r="T2733">
        <v>12.2149565</v>
      </c>
      <c r="U2733">
        <f t="shared" si="84"/>
        <v>0</v>
      </c>
      <c r="V2733">
        <f t="shared" si="85"/>
        <v>0</v>
      </c>
    </row>
    <row r="2734" spans="1:22" x14ac:dyDescent="0.2">
      <c r="A2734" t="s">
        <v>2495</v>
      </c>
      <c r="B2734" t="s">
        <v>32</v>
      </c>
      <c r="C2734" t="s">
        <v>76</v>
      </c>
      <c r="D2734" t="s">
        <v>77</v>
      </c>
      <c r="E2734">
        <v>12</v>
      </c>
      <c r="F2734" t="s">
        <v>194</v>
      </c>
      <c r="G2734">
        <v>66</v>
      </c>
      <c r="H2734">
        <v>0</v>
      </c>
      <c r="I2734">
        <v>6983</v>
      </c>
      <c r="J2734">
        <v>69</v>
      </c>
      <c r="K2734">
        <v>43</v>
      </c>
      <c r="L2734">
        <v>6983</v>
      </c>
      <c r="M2734">
        <v>0</v>
      </c>
      <c r="N2734">
        <v>1</v>
      </c>
      <c r="O2734" s="1" t="s">
        <v>4632</v>
      </c>
      <c r="P2734">
        <v>0</v>
      </c>
      <c r="Q2734">
        <v>0</v>
      </c>
      <c r="R2734">
        <v>0</v>
      </c>
      <c r="S2734">
        <v>0</v>
      </c>
      <c r="T2734">
        <v>12.2149565</v>
      </c>
      <c r="U2734">
        <f t="shared" si="84"/>
        <v>0</v>
      </c>
      <c r="V2734">
        <f t="shared" si="85"/>
        <v>0</v>
      </c>
    </row>
    <row r="2735" spans="1:22" x14ac:dyDescent="0.2">
      <c r="A2735" t="s">
        <v>2495</v>
      </c>
      <c r="B2735" t="s">
        <v>32</v>
      </c>
      <c r="C2735" t="s">
        <v>76</v>
      </c>
      <c r="D2735" t="s">
        <v>77</v>
      </c>
      <c r="E2735">
        <v>11</v>
      </c>
      <c r="F2735" t="s">
        <v>127</v>
      </c>
      <c r="G2735">
        <v>57</v>
      </c>
      <c r="H2735">
        <v>0</v>
      </c>
      <c r="I2735">
        <v>88606</v>
      </c>
      <c r="J2735">
        <v>94</v>
      </c>
      <c r="K2735">
        <v>47</v>
      </c>
      <c r="L2735">
        <v>88606</v>
      </c>
      <c r="M2735">
        <v>0</v>
      </c>
      <c r="N2735">
        <v>1</v>
      </c>
      <c r="O2735" s="1" t="s">
        <v>4633</v>
      </c>
      <c r="P2735">
        <v>0</v>
      </c>
      <c r="Q2735">
        <v>0</v>
      </c>
      <c r="R2735">
        <v>0</v>
      </c>
      <c r="S2735">
        <v>0</v>
      </c>
      <c r="T2735">
        <v>12.2149565</v>
      </c>
      <c r="U2735">
        <f t="shared" si="84"/>
        <v>0</v>
      </c>
      <c r="V2735">
        <f t="shared" si="85"/>
        <v>0</v>
      </c>
    </row>
    <row r="2736" spans="1:22" x14ac:dyDescent="0.2">
      <c r="A2736" t="s">
        <v>2495</v>
      </c>
      <c r="B2736" t="s">
        <v>32</v>
      </c>
      <c r="C2736" t="s">
        <v>76</v>
      </c>
      <c r="D2736" t="s">
        <v>77</v>
      </c>
      <c r="E2736" s="1" t="s">
        <v>163</v>
      </c>
      <c r="F2736" t="s">
        <v>224</v>
      </c>
      <c r="G2736">
        <v>41</v>
      </c>
      <c r="H2736">
        <v>5283</v>
      </c>
      <c r="I2736">
        <v>75280</v>
      </c>
      <c r="J2736">
        <v>53</v>
      </c>
      <c r="K2736">
        <v>50</v>
      </c>
      <c r="L2736">
        <v>69997</v>
      </c>
      <c r="M2736">
        <v>6.5576008837803901E-2</v>
      </c>
      <c r="N2736" s="1" t="s">
        <v>4634</v>
      </c>
      <c r="O2736" s="1" t="s">
        <v>4635</v>
      </c>
      <c r="P2736">
        <v>0</v>
      </c>
      <c r="Q2736">
        <v>0</v>
      </c>
      <c r="R2736">
        <v>0</v>
      </c>
      <c r="S2736">
        <v>0</v>
      </c>
      <c r="T2736">
        <v>12.2149565</v>
      </c>
      <c r="U2736">
        <f t="shared" si="84"/>
        <v>0</v>
      </c>
      <c r="V2736">
        <f t="shared" si="85"/>
        <v>0</v>
      </c>
    </row>
    <row r="2737" spans="1:22" x14ac:dyDescent="0.2">
      <c r="A2737" t="s">
        <v>2634</v>
      </c>
      <c r="B2737" t="s">
        <v>33</v>
      </c>
      <c r="C2737" t="s">
        <v>76</v>
      </c>
      <c r="D2737" t="s">
        <v>77</v>
      </c>
      <c r="E2737">
        <v>15</v>
      </c>
      <c r="F2737" t="s">
        <v>88</v>
      </c>
      <c r="G2737">
        <v>79</v>
      </c>
      <c r="H2737">
        <v>324478</v>
      </c>
      <c r="I2737">
        <v>0</v>
      </c>
      <c r="J2737">
        <v>32</v>
      </c>
      <c r="K2737">
        <v>54</v>
      </c>
      <c r="L2737">
        <v>-324478</v>
      </c>
      <c r="M2737">
        <v>1</v>
      </c>
      <c r="N2737">
        <v>0</v>
      </c>
      <c r="O2737">
        <v>1.30443384572905E-3</v>
      </c>
      <c r="P2737">
        <v>0</v>
      </c>
      <c r="Q2737">
        <v>0</v>
      </c>
      <c r="R2737">
        <v>0</v>
      </c>
      <c r="S2737">
        <v>0</v>
      </c>
      <c r="T2737">
        <v>172.9377106</v>
      </c>
      <c r="U2737">
        <f t="shared" si="84"/>
        <v>0</v>
      </c>
      <c r="V2737">
        <f t="shared" si="85"/>
        <v>0</v>
      </c>
    </row>
    <row r="2738" spans="1:22" x14ac:dyDescent="0.2">
      <c r="A2738" t="s">
        <v>2634</v>
      </c>
      <c r="B2738" t="s">
        <v>33</v>
      </c>
      <c r="C2738" t="s">
        <v>76</v>
      </c>
      <c r="D2738" t="s">
        <v>77</v>
      </c>
      <c r="E2738" s="1" t="s">
        <v>138</v>
      </c>
      <c r="F2738" t="s">
        <v>139</v>
      </c>
      <c r="G2738">
        <v>17</v>
      </c>
      <c r="H2738">
        <v>17444</v>
      </c>
      <c r="I2738">
        <v>0</v>
      </c>
      <c r="J2738">
        <v>90</v>
      </c>
      <c r="K2738">
        <v>88</v>
      </c>
      <c r="L2738">
        <v>-17444</v>
      </c>
      <c r="M2738">
        <v>1</v>
      </c>
      <c r="N2738">
        <v>0</v>
      </c>
      <c r="O2738" s="1" t="s">
        <v>4636</v>
      </c>
      <c r="P2738">
        <v>0</v>
      </c>
      <c r="Q2738">
        <v>0</v>
      </c>
      <c r="R2738">
        <v>0</v>
      </c>
      <c r="S2738">
        <v>0</v>
      </c>
      <c r="T2738">
        <v>172.9377106</v>
      </c>
      <c r="U2738">
        <f t="shared" si="84"/>
        <v>0</v>
      </c>
      <c r="V2738">
        <f t="shared" si="85"/>
        <v>0</v>
      </c>
    </row>
    <row r="2739" spans="1:22" x14ac:dyDescent="0.2">
      <c r="A2739" t="s">
        <v>2634</v>
      </c>
      <c r="B2739" t="s">
        <v>33</v>
      </c>
      <c r="C2739" t="s">
        <v>76</v>
      </c>
      <c r="D2739" t="s">
        <v>77</v>
      </c>
      <c r="E2739" s="1" t="s">
        <v>99</v>
      </c>
      <c r="F2739" t="s">
        <v>100</v>
      </c>
      <c r="G2739">
        <v>39</v>
      </c>
      <c r="H2739">
        <v>3618</v>
      </c>
      <c r="I2739">
        <v>0</v>
      </c>
      <c r="J2739">
        <v>131</v>
      </c>
      <c r="K2739">
        <v>109</v>
      </c>
      <c r="L2739">
        <v>-3618</v>
      </c>
      <c r="M2739">
        <v>1</v>
      </c>
      <c r="N2739">
        <v>0</v>
      </c>
      <c r="O2739" s="1" t="s">
        <v>4637</v>
      </c>
      <c r="P2739">
        <v>0</v>
      </c>
      <c r="Q2739">
        <v>0</v>
      </c>
      <c r="R2739">
        <v>0</v>
      </c>
      <c r="S2739">
        <v>0</v>
      </c>
      <c r="T2739">
        <v>172.9377106</v>
      </c>
      <c r="U2739">
        <f t="shared" si="84"/>
        <v>0</v>
      </c>
      <c r="V2739">
        <f t="shared" si="85"/>
        <v>0</v>
      </c>
    </row>
    <row r="2740" spans="1:22" x14ac:dyDescent="0.2">
      <c r="A2740" t="s">
        <v>2634</v>
      </c>
      <c r="B2740" t="s">
        <v>33</v>
      </c>
      <c r="C2740" t="s">
        <v>76</v>
      </c>
      <c r="D2740" t="s">
        <v>77</v>
      </c>
      <c r="E2740" s="1" t="s">
        <v>85</v>
      </c>
      <c r="F2740" t="s">
        <v>86</v>
      </c>
      <c r="G2740">
        <v>27</v>
      </c>
      <c r="H2740">
        <v>63253</v>
      </c>
      <c r="I2740">
        <v>0</v>
      </c>
      <c r="J2740">
        <v>129</v>
      </c>
      <c r="K2740">
        <v>91</v>
      </c>
      <c r="L2740">
        <v>-63253</v>
      </c>
      <c r="M2740">
        <v>1</v>
      </c>
      <c r="N2740">
        <v>0</v>
      </c>
      <c r="O2740" s="1" t="s">
        <v>4638</v>
      </c>
      <c r="P2740">
        <v>0</v>
      </c>
      <c r="Q2740">
        <v>0</v>
      </c>
      <c r="R2740">
        <v>0</v>
      </c>
      <c r="S2740">
        <v>0</v>
      </c>
      <c r="T2740">
        <v>172.9377106</v>
      </c>
      <c r="U2740">
        <f t="shared" si="84"/>
        <v>0</v>
      </c>
      <c r="V2740">
        <f t="shared" si="85"/>
        <v>0</v>
      </c>
    </row>
    <row r="2741" spans="1:22" x14ac:dyDescent="0.2">
      <c r="A2741" t="s">
        <v>2634</v>
      </c>
      <c r="B2741" t="s">
        <v>33</v>
      </c>
      <c r="C2741" t="s">
        <v>76</v>
      </c>
      <c r="D2741" t="s">
        <v>77</v>
      </c>
      <c r="E2741" s="1" t="s">
        <v>89</v>
      </c>
      <c r="F2741" t="s">
        <v>90</v>
      </c>
      <c r="G2741">
        <v>33</v>
      </c>
      <c r="H2741">
        <v>8571</v>
      </c>
      <c r="I2741">
        <v>0</v>
      </c>
      <c r="J2741">
        <v>110</v>
      </c>
      <c r="K2741">
        <v>95</v>
      </c>
      <c r="L2741">
        <v>-8571</v>
      </c>
      <c r="M2741">
        <v>1</v>
      </c>
      <c r="N2741">
        <v>0</v>
      </c>
      <c r="O2741" s="1" t="s">
        <v>4639</v>
      </c>
      <c r="P2741">
        <v>0</v>
      </c>
      <c r="Q2741">
        <v>0</v>
      </c>
      <c r="R2741">
        <v>0</v>
      </c>
      <c r="S2741">
        <v>0</v>
      </c>
      <c r="T2741">
        <v>172.9377106</v>
      </c>
      <c r="U2741">
        <f t="shared" si="84"/>
        <v>0</v>
      </c>
      <c r="V2741">
        <f t="shared" si="85"/>
        <v>0</v>
      </c>
    </row>
    <row r="2742" spans="1:22" x14ac:dyDescent="0.2">
      <c r="A2742" t="s">
        <v>2634</v>
      </c>
      <c r="B2742" t="s">
        <v>33</v>
      </c>
      <c r="C2742" t="s">
        <v>76</v>
      </c>
      <c r="D2742" t="s">
        <v>77</v>
      </c>
      <c r="E2742" s="1" t="s">
        <v>155</v>
      </c>
      <c r="F2742" t="s">
        <v>156</v>
      </c>
      <c r="G2742" s="1" t="s">
        <v>138</v>
      </c>
      <c r="H2742">
        <v>1103</v>
      </c>
      <c r="I2742">
        <v>18</v>
      </c>
      <c r="J2742">
        <v>61</v>
      </c>
      <c r="K2742">
        <v>72</v>
      </c>
      <c r="L2742">
        <v>-1085</v>
      </c>
      <c r="M2742">
        <v>0.98394290811775198</v>
      </c>
      <c r="N2742" s="1" t="s">
        <v>4640</v>
      </c>
      <c r="O2742" s="1" t="s">
        <v>4641</v>
      </c>
      <c r="P2742">
        <v>0</v>
      </c>
      <c r="Q2742">
        <v>0</v>
      </c>
      <c r="R2742">
        <v>0</v>
      </c>
      <c r="S2742">
        <v>0</v>
      </c>
      <c r="T2742">
        <v>172.9377106</v>
      </c>
      <c r="U2742">
        <f t="shared" si="84"/>
        <v>0</v>
      </c>
      <c r="V2742">
        <f t="shared" si="85"/>
        <v>0</v>
      </c>
    </row>
    <row r="2743" spans="1:22" x14ac:dyDescent="0.2">
      <c r="A2743" t="s">
        <v>2634</v>
      </c>
      <c r="B2743" t="s">
        <v>33</v>
      </c>
      <c r="C2743" t="s">
        <v>76</v>
      </c>
      <c r="D2743" t="s">
        <v>77</v>
      </c>
      <c r="E2743">
        <v>10</v>
      </c>
      <c r="F2743" t="s">
        <v>119</v>
      </c>
      <c r="G2743">
        <v>49</v>
      </c>
      <c r="H2743">
        <v>145</v>
      </c>
      <c r="I2743">
        <v>0</v>
      </c>
      <c r="J2743">
        <v>130</v>
      </c>
      <c r="K2743">
        <v>109</v>
      </c>
      <c r="L2743">
        <v>-145</v>
      </c>
      <c r="M2743">
        <v>1</v>
      </c>
      <c r="N2743">
        <v>0</v>
      </c>
      <c r="O2743" s="1" t="s">
        <v>4642</v>
      </c>
      <c r="P2743">
        <v>0</v>
      </c>
      <c r="Q2743">
        <v>0</v>
      </c>
      <c r="R2743">
        <v>0</v>
      </c>
      <c r="S2743">
        <v>0</v>
      </c>
      <c r="T2743">
        <v>172.9377106</v>
      </c>
      <c r="U2743">
        <f t="shared" si="84"/>
        <v>0</v>
      </c>
      <c r="V2743">
        <f t="shared" si="85"/>
        <v>0</v>
      </c>
    </row>
    <row r="2744" spans="1:22" x14ac:dyDescent="0.2">
      <c r="A2744" t="s">
        <v>2666</v>
      </c>
      <c r="B2744" t="s">
        <v>34</v>
      </c>
      <c r="C2744" t="s">
        <v>76</v>
      </c>
      <c r="D2744" t="s">
        <v>77</v>
      </c>
      <c r="E2744" s="1" t="s">
        <v>89</v>
      </c>
      <c r="F2744" t="s">
        <v>90</v>
      </c>
      <c r="G2744">
        <v>31</v>
      </c>
      <c r="H2744">
        <v>1856839</v>
      </c>
      <c r="I2744">
        <v>0</v>
      </c>
      <c r="J2744">
        <v>113</v>
      </c>
      <c r="K2744">
        <v>51</v>
      </c>
      <c r="L2744">
        <v>-1856839</v>
      </c>
      <c r="M2744">
        <v>1</v>
      </c>
      <c r="N2744">
        <v>0</v>
      </c>
      <c r="O2744">
        <v>1.6689149943427701E-3</v>
      </c>
      <c r="P2744">
        <v>0</v>
      </c>
      <c r="Q2744">
        <v>0</v>
      </c>
      <c r="R2744">
        <v>0</v>
      </c>
      <c r="S2744">
        <v>0</v>
      </c>
      <c r="T2744">
        <v>25.946113820000001</v>
      </c>
      <c r="U2744">
        <f t="shared" si="84"/>
        <v>0</v>
      </c>
      <c r="V2744">
        <f t="shared" si="85"/>
        <v>0</v>
      </c>
    </row>
    <row r="2745" spans="1:22" x14ac:dyDescent="0.2">
      <c r="A2745" t="s">
        <v>2666</v>
      </c>
      <c r="B2745" t="s">
        <v>34</v>
      </c>
      <c r="C2745" t="s">
        <v>76</v>
      </c>
      <c r="D2745" t="s">
        <v>77</v>
      </c>
      <c r="E2745">
        <v>10</v>
      </c>
      <c r="F2745" t="s">
        <v>119</v>
      </c>
      <c r="G2745">
        <v>49</v>
      </c>
      <c r="H2745">
        <v>134</v>
      </c>
      <c r="I2745">
        <v>0</v>
      </c>
      <c r="J2745">
        <v>132</v>
      </c>
      <c r="K2745">
        <v>109</v>
      </c>
      <c r="L2745">
        <v>-134</v>
      </c>
      <c r="M2745">
        <v>1</v>
      </c>
      <c r="N2745">
        <v>0</v>
      </c>
      <c r="O2745" s="1" t="s">
        <v>4643</v>
      </c>
      <c r="P2745">
        <v>0</v>
      </c>
      <c r="Q2745">
        <v>0</v>
      </c>
      <c r="R2745">
        <v>0</v>
      </c>
      <c r="S2745">
        <v>0</v>
      </c>
      <c r="T2745">
        <v>25.946113820000001</v>
      </c>
      <c r="U2745">
        <f t="shared" si="84"/>
        <v>0</v>
      </c>
      <c r="V2745">
        <f t="shared" si="85"/>
        <v>0</v>
      </c>
    </row>
    <row r="2746" spans="1:22" x14ac:dyDescent="0.2">
      <c r="A2746" t="s">
        <v>2676</v>
      </c>
      <c r="B2746" t="s">
        <v>35</v>
      </c>
      <c r="C2746" t="s">
        <v>76</v>
      </c>
      <c r="D2746" t="s">
        <v>77</v>
      </c>
      <c r="E2746">
        <v>99</v>
      </c>
      <c r="F2746" t="s">
        <v>78</v>
      </c>
      <c r="G2746">
        <v>99</v>
      </c>
      <c r="H2746">
        <v>34830014</v>
      </c>
      <c r="I2746">
        <v>0</v>
      </c>
      <c r="J2746">
        <v>30</v>
      </c>
      <c r="K2746">
        <v>98</v>
      </c>
      <c r="L2746">
        <v>-34830014</v>
      </c>
      <c r="M2746">
        <v>1</v>
      </c>
      <c r="N2746">
        <v>0</v>
      </c>
      <c r="O2746">
        <v>4.4023575802220102E-3</v>
      </c>
      <c r="P2746">
        <v>0</v>
      </c>
      <c r="Q2746">
        <v>0</v>
      </c>
      <c r="R2746">
        <v>0</v>
      </c>
      <c r="S2746">
        <v>0</v>
      </c>
      <c r="T2746">
        <v>19.93039817</v>
      </c>
      <c r="U2746">
        <f t="shared" si="84"/>
        <v>0</v>
      </c>
      <c r="V2746">
        <f t="shared" si="85"/>
        <v>0</v>
      </c>
    </row>
    <row r="2747" spans="1:22" x14ac:dyDescent="0.2">
      <c r="A2747" t="s">
        <v>2676</v>
      </c>
      <c r="B2747" t="s">
        <v>35</v>
      </c>
      <c r="C2747" t="s">
        <v>76</v>
      </c>
      <c r="D2747" t="s">
        <v>77</v>
      </c>
      <c r="E2747">
        <v>17</v>
      </c>
      <c r="F2747" t="s">
        <v>97</v>
      </c>
      <c r="G2747">
        <v>89</v>
      </c>
      <c r="H2747">
        <v>1296664</v>
      </c>
      <c r="I2747">
        <v>0</v>
      </c>
      <c r="J2747">
        <v>30</v>
      </c>
      <c r="K2747">
        <v>68</v>
      </c>
      <c r="L2747">
        <v>-1296664</v>
      </c>
      <c r="M2747">
        <v>1</v>
      </c>
      <c r="N2747">
        <v>0</v>
      </c>
      <c r="O2747" s="1" t="s">
        <v>4644</v>
      </c>
      <c r="P2747">
        <v>0</v>
      </c>
      <c r="Q2747">
        <v>0</v>
      </c>
      <c r="R2747">
        <v>0</v>
      </c>
      <c r="S2747">
        <v>0</v>
      </c>
      <c r="T2747">
        <v>19.93039817</v>
      </c>
      <c r="U2747">
        <f t="shared" si="84"/>
        <v>0</v>
      </c>
      <c r="V2747">
        <f t="shared" si="85"/>
        <v>0</v>
      </c>
    </row>
    <row r="2748" spans="1:22" x14ac:dyDescent="0.2">
      <c r="A2748" t="s">
        <v>2676</v>
      </c>
      <c r="B2748" t="s">
        <v>35</v>
      </c>
      <c r="C2748" t="s">
        <v>76</v>
      </c>
      <c r="D2748" t="s">
        <v>77</v>
      </c>
      <c r="E2748" s="1" t="s">
        <v>138</v>
      </c>
      <c r="F2748" t="s">
        <v>139</v>
      </c>
      <c r="G2748">
        <v>18</v>
      </c>
      <c r="H2748">
        <v>1950905</v>
      </c>
      <c r="I2748">
        <v>0</v>
      </c>
      <c r="J2748">
        <v>47</v>
      </c>
      <c r="K2748">
        <v>82</v>
      </c>
      <c r="L2748">
        <v>-1950905</v>
      </c>
      <c r="M2748">
        <v>1</v>
      </c>
      <c r="N2748">
        <v>0</v>
      </c>
      <c r="O2748" s="1" t="s">
        <v>4645</v>
      </c>
      <c r="P2748">
        <v>0</v>
      </c>
      <c r="Q2748">
        <v>0</v>
      </c>
      <c r="R2748">
        <v>0</v>
      </c>
      <c r="S2748">
        <v>0</v>
      </c>
      <c r="T2748">
        <v>19.93039817</v>
      </c>
      <c r="U2748">
        <f t="shared" si="84"/>
        <v>0</v>
      </c>
      <c r="V2748">
        <f t="shared" si="85"/>
        <v>0</v>
      </c>
    </row>
    <row r="2749" spans="1:22" x14ac:dyDescent="0.2">
      <c r="A2749" t="s">
        <v>2676</v>
      </c>
      <c r="B2749" t="s">
        <v>35</v>
      </c>
      <c r="C2749" t="s">
        <v>76</v>
      </c>
      <c r="D2749" t="s">
        <v>77</v>
      </c>
      <c r="E2749">
        <v>15</v>
      </c>
      <c r="F2749" t="s">
        <v>88</v>
      </c>
      <c r="G2749">
        <v>75</v>
      </c>
      <c r="H2749">
        <v>42305</v>
      </c>
      <c r="I2749">
        <v>0</v>
      </c>
      <c r="J2749">
        <v>63</v>
      </c>
      <c r="K2749">
        <v>52</v>
      </c>
      <c r="L2749">
        <v>-42305</v>
      </c>
      <c r="M2749">
        <v>1</v>
      </c>
      <c r="N2749">
        <v>0</v>
      </c>
      <c r="O2749" s="1" t="s">
        <v>4646</v>
      </c>
      <c r="P2749">
        <v>0</v>
      </c>
      <c r="Q2749">
        <v>0</v>
      </c>
      <c r="R2749">
        <v>0</v>
      </c>
      <c r="S2749">
        <v>0</v>
      </c>
      <c r="T2749">
        <v>19.93039817</v>
      </c>
      <c r="U2749">
        <f t="shared" si="84"/>
        <v>0</v>
      </c>
      <c r="V2749">
        <f t="shared" si="85"/>
        <v>0</v>
      </c>
    </row>
    <row r="2750" spans="1:22" x14ac:dyDescent="0.2">
      <c r="A2750" t="s">
        <v>2676</v>
      </c>
      <c r="B2750" t="s">
        <v>35</v>
      </c>
      <c r="C2750" t="s">
        <v>76</v>
      </c>
      <c r="D2750" t="s">
        <v>77</v>
      </c>
      <c r="E2750" s="1" t="s">
        <v>155</v>
      </c>
      <c r="F2750" t="s">
        <v>156</v>
      </c>
      <c r="G2750" s="1" t="s">
        <v>85</v>
      </c>
      <c r="H2750">
        <v>224956</v>
      </c>
      <c r="I2750">
        <v>0</v>
      </c>
      <c r="J2750">
        <v>44</v>
      </c>
      <c r="K2750">
        <v>72</v>
      </c>
      <c r="L2750">
        <v>-224956</v>
      </c>
      <c r="M2750">
        <v>1</v>
      </c>
      <c r="N2750">
        <v>0</v>
      </c>
      <c r="O2750" s="1" t="s">
        <v>4647</v>
      </c>
      <c r="P2750">
        <v>0</v>
      </c>
      <c r="Q2750">
        <v>0</v>
      </c>
      <c r="R2750">
        <v>0</v>
      </c>
      <c r="S2750">
        <v>0</v>
      </c>
      <c r="T2750">
        <v>19.93039817</v>
      </c>
      <c r="U2750">
        <f t="shared" si="84"/>
        <v>0</v>
      </c>
      <c r="V2750">
        <f t="shared" si="85"/>
        <v>0</v>
      </c>
    </row>
    <row r="2751" spans="1:22" x14ac:dyDescent="0.2">
      <c r="A2751" t="s">
        <v>2676</v>
      </c>
      <c r="B2751" t="s">
        <v>35</v>
      </c>
      <c r="C2751" t="s">
        <v>76</v>
      </c>
      <c r="D2751" t="s">
        <v>77</v>
      </c>
      <c r="E2751" s="1" t="s">
        <v>89</v>
      </c>
      <c r="F2751" t="s">
        <v>90</v>
      </c>
      <c r="G2751">
        <v>35</v>
      </c>
      <c r="H2751">
        <v>4603</v>
      </c>
      <c r="I2751">
        <v>2030</v>
      </c>
      <c r="J2751">
        <v>73</v>
      </c>
      <c r="K2751">
        <v>66</v>
      </c>
      <c r="L2751">
        <v>-2573</v>
      </c>
      <c r="M2751">
        <v>0.69395447007387301</v>
      </c>
      <c r="N2751" s="1" t="s">
        <v>4648</v>
      </c>
      <c r="O2751" s="1" t="s">
        <v>4649</v>
      </c>
      <c r="P2751">
        <v>0</v>
      </c>
      <c r="Q2751">
        <v>0</v>
      </c>
      <c r="R2751">
        <v>0</v>
      </c>
      <c r="S2751">
        <v>0</v>
      </c>
      <c r="T2751">
        <v>19.93039817</v>
      </c>
      <c r="U2751">
        <f t="shared" si="84"/>
        <v>0</v>
      </c>
      <c r="V2751">
        <f t="shared" si="85"/>
        <v>0</v>
      </c>
    </row>
    <row r="2752" spans="1:22" x14ac:dyDescent="0.2">
      <c r="A2752" t="s">
        <v>2676</v>
      </c>
      <c r="B2752" t="s">
        <v>35</v>
      </c>
      <c r="C2752" t="s">
        <v>76</v>
      </c>
      <c r="D2752" t="s">
        <v>77</v>
      </c>
      <c r="E2752" s="1" t="s">
        <v>163</v>
      </c>
      <c r="F2752" t="s">
        <v>224</v>
      </c>
      <c r="G2752">
        <v>41</v>
      </c>
      <c r="H2752">
        <v>11624</v>
      </c>
      <c r="I2752">
        <v>0</v>
      </c>
      <c r="J2752">
        <v>51</v>
      </c>
      <c r="K2752">
        <v>70</v>
      </c>
      <c r="L2752">
        <v>-11624</v>
      </c>
      <c r="M2752">
        <v>1</v>
      </c>
      <c r="N2752">
        <v>0</v>
      </c>
      <c r="O2752" s="1" t="s">
        <v>4650</v>
      </c>
      <c r="P2752">
        <v>0</v>
      </c>
      <c r="Q2752">
        <v>0</v>
      </c>
      <c r="R2752">
        <v>0</v>
      </c>
      <c r="S2752">
        <v>0</v>
      </c>
      <c r="T2752">
        <v>19.93039817</v>
      </c>
      <c r="U2752">
        <f t="shared" si="84"/>
        <v>0</v>
      </c>
      <c r="V2752">
        <f t="shared" si="85"/>
        <v>0</v>
      </c>
    </row>
    <row r="2753" spans="1:22" x14ac:dyDescent="0.2">
      <c r="A2753" t="s">
        <v>2676</v>
      </c>
      <c r="B2753" t="s">
        <v>35</v>
      </c>
      <c r="C2753" t="s">
        <v>76</v>
      </c>
      <c r="D2753" t="s">
        <v>77</v>
      </c>
      <c r="E2753">
        <v>17</v>
      </c>
      <c r="F2753" t="s">
        <v>97</v>
      </c>
      <c r="G2753">
        <v>86</v>
      </c>
      <c r="H2753">
        <v>5625</v>
      </c>
      <c r="I2753">
        <v>0</v>
      </c>
      <c r="J2753">
        <v>72</v>
      </c>
      <c r="K2753">
        <v>64</v>
      </c>
      <c r="L2753">
        <v>-5625</v>
      </c>
      <c r="M2753">
        <v>1</v>
      </c>
      <c r="N2753">
        <v>0</v>
      </c>
      <c r="O2753" s="1" t="s">
        <v>4651</v>
      </c>
      <c r="P2753">
        <v>0</v>
      </c>
      <c r="Q2753">
        <v>0</v>
      </c>
      <c r="R2753">
        <v>0</v>
      </c>
      <c r="S2753">
        <v>0</v>
      </c>
      <c r="T2753">
        <v>19.93039817</v>
      </c>
      <c r="U2753">
        <f t="shared" si="84"/>
        <v>0</v>
      </c>
      <c r="V2753">
        <f t="shared" si="85"/>
        <v>0</v>
      </c>
    </row>
    <row r="2754" spans="1:22" x14ac:dyDescent="0.2">
      <c r="A2754" t="s">
        <v>2676</v>
      </c>
      <c r="B2754" t="s">
        <v>35</v>
      </c>
      <c r="C2754" t="s">
        <v>76</v>
      </c>
      <c r="D2754" t="s">
        <v>77</v>
      </c>
      <c r="E2754">
        <v>11</v>
      </c>
      <c r="F2754" t="s">
        <v>127</v>
      </c>
      <c r="G2754">
        <v>56</v>
      </c>
      <c r="H2754">
        <v>511197</v>
      </c>
      <c r="I2754">
        <v>0</v>
      </c>
      <c r="J2754">
        <v>44</v>
      </c>
      <c r="K2754">
        <v>77</v>
      </c>
      <c r="L2754">
        <v>-511197</v>
      </c>
      <c r="M2754">
        <v>1</v>
      </c>
      <c r="N2754">
        <v>0</v>
      </c>
      <c r="O2754" s="1" t="s">
        <v>4652</v>
      </c>
      <c r="P2754">
        <v>0</v>
      </c>
      <c r="Q2754">
        <v>0</v>
      </c>
      <c r="R2754">
        <v>0</v>
      </c>
      <c r="S2754">
        <v>0</v>
      </c>
      <c r="T2754">
        <v>19.93039817</v>
      </c>
      <c r="U2754">
        <f t="shared" si="84"/>
        <v>0</v>
      </c>
      <c r="V2754">
        <f t="shared" si="85"/>
        <v>0</v>
      </c>
    </row>
    <row r="2755" spans="1:22" x14ac:dyDescent="0.2">
      <c r="A2755" t="s">
        <v>2676</v>
      </c>
      <c r="B2755" t="s">
        <v>35</v>
      </c>
      <c r="C2755" t="s">
        <v>76</v>
      </c>
      <c r="D2755" t="s">
        <v>77</v>
      </c>
      <c r="E2755">
        <v>11</v>
      </c>
      <c r="F2755" t="s">
        <v>127</v>
      </c>
      <c r="G2755">
        <v>58</v>
      </c>
      <c r="H2755">
        <v>0</v>
      </c>
      <c r="I2755">
        <v>3809</v>
      </c>
      <c r="J2755">
        <v>82</v>
      </c>
      <c r="K2755">
        <v>53</v>
      </c>
      <c r="L2755">
        <v>3809</v>
      </c>
      <c r="M2755">
        <v>0</v>
      </c>
      <c r="N2755">
        <v>1</v>
      </c>
      <c r="O2755" s="1" t="s">
        <v>4653</v>
      </c>
      <c r="P2755">
        <v>0</v>
      </c>
      <c r="Q2755">
        <v>0</v>
      </c>
      <c r="R2755">
        <v>0</v>
      </c>
      <c r="S2755">
        <v>0</v>
      </c>
      <c r="T2755">
        <v>19.93039817</v>
      </c>
      <c r="U2755">
        <f t="shared" ref="U2755:U2818" si="86">IF(OR(P2755=1,Q2755=1),1,0)</f>
        <v>0</v>
      </c>
      <c r="V2755">
        <f t="shared" ref="V2755:V2818" si="87">IF(OR(R2755=1,S2755=1),1,0)</f>
        <v>0</v>
      </c>
    </row>
    <row r="2756" spans="1:22" x14ac:dyDescent="0.2">
      <c r="A2756" t="s">
        <v>2676</v>
      </c>
      <c r="B2756" t="s">
        <v>35</v>
      </c>
      <c r="C2756" t="s">
        <v>76</v>
      </c>
      <c r="D2756" t="s">
        <v>77</v>
      </c>
      <c r="E2756" s="1" t="s">
        <v>138</v>
      </c>
      <c r="F2756" t="s">
        <v>139</v>
      </c>
      <c r="G2756">
        <v>17</v>
      </c>
      <c r="H2756">
        <v>493345</v>
      </c>
      <c r="I2756">
        <v>138204</v>
      </c>
      <c r="J2756">
        <v>61</v>
      </c>
      <c r="K2756">
        <v>63</v>
      </c>
      <c r="L2756">
        <v>-355141</v>
      </c>
      <c r="M2756" s="1" t="s">
        <v>4654</v>
      </c>
      <c r="N2756" s="1" t="s">
        <v>4655</v>
      </c>
      <c r="O2756" s="1" t="s">
        <v>4656</v>
      </c>
      <c r="P2756">
        <v>0</v>
      </c>
      <c r="Q2756">
        <v>0</v>
      </c>
      <c r="R2756">
        <v>0</v>
      </c>
      <c r="S2756">
        <v>0</v>
      </c>
      <c r="T2756">
        <v>19.93039817</v>
      </c>
      <c r="U2756">
        <f t="shared" si="86"/>
        <v>0</v>
      </c>
      <c r="V2756">
        <f t="shared" si="87"/>
        <v>0</v>
      </c>
    </row>
    <row r="2757" spans="1:22" x14ac:dyDescent="0.2">
      <c r="A2757" t="s">
        <v>4657</v>
      </c>
      <c r="B2757" t="s">
        <v>55</v>
      </c>
      <c r="C2757" t="s">
        <v>76</v>
      </c>
      <c r="D2757" t="s">
        <v>77</v>
      </c>
      <c r="E2757" s="1" t="s">
        <v>82</v>
      </c>
      <c r="F2757" t="s">
        <v>83</v>
      </c>
      <c r="G2757">
        <v>10</v>
      </c>
      <c r="H2757">
        <v>146644125</v>
      </c>
      <c r="I2757">
        <v>0</v>
      </c>
      <c r="J2757">
        <v>43</v>
      </c>
      <c r="K2757">
        <v>65</v>
      </c>
      <c r="L2757">
        <v>-146644125</v>
      </c>
      <c r="M2757">
        <v>1</v>
      </c>
      <c r="N2757">
        <v>0</v>
      </c>
      <c r="O2757" s="1" t="s">
        <v>4658</v>
      </c>
      <c r="P2757">
        <v>0</v>
      </c>
      <c r="Q2757">
        <v>0</v>
      </c>
      <c r="R2757">
        <v>0</v>
      </c>
      <c r="S2757">
        <v>0</v>
      </c>
      <c r="T2757">
        <v>64.132670540000007</v>
      </c>
      <c r="U2757">
        <f t="shared" si="86"/>
        <v>0</v>
      </c>
      <c r="V2757">
        <f t="shared" si="87"/>
        <v>0</v>
      </c>
    </row>
    <row r="2758" spans="1:22" x14ac:dyDescent="0.2">
      <c r="A2758" t="s">
        <v>4657</v>
      </c>
      <c r="B2758" t="s">
        <v>55</v>
      </c>
      <c r="C2758" t="s">
        <v>76</v>
      </c>
      <c r="D2758" t="s">
        <v>77</v>
      </c>
      <c r="E2758">
        <v>99</v>
      </c>
      <c r="F2758" t="s">
        <v>78</v>
      </c>
      <c r="G2758">
        <v>99</v>
      </c>
      <c r="H2758">
        <v>51645228</v>
      </c>
      <c r="I2758">
        <v>0</v>
      </c>
      <c r="J2758">
        <v>26</v>
      </c>
      <c r="K2758">
        <v>98</v>
      </c>
      <c r="L2758">
        <v>-51645228</v>
      </c>
      <c r="M2758">
        <v>1</v>
      </c>
      <c r="N2758">
        <v>0</v>
      </c>
      <c r="O2758" s="1" t="s">
        <v>4659</v>
      </c>
      <c r="P2758">
        <v>0</v>
      </c>
      <c r="Q2758">
        <v>0</v>
      </c>
      <c r="R2758">
        <v>0</v>
      </c>
      <c r="S2758">
        <v>0</v>
      </c>
      <c r="T2758">
        <v>64.132670540000007</v>
      </c>
      <c r="U2758">
        <f t="shared" si="86"/>
        <v>0</v>
      </c>
      <c r="V2758">
        <f t="shared" si="87"/>
        <v>0</v>
      </c>
    </row>
    <row r="2759" spans="1:22" x14ac:dyDescent="0.2">
      <c r="A2759" t="s">
        <v>4657</v>
      </c>
      <c r="B2759" t="s">
        <v>55</v>
      </c>
      <c r="C2759" t="s">
        <v>76</v>
      </c>
      <c r="D2759" t="s">
        <v>77</v>
      </c>
      <c r="E2759" s="1" t="s">
        <v>89</v>
      </c>
      <c r="F2759" t="s">
        <v>90</v>
      </c>
      <c r="G2759">
        <v>31</v>
      </c>
      <c r="H2759">
        <v>45171149</v>
      </c>
      <c r="I2759">
        <v>0</v>
      </c>
      <c r="J2759">
        <v>74</v>
      </c>
      <c r="K2759">
        <v>51</v>
      </c>
      <c r="L2759">
        <v>-45171149</v>
      </c>
      <c r="M2759">
        <v>1</v>
      </c>
      <c r="N2759">
        <v>0</v>
      </c>
      <c r="O2759" s="1" t="s">
        <v>4660</v>
      </c>
      <c r="P2759">
        <v>0</v>
      </c>
      <c r="Q2759">
        <v>0</v>
      </c>
      <c r="R2759">
        <v>0</v>
      </c>
      <c r="S2759">
        <v>0</v>
      </c>
      <c r="T2759">
        <v>64.132670540000007</v>
      </c>
      <c r="U2759">
        <f t="shared" si="86"/>
        <v>0</v>
      </c>
      <c r="V2759">
        <f t="shared" si="87"/>
        <v>0</v>
      </c>
    </row>
    <row r="2760" spans="1:22" x14ac:dyDescent="0.2">
      <c r="A2760" t="s">
        <v>4657</v>
      </c>
      <c r="B2760" t="s">
        <v>55</v>
      </c>
      <c r="C2760" t="s">
        <v>76</v>
      </c>
      <c r="D2760" t="s">
        <v>77</v>
      </c>
      <c r="E2760" s="1" t="s">
        <v>89</v>
      </c>
      <c r="F2760" t="s">
        <v>90</v>
      </c>
      <c r="G2760">
        <v>33</v>
      </c>
      <c r="H2760">
        <v>912485</v>
      </c>
      <c r="I2760">
        <v>0</v>
      </c>
      <c r="J2760">
        <v>68</v>
      </c>
      <c r="K2760">
        <v>95</v>
      </c>
      <c r="L2760">
        <v>-912485</v>
      </c>
      <c r="M2760">
        <v>1</v>
      </c>
      <c r="N2760">
        <v>0</v>
      </c>
      <c r="O2760">
        <v>3.36992634937208E-3</v>
      </c>
      <c r="P2760">
        <v>0</v>
      </c>
      <c r="Q2760">
        <v>0</v>
      </c>
      <c r="R2760">
        <v>0</v>
      </c>
      <c r="S2760">
        <v>0</v>
      </c>
      <c r="T2760">
        <v>64.132670540000007</v>
      </c>
      <c r="U2760">
        <f t="shared" si="86"/>
        <v>0</v>
      </c>
      <c r="V2760">
        <f t="shared" si="87"/>
        <v>0</v>
      </c>
    </row>
    <row r="2761" spans="1:22" x14ac:dyDescent="0.2">
      <c r="A2761" t="s">
        <v>4657</v>
      </c>
      <c r="B2761" t="s">
        <v>55</v>
      </c>
      <c r="C2761" t="s">
        <v>76</v>
      </c>
      <c r="D2761" t="s">
        <v>77</v>
      </c>
      <c r="E2761">
        <v>15</v>
      </c>
      <c r="F2761" t="s">
        <v>88</v>
      </c>
      <c r="G2761">
        <v>79</v>
      </c>
      <c r="H2761">
        <v>211468</v>
      </c>
      <c r="I2761">
        <v>0</v>
      </c>
      <c r="J2761">
        <v>40</v>
      </c>
      <c r="K2761">
        <v>54</v>
      </c>
      <c r="L2761">
        <v>-211468</v>
      </c>
      <c r="M2761">
        <v>1</v>
      </c>
      <c r="N2761">
        <v>0</v>
      </c>
      <c r="O2761" s="1" t="s">
        <v>4661</v>
      </c>
      <c r="P2761">
        <v>0</v>
      </c>
      <c r="Q2761">
        <v>0</v>
      </c>
      <c r="R2761">
        <v>0</v>
      </c>
      <c r="S2761">
        <v>0</v>
      </c>
      <c r="T2761">
        <v>64.132670540000007</v>
      </c>
      <c r="U2761">
        <f t="shared" si="86"/>
        <v>0</v>
      </c>
      <c r="V2761">
        <f t="shared" si="87"/>
        <v>0</v>
      </c>
    </row>
    <row r="2762" spans="1:22" x14ac:dyDescent="0.2">
      <c r="A2762" t="s">
        <v>4657</v>
      </c>
      <c r="B2762" t="s">
        <v>55</v>
      </c>
      <c r="C2762" t="s">
        <v>76</v>
      </c>
      <c r="D2762" t="s">
        <v>77</v>
      </c>
      <c r="E2762" s="1" t="s">
        <v>89</v>
      </c>
      <c r="F2762" t="s">
        <v>90</v>
      </c>
      <c r="G2762">
        <v>38</v>
      </c>
      <c r="H2762">
        <v>92105</v>
      </c>
      <c r="I2762">
        <v>0</v>
      </c>
      <c r="J2762">
        <v>99</v>
      </c>
      <c r="K2762">
        <v>87</v>
      </c>
      <c r="L2762">
        <v>-92105</v>
      </c>
      <c r="M2762">
        <v>1</v>
      </c>
      <c r="N2762">
        <v>0</v>
      </c>
      <c r="O2762" s="1" t="s">
        <v>4662</v>
      </c>
      <c r="P2762">
        <v>0</v>
      </c>
      <c r="Q2762">
        <v>0</v>
      </c>
      <c r="R2762">
        <v>0</v>
      </c>
      <c r="S2762">
        <v>0</v>
      </c>
      <c r="T2762">
        <v>64.132670540000007</v>
      </c>
      <c r="U2762">
        <f t="shared" si="86"/>
        <v>0</v>
      </c>
      <c r="V2762">
        <f t="shared" si="87"/>
        <v>0</v>
      </c>
    </row>
    <row r="2763" spans="1:22" x14ac:dyDescent="0.2">
      <c r="A2763" t="s">
        <v>4657</v>
      </c>
      <c r="B2763" t="s">
        <v>55</v>
      </c>
      <c r="C2763" t="s">
        <v>76</v>
      </c>
      <c r="D2763" t="s">
        <v>77</v>
      </c>
      <c r="E2763">
        <v>15</v>
      </c>
      <c r="F2763" t="s">
        <v>88</v>
      </c>
      <c r="G2763">
        <v>76</v>
      </c>
      <c r="H2763">
        <v>43744</v>
      </c>
      <c r="I2763">
        <v>0</v>
      </c>
      <c r="J2763">
        <v>105</v>
      </c>
      <c r="K2763">
        <v>92</v>
      </c>
      <c r="L2763">
        <v>-43744</v>
      </c>
      <c r="M2763">
        <v>1</v>
      </c>
      <c r="N2763">
        <v>0</v>
      </c>
      <c r="O2763" s="1" t="s">
        <v>4663</v>
      </c>
      <c r="P2763">
        <v>0</v>
      </c>
      <c r="Q2763">
        <v>0</v>
      </c>
      <c r="R2763">
        <v>0</v>
      </c>
      <c r="S2763">
        <v>0</v>
      </c>
      <c r="T2763">
        <v>64.132670540000007</v>
      </c>
      <c r="U2763">
        <f t="shared" si="86"/>
        <v>0</v>
      </c>
      <c r="V2763">
        <f t="shared" si="87"/>
        <v>0</v>
      </c>
    </row>
    <row r="2764" spans="1:22" x14ac:dyDescent="0.2">
      <c r="A2764" t="s">
        <v>4657</v>
      </c>
      <c r="B2764" t="s">
        <v>55</v>
      </c>
      <c r="C2764" t="s">
        <v>76</v>
      </c>
      <c r="D2764" t="s">
        <v>77</v>
      </c>
      <c r="E2764">
        <v>15</v>
      </c>
      <c r="F2764" t="s">
        <v>88</v>
      </c>
      <c r="G2764">
        <v>82</v>
      </c>
      <c r="H2764">
        <v>49806</v>
      </c>
      <c r="I2764">
        <v>0</v>
      </c>
      <c r="J2764">
        <v>101</v>
      </c>
      <c r="K2764">
        <v>96</v>
      </c>
      <c r="L2764">
        <v>-49806</v>
      </c>
      <c r="M2764">
        <v>1</v>
      </c>
      <c r="N2764">
        <v>0</v>
      </c>
      <c r="O2764" s="1" t="s">
        <v>4664</v>
      </c>
      <c r="P2764">
        <v>0</v>
      </c>
      <c r="Q2764">
        <v>0</v>
      </c>
      <c r="R2764">
        <v>0</v>
      </c>
      <c r="S2764">
        <v>0</v>
      </c>
      <c r="T2764">
        <v>64.132670540000007</v>
      </c>
      <c r="U2764">
        <f t="shared" si="86"/>
        <v>0</v>
      </c>
      <c r="V2764">
        <f t="shared" si="87"/>
        <v>0</v>
      </c>
    </row>
    <row r="2765" spans="1:22" x14ac:dyDescent="0.2">
      <c r="A2765" t="s">
        <v>4657</v>
      </c>
      <c r="B2765" t="s">
        <v>55</v>
      </c>
      <c r="C2765" t="s">
        <v>76</v>
      </c>
      <c r="D2765" t="s">
        <v>77</v>
      </c>
      <c r="E2765" s="1" t="s">
        <v>155</v>
      </c>
      <c r="F2765" t="s">
        <v>156</v>
      </c>
      <c r="G2765" s="1" t="s">
        <v>82</v>
      </c>
      <c r="H2765">
        <v>240237</v>
      </c>
      <c r="I2765">
        <v>0</v>
      </c>
      <c r="J2765">
        <v>38</v>
      </c>
      <c r="K2765">
        <v>59</v>
      </c>
      <c r="L2765">
        <v>-240237</v>
      </c>
      <c r="M2765">
        <v>1</v>
      </c>
      <c r="N2765">
        <v>0</v>
      </c>
      <c r="O2765" s="1" t="s">
        <v>4665</v>
      </c>
      <c r="P2765">
        <v>0</v>
      </c>
      <c r="Q2765">
        <v>0</v>
      </c>
      <c r="R2765">
        <v>0</v>
      </c>
      <c r="S2765">
        <v>0</v>
      </c>
      <c r="T2765">
        <v>64.132670540000007</v>
      </c>
      <c r="U2765">
        <f t="shared" si="86"/>
        <v>0</v>
      </c>
      <c r="V2765">
        <f t="shared" si="87"/>
        <v>0</v>
      </c>
    </row>
    <row r="2766" spans="1:22" x14ac:dyDescent="0.2">
      <c r="A2766" t="s">
        <v>4657</v>
      </c>
      <c r="B2766" t="s">
        <v>55</v>
      </c>
      <c r="C2766" t="s">
        <v>76</v>
      </c>
      <c r="D2766" t="s">
        <v>77</v>
      </c>
      <c r="E2766">
        <v>16</v>
      </c>
      <c r="F2766" t="s">
        <v>95</v>
      </c>
      <c r="G2766">
        <v>84</v>
      </c>
      <c r="H2766">
        <v>113002</v>
      </c>
      <c r="I2766">
        <v>0</v>
      </c>
      <c r="J2766">
        <v>134</v>
      </c>
      <c r="K2766">
        <v>117</v>
      </c>
      <c r="L2766">
        <v>-113002</v>
      </c>
      <c r="M2766">
        <v>1</v>
      </c>
      <c r="N2766">
        <v>0</v>
      </c>
      <c r="O2766" s="1" t="s">
        <v>4666</v>
      </c>
      <c r="P2766">
        <v>0</v>
      </c>
      <c r="Q2766">
        <v>0</v>
      </c>
      <c r="R2766">
        <v>0</v>
      </c>
      <c r="S2766">
        <v>0</v>
      </c>
      <c r="T2766">
        <v>64.132670540000007</v>
      </c>
      <c r="U2766">
        <f t="shared" si="86"/>
        <v>0</v>
      </c>
      <c r="V2766">
        <f t="shared" si="87"/>
        <v>0</v>
      </c>
    </row>
    <row r="2767" spans="1:22" x14ac:dyDescent="0.2">
      <c r="A2767" t="s">
        <v>4657</v>
      </c>
      <c r="B2767" t="s">
        <v>55</v>
      </c>
      <c r="C2767" t="s">
        <v>76</v>
      </c>
      <c r="D2767" t="s">
        <v>77</v>
      </c>
      <c r="E2767" s="1" t="s">
        <v>138</v>
      </c>
      <c r="F2767" t="s">
        <v>139</v>
      </c>
      <c r="G2767">
        <v>21</v>
      </c>
      <c r="H2767">
        <v>46155</v>
      </c>
      <c r="I2767">
        <v>0</v>
      </c>
      <c r="J2767">
        <v>98</v>
      </c>
      <c r="K2767">
        <v>99</v>
      </c>
      <c r="L2767">
        <v>-46155</v>
      </c>
      <c r="M2767">
        <v>1</v>
      </c>
      <c r="N2767">
        <v>0</v>
      </c>
      <c r="O2767" s="1" t="s">
        <v>4667</v>
      </c>
      <c r="P2767">
        <v>0</v>
      </c>
      <c r="Q2767">
        <v>0</v>
      </c>
      <c r="R2767">
        <v>0</v>
      </c>
      <c r="S2767">
        <v>0</v>
      </c>
      <c r="T2767">
        <v>64.132670540000007</v>
      </c>
      <c r="U2767">
        <f t="shared" si="86"/>
        <v>0</v>
      </c>
      <c r="V2767">
        <f t="shared" si="87"/>
        <v>0</v>
      </c>
    </row>
    <row r="2768" spans="1:22" x14ac:dyDescent="0.2">
      <c r="A2768" t="s">
        <v>4657</v>
      </c>
      <c r="B2768" t="s">
        <v>55</v>
      </c>
      <c r="C2768" t="s">
        <v>76</v>
      </c>
      <c r="D2768" t="s">
        <v>77</v>
      </c>
      <c r="E2768" s="1" t="s">
        <v>99</v>
      </c>
      <c r="F2768" t="s">
        <v>100</v>
      </c>
      <c r="G2768">
        <v>39</v>
      </c>
      <c r="H2768">
        <v>1445</v>
      </c>
      <c r="I2768">
        <v>0</v>
      </c>
      <c r="J2768">
        <v>136</v>
      </c>
      <c r="K2768">
        <v>109</v>
      </c>
      <c r="L2768">
        <v>-1445</v>
      </c>
      <c r="M2768">
        <v>1</v>
      </c>
      <c r="N2768">
        <v>0</v>
      </c>
      <c r="O2768" s="1" t="s">
        <v>4668</v>
      </c>
      <c r="P2768">
        <v>0</v>
      </c>
      <c r="Q2768">
        <v>0</v>
      </c>
      <c r="R2768">
        <v>0</v>
      </c>
      <c r="S2768">
        <v>0</v>
      </c>
      <c r="T2768">
        <v>64.132670540000007</v>
      </c>
      <c r="U2768">
        <f t="shared" si="86"/>
        <v>0</v>
      </c>
      <c r="V2768">
        <f t="shared" si="87"/>
        <v>0</v>
      </c>
    </row>
    <row r="2769" spans="1:22" x14ac:dyDescent="0.2">
      <c r="A2769" t="s">
        <v>4657</v>
      </c>
      <c r="B2769" t="s">
        <v>55</v>
      </c>
      <c r="C2769" t="s">
        <v>76</v>
      </c>
      <c r="D2769" t="s">
        <v>77</v>
      </c>
      <c r="E2769" s="1" t="s">
        <v>163</v>
      </c>
      <c r="F2769" t="s">
        <v>224</v>
      </c>
      <c r="G2769">
        <v>42</v>
      </c>
      <c r="H2769">
        <v>1169</v>
      </c>
      <c r="I2769">
        <v>0</v>
      </c>
      <c r="J2769">
        <v>98</v>
      </c>
      <c r="K2769">
        <v>99</v>
      </c>
      <c r="L2769">
        <v>-1169</v>
      </c>
      <c r="M2769">
        <v>1</v>
      </c>
      <c r="N2769">
        <v>0</v>
      </c>
      <c r="O2769" s="1" t="s">
        <v>4669</v>
      </c>
      <c r="P2769">
        <v>0</v>
      </c>
      <c r="Q2769">
        <v>0</v>
      </c>
      <c r="R2769">
        <v>0</v>
      </c>
      <c r="S2769">
        <v>0</v>
      </c>
      <c r="T2769">
        <v>64.132670540000007</v>
      </c>
      <c r="U2769">
        <f t="shared" si="86"/>
        <v>0</v>
      </c>
      <c r="V2769">
        <f t="shared" si="87"/>
        <v>0</v>
      </c>
    </row>
    <row r="2770" spans="1:22" x14ac:dyDescent="0.2">
      <c r="A2770" t="s">
        <v>4657</v>
      </c>
      <c r="B2770" t="s">
        <v>55</v>
      </c>
      <c r="C2770" t="s">
        <v>76</v>
      </c>
      <c r="D2770" t="s">
        <v>77</v>
      </c>
      <c r="E2770">
        <v>12</v>
      </c>
      <c r="F2770" t="s">
        <v>194</v>
      </c>
      <c r="G2770">
        <v>64</v>
      </c>
      <c r="H2770">
        <v>1169</v>
      </c>
      <c r="I2770">
        <v>0</v>
      </c>
      <c r="J2770">
        <v>98</v>
      </c>
      <c r="K2770">
        <v>94</v>
      </c>
      <c r="L2770">
        <v>-1169</v>
      </c>
      <c r="M2770">
        <v>1</v>
      </c>
      <c r="N2770">
        <v>0</v>
      </c>
      <c r="O2770" s="1" t="s">
        <v>4669</v>
      </c>
      <c r="P2770">
        <v>0</v>
      </c>
      <c r="Q2770">
        <v>0</v>
      </c>
      <c r="R2770">
        <v>0</v>
      </c>
      <c r="S2770">
        <v>0</v>
      </c>
      <c r="T2770">
        <v>64.132670540000007</v>
      </c>
      <c r="U2770">
        <f t="shared" si="86"/>
        <v>0</v>
      </c>
      <c r="V2770">
        <f t="shared" si="87"/>
        <v>0</v>
      </c>
    </row>
    <row r="2771" spans="1:22" x14ac:dyDescent="0.2">
      <c r="A2771" t="s">
        <v>4657</v>
      </c>
      <c r="B2771" t="s">
        <v>55</v>
      </c>
      <c r="C2771" t="s">
        <v>76</v>
      </c>
      <c r="D2771" t="s">
        <v>77</v>
      </c>
      <c r="E2771">
        <v>13</v>
      </c>
      <c r="F2771" t="s">
        <v>91</v>
      </c>
      <c r="G2771">
        <v>69</v>
      </c>
      <c r="H2771">
        <v>2338</v>
      </c>
      <c r="I2771">
        <v>0</v>
      </c>
      <c r="J2771">
        <v>97</v>
      </c>
      <c r="K2771">
        <v>91</v>
      </c>
      <c r="L2771">
        <v>-2338</v>
      </c>
      <c r="M2771">
        <v>1</v>
      </c>
      <c r="N2771">
        <v>0</v>
      </c>
      <c r="O2771" s="1" t="s">
        <v>4670</v>
      </c>
      <c r="P2771">
        <v>0</v>
      </c>
      <c r="Q2771">
        <v>0</v>
      </c>
      <c r="R2771">
        <v>0</v>
      </c>
      <c r="S2771">
        <v>0</v>
      </c>
      <c r="T2771">
        <v>64.132670540000007</v>
      </c>
      <c r="U2771">
        <f t="shared" si="86"/>
        <v>0</v>
      </c>
      <c r="V2771">
        <f t="shared" si="87"/>
        <v>0</v>
      </c>
    </row>
    <row r="2772" spans="1:22" x14ac:dyDescent="0.2">
      <c r="A2772" t="s">
        <v>4657</v>
      </c>
      <c r="B2772" t="s">
        <v>55</v>
      </c>
      <c r="C2772" t="s">
        <v>76</v>
      </c>
      <c r="D2772" t="s">
        <v>77</v>
      </c>
      <c r="E2772">
        <v>13</v>
      </c>
      <c r="F2772" t="s">
        <v>91</v>
      </c>
      <c r="G2772">
        <v>70</v>
      </c>
      <c r="H2772">
        <v>1169</v>
      </c>
      <c r="I2772">
        <v>265</v>
      </c>
      <c r="J2772">
        <v>118</v>
      </c>
      <c r="K2772">
        <v>81</v>
      </c>
      <c r="L2772">
        <v>-904</v>
      </c>
      <c r="M2772" s="1" t="s">
        <v>4671</v>
      </c>
      <c r="N2772" s="1" t="s">
        <v>4672</v>
      </c>
      <c r="O2772" s="1" t="s">
        <v>4673</v>
      </c>
      <c r="P2772">
        <v>0</v>
      </c>
      <c r="Q2772">
        <v>0</v>
      </c>
      <c r="R2772">
        <v>0</v>
      </c>
      <c r="S2772">
        <v>0</v>
      </c>
      <c r="T2772">
        <v>64.132670540000007</v>
      </c>
      <c r="U2772">
        <f t="shared" si="86"/>
        <v>0</v>
      </c>
      <c r="V2772">
        <f t="shared" si="87"/>
        <v>0</v>
      </c>
    </row>
    <row r="2773" spans="1:22" x14ac:dyDescent="0.2">
      <c r="A2773" t="s">
        <v>4657</v>
      </c>
      <c r="B2773" t="s">
        <v>55</v>
      </c>
      <c r="C2773" t="s">
        <v>76</v>
      </c>
      <c r="D2773" t="s">
        <v>77</v>
      </c>
      <c r="E2773">
        <v>20</v>
      </c>
      <c r="F2773" t="s">
        <v>104</v>
      </c>
      <c r="G2773">
        <v>94</v>
      </c>
      <c r="H2773">
        <v>2275</v>
      </c>
      <c r="I2773">
        <v>0</v>
      </c>
      <c r="J2773">
        <v>124</v>
      </c>
      <c r="K2773">
        <v>103</v>
      </c>
      <c r="L2773">
        <v>-2275</v>
      </c>
      <c r="M2773">
        <v>1</v>
      </c>
      <c r="N2773">
        <v>0</v>
      </c>
      <c r="O2773" s="1" t="s">
        <v>4674</v>
      </c>
      <c r="P2773">
        <v>0</v>
      </c>
      <c r="Q2773">
        <v>0</v>
      </c>
      <c r="R2773">
        <v>0</v>
      </c>
      <c r="S2773">
        <v>0</v>
      </c>
      <c r="T2773">
        <v>64.132670540000007</v>
      </c>
      <c r="U2773">
        <f t="shared" si="86"/>
        <v>0</v>
      </c>
      <c r="V2773">
        <f t="shared" si="87"/>
        <v>0</v>
      </c>
    </row>
    <row r="2774" spans="1:22" x14ac:dyDescent="0.2">
      <c r="A2774" t="s">
        <v>4657</v>
      </c>
      <c r="B2774" t="s">
        <v>55</v>
      </c>
      <c r="C2774" t="s">
        <v>76</v>
      </c>
      <c r="D2774" t="s">
        <v>77</v>
      </c>
      <c r="E2774">
        <v>16</v>
      </c>
      <c r="F2774" t="s">
        <v>95</v>
      </c>
      <c r="G2774">
        <v>85</v>
      </c>
      <c r="H2774">
        <v>32328</v>
      </c>
      <c r="I2774">
        <v>1097153</v>
      </c>
      <c r="J2774">
        <v>140</v>
      </c>
      <c r="K2774">
        <v>71</v>
      </c>
      <c r="L2774">
        <v>1064825</v>
      </c>
      <c r="M2774" s="1" t="s">
        <v>4675</v>
      </c>
      <c r="N2774" s="1" t="s">
        <v>4676</v>
      </c>
      <c r="O2774">
        <v>4.1713209346072797E-3</v>
      </c>
      <c r="P2774">
        <v>0</v>
      </c>
      <c r="Q2774">
        <v>0</v>
      </c>
      <c r="R2774">
        <v>0</v>
      </c>
      <c r="S2774">
        <v>0</v>
      </c>
      <c r="T2774">
        <v>64.132670540000007</v>
      </c>
      <c r="U2774">
        <f t="shared" si="86"/>
        <v>0</v>
      </c>
      <c r="V2774">
        <f t="shared" si="87"/>
        <v>0</v>
      </c>
    </row>
    <row r="2775" spans="1:22" x14ac:dyDescent="0.2">
      <c r="A2775" t="s">
        <v>4657</v>
      </c>
      <c r="B2775" t="s">
        <v>55</v>
      </c>
      <c r="C2775" t="s">
        <v>76</v>
      </c>
      <c r="D2775" t="s">
        <v>77</v>
      </c>
      <c r="E2775" s="1" t="s">
        <v>89</v>
      </c>
      <c r="F2775" t="s">
        <v>90</v>
      </c>
      <c r="G2775">
        <v>34</v>
      </c>
      <c r="H2775">
        <v>574</v>
      </c>
      <c r="I2775">
        <v>0</v>
      </c>
      <c r="J2775">
        <v>120</v>
      </c>
      <c r="K2775">
        <v>87</v>
      </c>
      <c r="L2775">
        <v>-574</v>
      </c>
      <c r="M2775">
        <v>1</v>
      </c>
      <c r="N2775">
        <v>0</v>
      </c>
      <c r="O2775" s="1" t="s">
        <v>4677</v>
      </c>
      <c r="P2775">
        <v>0</v>
      </c>
      <c r="Q2775">
        <v>0</v>
      </c>
      <c r="R2775">
        <v>0</v>
      </c>
      <c r="S2775">
        <v>0</v>
      </c>
      <c r="T2775">
        <v>64.132670540000007</v>
      </c>
      <c r="U2775">
        <f t="shared" si="86"/>
        <v>0</v>
      </c>
      <c r="V2775">
        <f t="shared" si="87"/>
        <v>0</v>
      </c>
    </row>
    <row r="2776" spans="1:22" x14ac:dyDescent="0.2">
      <c r="A2776" t="s">
        <v>4657</v>
      </c>
      <c r="B2776" t="s">
        <v>55</v>
      </c>
      <c r="C2776" t="s">
        <v>76</v>
      </c>
      <c r="D2776" t="s">
        <v>77</v>
      </c>
      <c r="E2776" s="1" t="s">
        <v>93</v>
      </c>
      <c r="F2776" t="s">
        <v>94</v>
      </c>
      <c r="G2776">
        <v>44</v>
      </c>
      <c r="H2776">
        <v>32280</v>
      </c>
      <c r="I2776">
        <v>0</v>
      </c>
      <c r="J2776">
        <v>126</v>
      </c>
      <c r="K2776">
        <v>103</v>
      </c>
      <c r="L2776">
        <v>-32280</v>
      </c>
      <c r="M2776">
        <v>1</v>
      </c>
      <c r="N2776">
        <v>0</v>
      </c>
      <c r="O2776" s="1" t="s">
        <v>4678</v>
      </c>
      <c r="P2776">
        <v>0</v>
      </c>
      <c r="Q2776">
        <v>0</v>
      </c>
      <c r="R2776">
        <v>0</v>
      </c>
      <c r="S2776">
        <v>0</v>
      </c>
      <c r="T2776">
        <v>64.132670540000007</v>
      </c>
      <c r="U2776">
        <f t="shared" si="86"/>
        <v>0</v>
      </c>
      <c r="V2776">
        <f t="shared" si="87"/>
        <v>0</v>
      </c>
    </row>
    <row r="2777" spans="1:22" x14ac:dyDescent="0.2">
      <c r="A2777" t="s">
        <v>4657</v>
      </c>
      <c r="B2777" t="s">
        <v>55</v>
      </c>
      <c r="C2777" t="s">
        <v>76</v>
      </c>
      <c r="D2777" t="s">
        <v>77</v>
      </c>
      <c r="E2777" s="1" t="s">
        <v>99</v>
      </c>
      <c r="F2777" t="s">
        <v>100</v>
      </c>
      <c r="G2777">
        <v>40</v>
      </c>
      <c r="H2777">
        <v>40966</v>
      </c>
      <c r="I2777">
        <v>0</v>
      </c>
      <c r="J2777">
        <v>119</v>
      </c>
      <c r="K2777">
        <v>97</v>
      </c>
      <c r="L2777">
        <v>-40966</v>
      </c>
      <c r="M2777">
        <v>1</v>
      </c>
      <c r="N2777">
        <v>0</v>
      </c>
      <c r="O2777" s="1" t="s">
        <v>4679</v>
      </c>
      <c r="P2777">
        <v>0</v>
      </c>
      <c r="Q2777">
        <v>0</v>
      </c>
      <c r="R2777">
        <v>0</v>
      </c>
      <c r="S2777">
        <v>0</v>
      </c>
      <c r="T2777">
        <v>64.132670540000007</v>
      </c>
      <c r="U2777">
        <f t="shared" si="86"/>
        <v>0</v>
      </c>
      <c r="V2777">
        <f t="shared" si="87"/>
        <v>0</v>
      </c>
    </row>
    <row r="2778" spans="1:22" x14ac:dyDescent="0.2">
      <c r="A2778" t="s">
        <v>4657</v>
      </c>
      <c r="B2778" t="s">
        <v>55</v>
      </c>
      <c r="C2778" t="s">
        <v>76</v>
      </c>
      <c r="D2778" t="s">
        <v>77</v>
      </c>
      <c r="E2778">
        <v>15</v>
      </c>
      <c r="F2778" t="s">
        <v>88</v>
      </c>
      <c r="G2778">
        <v>73</v>
      </c>
      <c r="H2778">
        <v>14146</v>
      </c>
      <c r="I2778">
        <v>0</v>
      </c>
      <c r="J2778">
        <v>125</v>
      </c>
      <c r="K2778">
        <v>103</v>
      </c>
      <c r="L2778">
        <v>-14146</v>
      </c>
      <c r="M2778">
        <v>1</v>
      </c>
      <c r="N2778">
        <v>0</v>
      </c>
      <c r="O2778" s="1" t="s">
        <v>4680</v>
      </c>
      <c r="P2778">
        <v>0</v>
      </c>
      <c r="Q2778">
        <v>0</v>
      </c>
      <c r="R2778">
        <v>0</v>
      </c>
      <c r="S2778">
        <v>0</v>
      </c>
      <c r="T2778">
        <v>64.132670540000007</v>
      </c>
      <c r="U2778">
        <f t="shared" si="86"/>
        <v>0</v>
      </c>
      <c r="V2778">
        <f t="shared" si="87"/>
        <v>0</v>
      </c>
    </row>
    <row r="2779" spans="1:22" x14ac:dyDescent="0.2">
      <c r="A2779" t="s">
        <v>4657</v>
      </c>
      <c r="B2779" t="s">
        <v>55</v>
      </c>
      <c r="C2779" t="s">
        <v>76</v>
      </c>
      <c r="D2779" t="s">
        <v>77</v>
      </c>
      <c r="E2779" s="1" t="s">
        <v>155</v>
      </c>
      <c r="F2779" t="s">
        <v>156</v>
      </c>
      <c r="G2779" s="1" t="s">
        <v>85</v>
      </c>
      <c r="H2779">
        <v>0</v>
      </c>
      <c r="I2779">
        <v>9883</v>
      </c>
      <c r="J2779">
        <v>74</v>
      </c>
      <c r="K2779">
        <v>57</v>
      </c>
      <c r="L2779">
        <v>9883</v>
      </c>
      <c r="M2779">
        <v>0</v>
      </c>
      <c r="N2779">
        <v>1</v>
      </c>
      <c r="O2779" s="1" t="s">
        <v>4681</v>
      </c>
      <c r="P2779">
        <v>0</v>
      </c>
      <c r="Q2779">
        <v>0</v>
      </c>
      <c r="R2779">
        <v>0</v>
      </c>
      <c r="S2779">
        <v>0</v>
      </c>
      <c r="T2779">
        <v>64.132670540000007</v>
      </c>
      <c r="U2779">
        <f t="shared" si="86"/>
        <v>0</v>
      </c>
      <c r="V2779">
        <f t="shared" si="87"/>
        <v>0</v>
      </c>
    </row>
    <row r="2780" spans="1:22" x14ac:dyDescent="0.2">
      <c r="A2780" t="s">
        <v>4657</v>
      </c>
      <c r="B2780" t="s">
        <v>55</v>
      </c>
      <c r="C2780" t="s">
        <v>76</v>
      </c>
      <c r="D2780" t="s">
        <v>77</v>
      </c>
      <c r="E2780" s="1" t="s">
        <v>93</v>
      </c>
      <c r="F2780" t="s">
        <v>94</v>
      </c>
      <c r="G2780">
        <v>46</v>
      </c>
      <c r="H2780">
        <v>0</v>
      </c>
      <c r="I2780">
        <v>9168</v>
      </c>
      <c r="J2780">
        <v>47</v>
      </c>
      <c r="K2780">
        <v>37</v>
      </c>
      <c r="L2780">
        <v>9168</v>
      </c>
      <c r="M2780">
        <v>0</v>
      </c>
      <c r="N2780">
        <v>1</v>
      </c>
      <c r="O2780" s="1" t="s">
        <v>4682</v>
      </c>
      <c r="P2780">
        <v>0</v>
      </c>
      <c r="Q2780">
        <v>0</v>
      </c>
      <c r="R2780">
        <v>0</v>
      </c>
      <c r="S2780">
        <v>0</v>
      </c>
      <c r="T2780">
        <v>64.132670540000007</v>
      </c>
      <c r="U2780">
        <f t="shared" si="86"/>
        <v>0</v>
      </c>
      <c r="V2780">
        <f t="shared" si="87"/>
        <v>0</v>
      </c>
    </row>
    <row r="2781" spans="1:22" x14ac:dyDescent="0.2">
      <c r="A2781" t="s">
        <v>4657</v>
      </c>
      <c r="B2781" t="s">
        <v>55</v>
      </c>
      <c r="C2781" t="s">
        <v>76</v>
      </c>
      <c r="D2781" t="s">
        <v>77</v>
      </c>
      <c r="E2781" s="1" t="s">
        <v>82</v>
      </c>
      <c r="F2781" t="s">
        <v>83</v>
      </c>
      <c r="G2781" s="1" t="s">
        <v>93</v>
      </c>
      <c r="H2781">
        <v>0</v>
      </c>
      <c r="I2781">
        <v>351965</v>
      </c>
      <c r="J2781">
        <v>105</v>
      </c>
      <c r="K2781">
        <v>66</v>
      </c>
      <c r="L2781">
        <v>351965</v>
      </c>
      <c r="M2781">
        <v>0</v>
      </c>
      <c r="N2781">
        <v>1</v>
      </c>
      <c r="O2781">
        <v>1.2998527401072201E-3</v>
      </c>
      <c r="P2781">
        <v>0</v>
      </c>
      <c r="Q2781">
        <v>0</v>
      </c>
      <c r="R2781">
        <v>0</v>
      </c>
      <c r="S2781">
        <v>0</v>
      </c>
      <c r="T2781">
        <v>64.132670540000007</v>
      </c>
      <c r="U2781">
        <f t="shared" si="86"/>
        <v>0</v>
      </c>
      <c r="V2781">
        <f t="shared" si="87"/>
        <v>0</v>
      </c>
    </row>
    <row r="2782" spans="1:22" x14ac:dyDescent="0.2">
      <c r="A2782" t="s">
        <v>4657</v>
      </c>
      <c r="B2782" t="s">
        <v>55</v>
      </c>
      <c r="C2782" t="s">
        <v>76</v>
      </c>
      <c r="D2782" t="s">
        <v>77</v>
      </c>
      <c r="E2782" s="1" t="s">
        <v>82</v>
      </c>
      <c r="F2782" t="s">
        <v>83</v>
      </c>
      <c r="G2782" s="1" t="s">
        <v>163</v>
      </c>
      <c r="H2782">
        <v>436</v>
      </c>
      <c r="I2782">
        <v>3129366</v>
      </c>
      <c r="J2782">
        <v>66</v>
      </c>
      <c r="K2782">
        <v>55</v>
      </c>
      <c r="L2782">
        <v>3128930</v>
      </c>
      <c r="M2782" s="1" t="s">
        <v>4683</v>
      </c>
      <c r="N2782" s="1" t="s">
        <v>4684</v>
      </c>
      <c r="O2782">
        <v>1.1558767791380001E-2</v>
      </c>
      <c r="P2782">
        <v>0</v>
      </c>
      <c r="Q2782">
        <v>0</v>
      </c>
      <c r="R2782">
        <v>0</v>
      </c>
      <c r="S2782">
        <v>0</v>
      </c>
      <c r="T2782">
        <v>64.132670540000007</v>
      </c>
      <c r="U2782">
        <f t="shared" si="86"/>
        <v>0</v>
      </c>
      <c r="V2782">
        <f t="shared" si="87"/>
        <v>0</v>
      </c>
    </row>
    <row r="2783" spans="1:22" x14ac:dyDescent="0.2">
      <c r="A2783" t="s">
        <v>4657</v>
      </c>
      <c r="B2783" t="s">
        <v>55</v>
      </c>
      <c r="C2783" t="s">
        <v>76</v>
      </c>
      <c r="D2783" t="s">
        <v>77</v>
      </c>
      <c r="E2783" s="1" t="s">
        <v>138</v>
      </c>
      <c r="F2783" t="s">
        <v>139</v>
      </c>
      <c r="G2783">
        <v>24</v>
      </c>
      <c r="H2783">
        <v>3524</v>
      </c>
      <c r="I2783">
        <v>15759649</v>
      </c>
      <c r="J2783">
        <v>78</v>
      </c>
      <c r="K2783">
        <v>25</v>
      </c>
      <c r="L2783">
        <v>15756125</v>
      </c>
      <c r="M2783" s="1" t="s">
        <v>4685</v>
      </c>
      <c r="N2783" s="1" t="s">
        <v>4686</v>
      </c>
      <c r="O2783">
        <v>5.8215457834825297E-2</v>
      </c>
      <c r="P2783">
        <v>0</v>
      </c>
      <c r="Q2783">
        <v>0</v>
      </c>
      <c r="R2783">
        <v>0</v>
      </c>
      <c r="S2783">
        <v>0</v>
      </c>
      <c r="T2783">
        <v>64.132670540000007</v>
      </c>
      <c r="U2783">
        <f t="shared" si="86"/>
        <v>0</v>
      </c>
      <c r="V2783">
        <f t="shared" si="87"/>
        <v>0</v>
      </c>
    </row>
    <row r="2784" spans="1:22" x14ac:dyDescent="0.2">
      <c r="A2784" t="s">
        <v>2813</v>
      </c>
      <c r="B2784" t="s">
        <v>36</v>
      </c>
      <c r="C2784" t="s">
        <v>76</v>
      </c>
      <c r="D2784" t="s">
        <v>77</v>
      </c>
      <c r="E2784" s="1" t="s">
        <v>89</v>
      </c>
      <c r="F2784" t="s">
        <v>90</v>
      </c>
      <c r="G2784">
        <v>31</v>
      </c>
      <c r="H2784">
        <v>5810064</v>
      </c>
      <c r="I2784">
        <v>0</v>
      </c>
      <c r="J2784">
        <v>107</v>
      </c>
      <c r="K2784">
        <v>51</v>
      </c>
      <c r="L2784">
        <v>-5810064</v>
      </c>
      <c r="M2784">
        <v>1</v>
      </c>
      <c r="N2784">
        <v>0</v>
      </c>
      <c r="O2784">
        <v>4.0768960362755201E-2</v>
      </c>
      <c r="P2784">
        <v>0</v>
      </c>
      <c r="Q2784">
        <v>0</v>
      </c>
      <c r="R2784">
        <v>0</v>
      </c>
      <c r="S2784">
        <v>0</v>
      </c>
      <c r="T2784">
        <v>25.83542374</v>
      </c>
      <c r="U2784">
        <f t="shared" si="86"/>
        <v>0</v>
      </c>
      <c r="V2784">
        <f t="shared" si="87"/>
        <v>0</v>
      </c>
    </row>
    <row r="2785" spans="1:22" x14ac:dyDescent="0.2">
      <c r="A2785" t="s">
        <v>2813</v>
      </c>
      <c r="B2785" t="s">
        <v>36</v>
      </c>
      <c r="C2785" t="s">
        <v>76</v>
      </c>
      <c r="D2785" t="s">
        <v>77</v>
      </c>
      <c r="E2785">
        <v>15</v>
      </c>
      <c r="F2785" t="s">
        <v>88</v>
      </c>
      <c r="G2785">
        <v>76</v>
      </c>
      <c r="H2785">
        <v>2098</v>
      </c>
      <c r="I2785">
        <v>131</v>
      </c>
      <c r="J2785">
        <v>117</v>
      </c>
      <c r="K2785">
        <v>86</v>
      </c>
      <c r="L2785">
        <v>-1967</v>
      </c>
      <c r="M2785" s="1" t="s">
        <v>4687</v>
      </c>
      <c r="N2785">
        <v>5.8770749214894502E-2</v>
      </c>
      <c r="O2785" s="1" t="s">
        <v>4688</v>
      </c>
      <c r="P2785">
        <v>0</v>
      </c>
      <c r="Q2785">
        <v>0</v>
      </c>
      <c r="R2785">
        <v>0</v>
      </c>
      <c r="S2785">
        <v>0</v>
      </c>
      <c r="T2785">
        <v>25.83542374</v>
      </c>
      <c r="U2785">
        <f t="shared" si="86"/>
        <v>0</v>
      </c>
      <c r="V2785">
        <f t="shared" si="87"/>
        <v>0</v>
      </c>
    </row>
    <row r="2786" spans="1:22" x14ac:dyDescent="0.2">
      <c r="A2786" t="s">
        <v>2813</v>
      </c>
      <c r="B2786" t="s">
        <v>36</v>
      </c>
      <c r="C2786" t="s">
        <v>76</v>
      </c>
      <c r="D2786" t="s">
        <v>77</v>
      </c>
      <c r="E2786" s="1" t="s">
        <v>89</v>
      </c>
      <c r="F2786" t="s">
        <v>90</v>
      </c>
      <c r="G2786">
        <v>29</v>
      </c>
      <c r="H2786">
        <v>921</v>
      </c>
      <c r="I2786">
        <v>49</v>
      </c>
      <c r="J2786">
        <v>123</v>
      </c>
      <c r="K2786">
        <v>78</v>
      </c>
      <c r="L2786">
        <v>-872</v>
      </c>
      <c r="M2786" s="1" t="s">
        <v>4689</v>
      </c>
      <c r="N2786" s="1" t="s">
        <v>4690</v>
      </c>
      <c r="O2786" s="1" t="s">
        <v>4691</v>
      </c>
      <c r="P2786">
        <v>0</v>
      </c>
      <c r="Q2786">
        <v>0</v>
      </c>
      <c r="R2786">
        <v>0</v>
      </c>
      <c r="S2786">
        <v>0</v>
      </c>
      <c r="T2786">
        <v>25.83542374</v>
      </c>
      <c r="U2786">
        <f t="shared" si="86"/>
        <v>0</v>
      </c>
      <c r="V2786">
        <f t="shared" si="87"/>
        <v>0</v>
      </c>
    </row>
    <row r="2787" spans="1:22" x14ac:dyDescent="0.2">
      <c r="A2787" t="s">
        <v>2813</v>
      </c>
      <c r="B2787" t="s">
        <v>36</v>
      </c>
      <c r="C2787" t="s">
        <v>76</v>
      </c>
      <c r="D2787" t="s">
        <v>77</v>
      </c>
      <c r="E2787">
        <v>18</v>
      </c>
      <c r="F2787" t="s">
        <v>147</v>
      </c>
      <c r="G2787">
        <v>91</v>
      </c>
      <c r="H2787">
        <v>919</v>
      </c>
      <c r="I2787">
        <v>2889</v>
      </c>
      <c r="J2787">
        <v>75</v>
      </c>
      <c r="K2787">
        <v>55</v>
      </c>
      <c r="L2787">
        <v>1970</v>
      </c>
      <c r="M2787" s="1" t="s">
        <v>4692</v>
      </c>
      <c r="N2787" s="1" t="s">
        <v>4693</v>
      </c>
      <c r="O2787" s="1" t="s">
        <v>4694</v>
      </c>
      <c r="P2787">
        <v>0</v>
      </c>
      <c r="Q2787">
        <v>0</v>
      </c>
      <c r="R2787">
        <v>0</v>
      </c>
      <c r="S2787">
        <v>0</v>
      </c>
      <c r="T2787">
        <v>25.83542374</v>
      </c>
      <c r="U2787">
        <f t="shared" si="86"/>
        <v>0</v>
      </c>
      <c r="V2787">
        <f t="shared" si="87"/>
        <v>0</v>
      </c>
    </row>
    <row r="2788" spans="1:22" x14ac:dyDescent="0.2">
      <c r="A2788" t="s">
        <v>2813</v>
      </c>
      <c r="B2788" t="s">
        <v>36</v>
      </c>
      <c r="C2788" t="s">
        <v>76</v>
      </c>
      <c r="D2788" t="s">
        <v>77</v>
      </c>
      <c r="E2788" s="1" t="s">
        <v>89</v>
      </c>
      <c r="F2788" t="s">
        <v>90</v>
      </c>
      <c r="G2788">
        <v>33</v>
      </c>
      <c r="H2788">
        <v>0</v>
      </c>
      <c r="I2788">
        <v>19</v>
      </c>
      <c r="J2788">
        <v>130</v>
      </c>
      <c r="K2788">
        <v>93</v>
      </c>
      <c r="L2788">
        <v>19</v>
      </c>
      <c r="M2788">
        <v>0</v>
      </c>
      <c r="N2788">
        <v>1</v>
      </c>
      <c r="O2788" s="1" t="s">
        <v>4695</v>
      </c>
      <c r="P2788">
        <v>0</v>
      </c>
      <c r="Q2788">
        <v>0</v>
      </c>
      <c r="R2788">
        <v>0</v>
      </c>
      <c r="S2788">
        <v>0</v>
      </c>
      <c r="T2788">
        <v>25.83542374</v>
      </c>
      <c r="U2788">
        <f t="shared" si="86"/>
        <v>0</v>
      </c>
      <c r="V2788">
        <f t="shared" si="87"/>
        <v>0</v>
      </c>
    </row>
    <row r="2789" spans="1:22" x14ac:dyDescent="0.2">
      <c r="A2789" t="s">
        <v>2813</v>
      </c>
      <c r="B2789" t="s">
        <v>36</v>
      </c>
      <c r="C2789" t="s">
        <v>76</v>
      </c>
      <c r="D2789" t="s">
        <v>77</v>
      </c>
      <c r="E2789" s="1" t="s">
        <v>85</v>
      </c>
      <c r="F2789" t="s">
        <v>86</v>
      </c>
      <c r="G2789">
        <v>25</v>
      </c>
      <c r="H2789">
        <v>15839847</v>
      </c>
      <c r="I2789">
        <v>157</v>
      </c>
      <c r="J2789">
        <v>31</v>
      </c>
      <c r="K2789">
        <v>86</v>
      </c>
      <c r="L2789">
        <v>-15839690</v>
      </c>
      <c r="M2789" s="1" t="s">
        <v>4696</v>
      </c>
      <c r="N2789" s="1" t="s">
        <v>4697</v>
      </c>
      <c r="O2789" s="1" t="s">
        <v>4698</v>
      </c>
      <c r="P2789">
        <v>0</v>
      </c>
      <c r="Q2789">
        <v>0</v>
      </c>
      <c r="R2789">
        <v>0</v>
      </c>
      <c r="S2789">
        <v>0</v>
      </c>
      <c r="T2789">
        <v>25.83542374</v>
      </c>
      <c r="U2789">
        <f t="shared" si="86"/>
        <v>0</v>
      </c>
      <c r="V2789">
        <f t="shared" si="87"/>
        <v>0</v>
      </c>
    </row>
    <row r="2790" spans="1:22" x14ac:dyDescent="0.2">
      <c r="A2790" t="s">
        <v>2813</v>
      </c>
      <c r="B2790" t="s">
        <v>36</v>
      </c>
      <c r="C2790" t="s">
        <v>76</v>
      </c>
      <c r="D2790" t="s">
        <v>77</v>
      </c>
      <c r="E2790" s="1" t="s">
        <v>89</v>
      </c>
      <c r="F2790" t="s">
        <v>90</v>
      </c>
      <c r="G2790">
        <v>36</v>
      </c>
      <c r="H2790">
        <v>0</v>
      </c>
      <c r="I2790">
        <v>1559</v>
      </c>
      <c r="J2790">
        <v>64</v>
      </c>
      <c r="K2790">
        <v>33</v>
      </c>
      <c r="L2790">
        <v>1559</v>
      </c>
      <c r="M2790">
        <v>0</v>
      </c>
      <c r="N2790">
        <v>1</v>
      </c>
      <c r="O2790" s="1" t="s">
        <v>4699</v>
      </c>
      <c r="P2790">
        <v>0</v>
      </c>
      <c r="Q2790">
        <v>0</v>
      </c>
      <c r="R2790">
        <v>0</v>
      </c>
      <c r="S2790">
        <v>0</v>
      </c>
      <c r="T2790">
        <v>25.83542374</v>
      </c>
      <c r="U2790">
        <f t="shared" si="86"/>
        <v>0</v>
      </c>
      <c r="V2790">
        <f t="shared" si="87"/>
        <v>0</v>
      </c>
    </row>
    <row r="2791" spans="1:22" x14ac:dyDescent="0.2">
      <c r="A2791" t="s">
        <v>2813</v>
      </c>
      <c r="B2791" t="s">
        <v>36</v>
      </c>
      <c r="C2791" t="s">
        <v>76</v>
      </c>
      <c r="D2791" t="s">
        <v>77</v>
      </c>
      <c r="E2791" s="1" t="s">
        <v>138</v>
      </c>
      <c r="F2791" t="s">
        <v>139</v>
      </c>
      <c r="G2791">
        <v>21</v>
      </c>
      <c r="H2791">
        <v>66461</v>
      </c>
      <c r="I2791">
        <v>49447</v>
      </c>
      <c r="J2791">
        <v>94</v>
      </c>
      <c r="K2791">
        <v>82</v>
      </c>
      <c r="L2791">
        <v>-17014</v>
      </c>
      <c r="M2791" s="1" t="s">
        <v>4700</v>
      </c>
      <c r="N2791" s="1" t="s">
        <v>4701</v>
      </c>
      <c r="O2791" s="1" t="s">
        <v>4702</v>
      </c>
      <c r="P2791">
        <v>0</v>
      </c>
      <c r="Q2791">
        <v>0</v>
      </c>
      <c r="R2791">
        <v>0</v>
      </c>
      <c r="S2791">
        <v>0</v>
      </c>
      <c r="T2791">
        <v>25.83542374</v>
      </c>
      <c r="U2791">
        <f t="shared" si="86"/>
        <v>0</v>
      </c>
      <c r="V2791">
        <f t="shared" si="87"/>
        <v>0</v>
      </c>
    </row>
    <row r="2792" spans="1:22" x14ac:dyDescent="0.2">
      <c r="A2792" t="s">
        <v>2898</v>
      </c>
      <c r="B2792" t="s">
        <v>37</v>
      </c>
      <c r="C2792" t="s">
        <v>76</v>
      </c>
      <c r="D2792" t="s">
        <v>77</v>
      </c>
      <c r="E2792" s="1" t="s">
        <v>89</v>
      </c>
      <c r="F2792" t="s">
        <v>90</v>
      </c>
      <c r="G2792">
        <v>31</v>
      </c>
      <c r="H2792">
        <v>2405917</v>
      </c>
      <c r="I2792">
        <v>0</v>
      </c>
      <c r="J2792">
        <v>110</v>
      </c>
      <c r="K2792">
        <v>51</v>
      </c>
      <c r="L2792">
        <v>-2405917</v>
      </c>
      <c r="M2792">
        <v>1</v>
      </c>
      <c r="N2792">
        <v>0</v>
      </c>
      <c r="O2792" s="1" t="s">
        <v>4703</v>
      </c>
      <c r="P2792">
        <v>0</v>
      </c>
      <c r="Q2792">
        <v>0</v>
      </c>
      <c r="R2792">
        <v>0</v>
      </c>
      <c r="S2792">
        <v>0</v>
      </c>
      <c r="T2792">
        <v>25.226674899999999</v>
      </c>
      <c r="U2792">
        <f t="shared" si="86"/>
        <v>0</v>
      </c>
      <c r="V2792">
        <f t="shared" si="87"/>
        <v>0</v>
      </c>
    </row>
    <row r="2793" spans="1:22" x14ac:dyDescent="0.2">
      <c r="A2793" t="s">
        <v>2898</v>
      </c>
      <c r="B2793" t="s">
        <v>37</v>
      </c>
      <c r="C2793" t="s">
        <v>76</v>
      </c>
      <c r="D2793" t="s">
        <v>77</v>
      </c>
      <c r="E2793">
        <v>99</v>
      </c>
      <c r="F2793" t="s">
        <v>78</v>
      </c>
      <c r="G2793">
        <v>99</v>
      </c>
      <c r="H2793">
        <v>13969</v>
      </c>
      <c r="I2793">
        <v>0</v>
      </c>
      <c r="J2793">
        <v>98</v>
      </c>
      <c r="K2793">
        <v>98</v>
      </c>
      <c r="L2793">
        <v>-13969</v>
      </c>
      <c r="M2793">
        <v>1</v>
      </c>
      <c r="N2793">
        <v>0</v>
      </c>
      <c r="O2793" s="1" t="s">
        <v>4704</v>
      </c>
      <c r="P2793">
        <v>0</v>
      </c>
      <c r="Q2793">
        <v>0</v>
      </c>
      <c r="R2793">
        <v>0</v>
      </c>
      <c r="S2793">
        <v>0</v>
      </c>
      <c r="T2793">
        <v>25.226674899999999</v>
      </c>
      <c r="U2793">
        <f t="shared" si="86"/>
        <v>0</v>
      </c>
      <c r="V2793">
        <f t="shared" si="87"/>
        <v>0</v>
      </c>
    </row>
    <row r="2794" spans="1:22" x14ac:dyDescent="0.2">
      <c r="A2794" t="s">
        <v>2898</v>
      </c>
      <c r="B2794" t="s">
        <v>37</v>
      </c>
      <c r="C2794" t="s">
        <v>76</v>
      </c>
      <c r="D2794" t="s">
        <v>77</v>
      </c>
      <c r="E2794" s="1" t="s">
        <v>155</v>
      </c>
      <c r="F2794" t="s">
        <v>156</v>
      </c>
      <c r="G2794" s="1" t="s">
        <v>155</v>
      </c>
      <c r="H2794">
        <v>63326</v>
      </c>
      <c r="I2794">
        <v>0</v>
      </c>
      <c r="J2794">
        <v>45</v>
      </c>
      <c r="K2794">
        <v>76</v>
      </c>
      <c r="L2794">
        <v>-63326</v>
      </c>
      <c r="M2794">
        <v>1</v>
      </c>
      <c r="N2794">
        <v>0</v>
      </c>
      <c r="O2794" s="1" t="s">
        <v>4705</v>
      </c>
      <c r="P2794">
        <v>0</v>
      </c>
      <c r="Q2794">
        <v>0</v>
      </c>
      <c r="R2794">
        <v>0</v>
      </c>
      <c r="S2794">
        <v>0</v>
      </c>
      <c r="T2794">
        <v>25.226674899999999</v>
      </c>
      <c r="U2794">
        <f t="shared" si="86"/>
        <v>0</v>
      </c>
      <c r="V2794">
        <f t="shared" si="87"/>
        <v>0</v>
      </c>
    </row>
    <row r="2795" spans="1:22" x14ac:dyDescent="0.2">
      <c r="A2795" t="s">
        <v>2898</v>
      </c>
      <c r="B2795" t="s">
        <v>37</v>
      </c>
      <c r="C2795" t="s">
        <v>76</v>
      </c>
      <c r="D2795" t="s">
        <v>77</v>
      </c>
      <c r="E2795">
        <v>12</v>
      </c>
      <c r="F2795" t="s">
        <v>194</v>
      </c>
      <c r="G2795">
        <v>64</v>
      </c>
      <c r="H2795">
        <v>462</v>
      </c>
      <c r="I2795">
        <v>0</v>
      </c>
      <c r="J2795">
        <v>109</v>
      </c>
      <c r="K2795">
        <v>94</v>
      </c>
      <c r="L2795">
        <v>-462</v>
      </c>
      <c r="M2795">
        <v>1</v>
      </c>
      <c r="N2795">
        <v>0</v>
      </c>
      <c r="O2795" s="1" t="s">
        <v>4706</v>
      </c>
      <c r="P2795">
        <v>0</v>
      </c>
      <c r="Q2795">
        <v>0</v>
      </c>
      <c r="R2795">
        <v>0</v>
      </c>
      <c r="S2795">
        <v>0</v>
      </c>
      <c r="T2795">
        <v>25.226674899999999</v>
      </c>
      <c r="U2795">
        <f t="shared" si="86"/>
        <v>0</v>
      </c>
      <c r="V2795">
        <f t="shared" si="87"/>
        <v>0</v>
      </c>
    </row>
    <row r="2796" spans="1:22" x14ac:dyDescent="0.2">
      <c r="A2796" t="s">
        <v>2898</v>
      </c>
      <c r="B2796" t="s">
        <v>37</v>
      </c>
      <c r="C2796" t="s">
        <v>76</v>
      </c>
      <c r="D2796" t="s">
        <v>77</v>
      </c>
      <c r="E2796" s="1" t="s">
        <v>99</v>
      </c>
      <c r="F2796" t="s">
        <v>100</v>
      </c>
      <c r="G2796">
        <v>39</v>
      </c>
      <c r="H2796">
        <v>23349</v>
      </c>
      <c r="I2796">
        <v>0</v>
      </c>
      <c r="J2796">
        <v>122</v>
      </c>
      <c r="K2796">
        <v>109</v>
      </c>
      <c r="L2796">
        <v>-23349</v>
      </c>
      <c r="M2796">
        <v>1</v>
      </c>
      <c r="N2796">
        <v>0</v>
      </c>
      <c r="O2796" s="1" t="s">
        <v>4707</v>
      </c>
      <c r="P2796">
        <v>0</v>
      </c>
      <c r="Q2796">
        <v>0</v>
      </c>
      <c r="R2796">
        <v>0</v>
      </c>
      <c r="S2796">
        <v>0</v>
      </c>
      <c r="T2796">
        <v>25.226674899999999</v>
      </c>
      <c r="U2796">
        <f t="shared" si="86"/>
        <v>0</v>
      </c>
      <c r="V2796">
        <f t="shared" si="87"/>
        <v>0</v>
      </c>
    </row>
    <row r="2797" spans="1:22" x14ac:dyDescent="0.2">
      <c r="A2797" t="s">
        <v>2898</v>
      </c>
      <c r="B2797" t="s">
        <v>37</v>
      </c>
      <c r="C2797" t="s">
        <v>76</v>
      </c>
      <c r="D2797" t="s">
        <v>77</v>
      </c>
      <c r="E2797">
        <v>20</v>
      </c>
      <c r="F2797" t="s">
        <v>104</v>
      </c>
      <c r="G2797">
        <v>95</v>
      </c>
      <c r="H2797">
        <v>85</v>
      </c>
      <c r="I2797">
        <v>363</v>
      </c>
      <c r="J2797">
        <v>128</v>
      </c>
      <c r="K2797">
        <v>84</v>
      </c>
      <c r="L2797">
        <v>278</v>
      </c>
      <c r="M2797" s="1" t="s">
        <v>4708</v>
      </c>
      <c r="N2797" s="1" t="s">
        <v>4709</v>
      </c>
      <c r="O2797" s="1" t="s">
        <v>4710</v>
      </c>
      <c r="P2797">
        <v>0</v>
      </c>
      <c r="Q2797">
        <v>0</v>
      </c>
      <c r="R2797">
        <v>0</v>
      </c>
      <c r="S2797">
        <v>0</v>
      </c>
      <c r="T2797">
        <v>25.226674899999999</v>
      </c>
      <c r="U2797">
        <f t="shared" si="86"/>
        <v>0</v>
      </c>
      <c r="V2797">
        <f t="shared" si="87"/>
        <v>0</v>
      </c>
    </row>
    <row r="2798" spans="1:22" x14ac:dyDescent="0.2">
      <c r="A2798" t="s">
        <v>2898</v>
      </c>
      <c r="B2798" t="s">
        <v>37</v>
      </c>
      <c r="C2798" t="s">
        <v>76</v>
      </c>
      <c r="D2798" t="s">
        <v>77</v>
      </c>
      <c r="E2798" s="1" t="s">
        <v>89</v>
      </c>
      <c r="F2798" t="s">
        <v>90</v>
      </c>
      <c r="G2798">
        <v>32</v>
      </c>
      <c r="H2798">
        <v>325</v>
      </c>
      <c r="I2798">
        <v>0</v>
      </c>
      <c r="J2798">
        <v>121</v>
      </c>
      <c r="K2798">
        <v>80</v>
      </c>
      <c r="L2798">
        <v>-325</v>
      </c>
      <c r="M2798">
        <v>1</v>
      </c>
      <c r="N2798">
        <v>0</v>
      </c>
      <c r="O2798" s="1" t="s">
        <v>4711</v>
      </c>
      <c r="P2798">
        <v>0</v>
      </c>
      <c r="Q2798">
        <v>0</v>
      </c>
      <c r="R2798">
        <v>0</v>
      </c>
      <c r="S2798">
        <v>0</v>
      </c>
      <c r="T2798">
        <v>25.226674899999999</v>
      </c>
      <c r="U2798">
        <f t="shared" si="86"/>
        <v>0</v>
      </c>
      <c r="V2798">
        <f t="shared" si="87"/>
        <v>0</v>
      </c>
    </row>
    <row r="2799" spans="1:22" x14ac:dyDescent="0.2">
      <c r="A2799" t="s">
        <v>2898</v>
      </c>
      <c r="B2799" t="s">
        <v>37</v>
      </c>
      <c r="C2799" t="s">
        <v>76</v>
      </c>
      <c r="D2799" t="s">
        <v>77</v>
      </c>
      <c r="E2799" s="1" t="s">
        <v>163</v>
      </c>
      <c r="F2799" t="s">
        <v>224</v>
      </c>
      <c r="G2799">
        <v>42</v>
      </c>
      <c r="H2799">
        <v>1583</v>
      </c>
      <c r="I2799">
        <v>10789</v>
      </c>
      <c r="J2799">
        <v>95</v>
      </c>
      <c r="K2799">
        <v>68</v>
      </c>
      <c r="L2799">
        <v>9206</v>
      </c>
      <c r="M2799" s="1" t="s">
        <v>4712</v>
      </c>
      <c r="N2799" s="1" t="s">
        <v>4713</v>
      </c>
      <c r="O2799" s="1" t="s">
        <v>4714</v>
      </c>
      <c r="P2799">
        <v>0</v>
      </c>
      <c r="Q2799">
        <v>0</v>
      </c>
      <c r="R2799">
        <v>0</v>
      </c>
      <c r="S2799">
        <v>0</v>
      </c>
      <c r="T2799">
        <v>25.226674899999999</v>
      </c>
      <c r="U2799">
        <f t="shared" si="86"/>
        <v>0</v>
      </c>
      <c r="V2799">
        <f t="shared" si="87"/>
        <v>0</v>
      </c>
    </row>
    <row r="2800" spans="1:22" x14ac:dyDescent="0.2">
      <c r="A2800" t="s">
        <v>2898</v>
      </c>
      <c r="B2800" t="s">
        <v>37</v>
      </c>
      <c r="C2800" t="s">
        <v>76</v>
      </c>
      <c r="D2800" t="s">
        <v>77</v>
      </c>
      <c r="E2800" s="1" t="s">
        <v>138</v>
      </c>
      <c r="F2800" t="s">
        <v>139</v>
      </c>
      <c r="G2800">
        <v>23</v>
      </c>
      <c r="H2800">
        <v>0</v>
      </c>
      <c r="I2800">
        <v>1537</v>
      </c>
      <c r="J2800">
        <v>95</v>
      </c>
      <c r="K2800">
        <v>60</v>
      </c>
      <c r="L2800">
        <v>1537</v>
      </c>
      <c r="M2800">
        <v>0</v>
      </c>
      <c r="N2800">
        <v>1</v>
      </c>
      <c r="O2800" s="1" t="s">
        <v>4715</v>
      </c>
      <c r="P2800">
        <v>0</v>
      </c>
      <c r="Q2800">
        <v>0</v>
      </c>
      <c r="R2800">
        <v>0</v>
      </c>
      <c r="S2800">
        <v>0</v>
      </c>
      <c r="T2800">
        <v>25.226674899999999</v>
      </c>
      <c r="U2800">
        <f t="shared" si="86"/>
        <v>0</v>
      </c>
      <c r="V2800">
        <f t="shared" si="87"/>
        <v>0</v>
      </c>
    </row>
    <row r="2801" spans="1:22" x14ac:dyDescent="0.2">
      <c r="A2801" t="s">
        <v>2948</v>
      </c>
      <c r="B2801" t="s">
        <v>38</v>
      </c>
      <c r="C2801" t="s">
        <v>76</v>
      </c>
      <c r="D2801" t="s">
        <v>77</v>
      </c>
      <c r="E2801" s="1" t="s">
        <v>110</v>
      </c>
      <c r="F2801" t="s">
        <v>111</v>
      </c>
      <c r="G2801">
        <v>15</v>
      </c>
      <c r="H2801">
        <v>1255251</v>
      </c>
      <c r="I2801">
        <v>0</v>
      </c>
      <c r="J2801">
        <v>62</v>
      </c>
      <c r="K2801">
        <v>86</v>
      </c>
      <c r="L2801">
        <v>-1255251</v>
      </c>
      <c r="M2801">
        <v>1</v>
      </c>
      <c r="N2801">
        <v>0</v>
      </c>
      <c r="O2801">
        <v>3.7136950467356201E-3</v>
      </c>
      <c r="P2801">
        <v>0</v>
      </c>
      <c r="Q2801">
        <v>0</v>
      </c>
      <c r="R2801">
        <v>0</v>
      </c>
      <c r="S2801">
        <v>0</v>
      </c>
      <c r="T2801">
        <v>71.887944790000006</v>
      </c>
      <c r="U2801">
        <f t="shared" si="86"/>
        <v>0</v>
      </c>
      <c r="V2801">
        <f t="shared" si="87"/>
        <v>0</v>
      </c>
    </row>
    <row r="2802" spans="1:22" x14ac:dyDescent="0.2">
      <c r="A2802" t="s">
        <v>2948</v>
      </c>
      <c r="B2802" t="s">
        <v>38</v>
      </c>
      <c r="C2802" t="s">
        <v>76</v>
      </c>
      <c r="D2802" t="s">
        <v>77</v>
      </c>
      <c r="E2802" s="1" t="s">
        <v>82</v>
      </c>
      <c r="F2802" t="s">
        <v>83</v>
      </c>
      <c r="G2802">
        <v>11</v>
      </c>
      <c r="H2802">
        <v>760310</v>
      </c>
      <c r="I2802">
        <v>0</v>
      </c>
      <c r="J2802">
        <v>48</v>
      </c>
      <c r="K2802">
        <v>71</v>
      </c>
      <c r="L2802">
        <v>-760310</v>
      </c>
      <c r="M2802">
        <v>1</v>
      </c>
      <c r="N2802">
        <v>0</v>
      </c>
      <c r="O2802">
        <v>2.2493983123562998E-3</v>
      </c>
      <c r="P2802">
        <v>0</v>
      </c>
      <c r="Q2802">
        <v>0</v>
      </c>
      <c r="R2802">
        <v>0</v>
      </c>
      <c r="S2802">
        <v>0</v>
      </c>
      <c r="T2802">
        <v>71.887944790000006</v>
      </c>
      <c r="U2802">
        <f t="shared" si="86"/>
        <v>0</v>
      </c>
      <c r="V2802">
        <f t="shared" si="87"/>
        <v>0</v>
      </c>
    </row>
    <row r="2803" spans="1:22" x14ac:dyDescent="0.2">
      <c r="A2803" t="s">
        <v>2948</v>
      </c>
      <c r="B2803" t="s">
        <v>38</v>
      </c>
      <c r="C2803" t="s">
        <v>76</v>
      </c>
      <c r="D2803" t="s">
        <v>77</v>
      </c>
      <c r="E2803" s="1" t="s">
        <v>85</v>
      </c>
      <c r="F2803" t="s">
        <v>86</v>
      </c>
      <c r="G2803">
        <v>25</v>
      </c>
      <c r="H2803">
        <v>562037</v>
      </c>
      <c r="I2803">
        <v>28</v>
      </c>
      <c r="J2803">
        <v>80</v>
      </c>
      <c r="K2803">
        <v>90</v>
      </c>
      <c r="L2803">
        <v>-562009</v>
      </c>
      <c r="M2803">
        <v>0.99995018369761501</v>
      </c>
      <c r="N2803" s="1" t="s">
        <v>4716</v>
      </c>
      <c r="O2803">
        <v>1.6628849580231E-3</v>
      </c>
      <c r="P2803">
        <v>0</v>
      </c>
      <c r="Q2803">
        <v>0</v>
      </c>
      <c r="R2803">
        <v>0</v>
      </c>
      <c r="S2803">
        <v>0</v>
      </c>
      <c r="T2803">
        <v>71.887944790000006</v>
      </c>
      <c r="U2803">
        <f t="shared" si="86"/>
        <v>0</v>
      </c>
      <c r="V2803">
        <f t="shared" si="87"/>
        <v>0</v>
      </c>
    </row>
    <row r="2804" spans="1:22" x14ac:dyDescent="0.2">
      <c r="A2804" t="s">
        <v>2948</v>
      </c>
      <c r="B2804" t="s">
        <v>38</v>
      </c>
      <c r="C2804" t="s">
        <v>76</v>
      </c>
      <c r="D2804" t="s">
        <v>77</v>
      </c>
      <c r="E2804" s="1" t="s">
        <v>85</v>
      </c>
      <c r="F2804" t="s">
        <v>86</v>
      </c>
      <c r="G2804">
        <v>27</v>
      </c>
      <c r="H2804">
        <v>93165</v>
      </c>
      <c r="I2804">
        <v>4277</v>
      </c>
      <c r="J2804">
        <v>128</v>
      </c>
      <c r="K2804">
        <v>84</v>
      </c>
      <c r="L2804">
        <v>-88888</v>
      </c>
      <c r="M2804" s="1" t="s">
        <v>4717</v>
      </c>
      <c r="N2804">
        <v>4.3892777241846398E-2</v>
      </c>
      <c r="O2804" s="1" t="s">
        <v>4718</v>
      </c>
      <c r="P2804">
        <v>0</v>
      </c>
      <c r="Q2804">
        <v>0</v>
      </c>
      <c r="R2804">
        <v>0</v>
      </c>
      <c r="S2804">
        <v>0</v>
      </c>
      <c r="T2804">
        <v>71.887944790000006</v>
      </c>
      <c r="U2804">
        <f t="shared" si="86"/>
        <v>0</v>
      </c>
      <c r="V2804">
        <f t="shared" si="87"/>
        <v>0</v>
      </c>
    </row>
    <row r="2805" spans="1:22" x14ac:dyDescent="0.2">
      <c r="A2805" t="s">
        <v>2948</v>
      </c>
      <c r="B2805" t="s">
        <v>38</v>
      </c>
      <c r="C2805" t="s">
        <v>76</v>
      </c>
      <c r="D2805" t="s">
        <v>77</v>
      </c>
      <c r="E2805">
        <v>12</v>
      </c>
      <c r="F2805" t="s">
        <v>194</v>
      </c>
      <c r="G2805">
        <v>66</v>
      </c>
      <c r="H2805">
        <v>527</v>
      </c>
      <c r="I2805">
        <v>0</v>
      </c>
      <c r="J2805">
        <v>44</v>
      </c>
      <c r="K2805">
        <v>57</v>
      </c>
      <c r="L2805">
        <v>-527</v>
      </c>
      <c r="M2805">
        <v>1</v>
      </c>
      <c r="N2805">
        <v>0</v>
      </c>
      <c r="O2805" s="1" t="s">
        <v>4719</v>
      </c>
      <c r="P2805">
        <v>0</v>
      </c>
      <c r="Q2805">
        <v>0</v>
      </c>
      <c r="R2805">
        <v>0</v>
      </c>
      <c r="S2805">
        <v>0</v>
      </c>
      <c r="T2805">
        <v>71.887944790000006</v>
      </c>
      <c r="U2805">
        <f t="shared" si="86"/>
        <v>0</v>
      </c>
      <c r="V2805">
        <f t="shared" si="87"/>
        <v>0</v>
      </c>
    </row>
    <row r="2806" spans="1:22" x14ac:dyDescent="0.2">
      <c r="A2806" t="s">
        <v>2948</v>
      </c>
      <c r="B2806" t="s">
        <v>38</v>
      </c>
      <c r="C2806" t="s">
        <v>76</v>
      </c>
      <c r="D2806" t="s">
        <v>77</v>
      </c>
      <c r="E2806" s="1" t="s">
        <v>155</v>
      </c>
      <c r="F2806" t="s">
        <v>156</v>
      </c>
      <c r="G2806" s="1" t="s">
        <v>155</v>
      </c>
      <c r="H2806">
        <v>0</v>
      </c>
      <c r="I2806">
        <v>50</v>
      </c>
      <c r="J2806">
        <v>88</v>
      </c>
      <c r="K2806">
        <v>75</v>
      </c>
      <c r="L2806">
        <v>50</v>
      </c>
      <c r="M2806">
        <v>0</v>
      </c>
      <c r="N2806">
        <v>1</v>
      </c>
      <c r="O2806" s="1" t="s">
        <v>4720</v>
      </c>
      <c r="P2806">
        <v>0</v>
      </c>
      <c r="Q2806">
        <v>0</v>
      </c>
      <c r="R2806">
        <v>0</v>
      </c>
      <c r="S2806">
        <v>0</v>
      </c>
      <c r="T2806">
        <v>71.887944790000006</v>
      </c>
      <c r="U2806">
        <f t="shared" si="86"/>
        <v>0</v>
      </c>
      <c r="V2806">
        <f t="shared" si="87"/>
        <v>0</v>
      </c>
    </row>
    <row r="2807" spans="1:22" x14ac:dyDescent="0.2">
      <c r="A2807" t="s">
        <v>2948</v>
      </c>
      <c r="B2807" t="s">
        <v>38</v>
      </c>
      <c r="C2807" t="s">
        <v>76</v>
      </c>
      <c r="D2807" t="s">
        <v>77</v>
      </c>
      <c r="E2807">
        <v>17</v>
      </c>
      <c r="F2807" t="s">
        <v>97</v>
      </c>
      <c r="G2807">
        <v>88</v>
      </c>
      <c r="H2807">
        <v>0</v>
      </c>
      <c r="I2807">
        <v>10600</v>
      </c>
      <c r="J2807">
        <v>105</v>
      </c>
      <c r="K2807">
        <v>74</v>
      </c>
      <c r="L2807">
        <v>10600</v>
      </c>
      <c r="M2807">
        <v>0</v>
      </c>
      <c r="N2807">
        <v>1</v>
      </c>
      <c r="O2807" s="1" t="s">
        <v>4721</v>
      </c>
      <c r="P2807">
        <v>0</v>
      </c>
      <c r="Q2807">
        <v>0</v>
      </c>
      <c r="R2807">
        <v>0</v>
      </c>
      <c r="S2807">
        <v>0</v>
      </c>
      <c r="T2807">
        <v>71.887944790000006</v>
      </c>
      <c r="U2807">
        <f t="shared" si="86"/>
        <v>0</v>
      </c>
      <c r="V2807">
        <f t="shared" si="87"/>
        <v>0</v>
      </c>
    </row>
    <row r="2808" spans="1:22" x14ac:dyDescent="0.2">
      <c r="A2808" t="s">
        <v>2948</v>
      </c>
      <c r="B2808" t="s">
        <v>38</v>
      </c>
      <c r="C2808" t="s">
        <v>76</v>
      </c>
      <c r="D2808" t="s">
        <v>77</v>
      </c>
      <c r="E2808" s="1" t="s">
        <v>155</v>
      </c>
      <c r="F2808" t="s">
        <v>156</v>
      </c>
      <c r="G2808" s="1" t="s">
        <v>110</v>
      </c>
      <c r="H2808">
        <v>0</v>
      </c>
      <c r="I2808">
        <v>11142757</v>
      </c>
      <c r="J2808">
        <v>108</v>
      </c>
      <c r="K2808">
        <v>24</v>
      </c>
      <c r="L2808">
        <v>11142757</v>
      </c>
      <c r="M2808">
        <v>0</v>
      </c>
      <c r="N2808">
        <v>1</v>
      </c>
      <c r="O2808">
        <v>3.2966156950186599E-2</v>
      </c>
      <c r="P2808">
        <v>0</v>
      </c>
      <c r="Q2808">
        <v>0</v>
      </c>
      <c r="R2808">
        <v>0</v>
      </c>
      <c r="S2808">
        <v>0</v>
      </c>
      <c r="T2808">
        <v>71.887944790000006</v>
      </c>
      <c r="U2808">
        <f t="shared" si="86"/>
        <v>0</v>
      </c>
      <c r="V2808">
        <f t="shared" si="87"/>
        <v>0</v>
      </c>
    </row>
    <row r="2809" spans="1:22" x14ac:dyDescent="0.2">
      <c r="A2809" t="s">
        <v>2999</v>
      </c>
      <c r="B2809" t="s">
        <v>39</v>
      </c>
      <c r="C2809" t="s">
        <v>76</v>
      </c>
      <c r="D2809" t="s">
        <v>77</v>
      </c>
      <c r="E2809" s="1" t="s">
        <v>82</v>
      </c>
      <c r="F2809" t="s">
        <v>83</v>
      </c>
      <c r="G2809">
        <v>10</v>
      </c>
      <c r="H2809">
        <v>435200</v>
      </c>
      <c r="I2809">
        <v>0</v>
      </c>
      <c r="J2809">
        <v>110</v>
      </c>
      <c r="K2809">
        <v>65</v>
      </c>
      <c r="L2809">
        <v>-435200</v>
      </c>
      <c r="M2809">
        <v>1</v>
      </c>
      <c r="N2809">
        <v>0</v>
      </c>
      <c r="O2809">
        <v>2.13223053116008E-2</v>
      </c>
      <c r="P2809">
        <v>0</v>
      </c>
      <c r="Q2809">
        <v>0</v>
      </c>
      <c r="R2809">
        <v>0</v>
      </c>
      <c r="S2809">
        <v>0</v>
      </c>
      <c r="T2809">
        <v>123.159243</v>
      </c>
      <c r="U2809">
        <f t="shared" si="86"/>
        <v>0</v>
      </c>
      <c r="V2809">
        <f t="shared" si="87"/>
        <v>0</v>
      </c>
    </row>
    <row r="2810" spans="1:22" x14ac:dyDescent="0.2">
      <c r="A2810" t="s">
        <v>2999</v>
      </c>
      <c r="B2810" t="s">
        <v>39</v>
      </c>
      <c r="C2810" t="s">
        <v>76</v>
      </c>
      <c r="D2810" t="s">
        <v>77</v>
      </c>
      <c r="E2810" s="1" t="s">
        <v>89</v>
      </c>
      <c r="F2810" t="s">
        <v>90</v>
      </c>
      <c r="G2810">
        <v>30</v>
      </c>
      <c r="H2810">
        <v>3447631</v>
      </c>
      <c r="I2810">
        <v>0</v>
      </c>
      <c r="J2810">
        <v>42</v>
      </c>
      <c r="K2810">
        <v>91</v>
      </c>
      <c r="L2810">
        <v>-3447631</v>
      </c>
      <c r="M2810">
        <v>1</v>
      </c>
      <c r="N2810">
        <v>0</v>
      </c>
      <c r="O2810" s="1" t="s">
        <v>4722</v>
      </c>
      <c r="P2810">
        <v>0</v>
      </c>
      <c r="Q2810">
        <v>0</v>
      </c>
      <c r="R2810">
        <v>0</v>
      </c>
      <c r="S2810">
        <v>0</v>
      </c>
      <c r="T2810">
        <v>123.159243</v>
      </c>
      <c r="U2810">
        <f t="shared" si="86"/>
        <v>0</v>
      </c>
      <c r="V2810">
        <f t="shared" si="87"/>
        <v>0</v>
      </c>
    </row>
    <row r="2811" spans="1:22" x14ac:dyDescent="0.2">
      <c r="A2811" t="s">
        <v>2999</v>
      </c>
      <c r="B2811" t="s">
        <v>39</v>
      </c>
      <c r="C2811" t="s">
        <v>76</v>
      </c>
      <c r="D2811" t="s">
        <v>77</v>
      </c>
      <c r="E2811">
        <v>20</v>
      </c>
      <c r="F2811" t="s">
        <v>104</v>
      </c>
      <c r="G2811">
        <v>96</v>
      </c>
      <c r="H2811">
        <v>1019</v>
      </c>
      <c r="I2811">
        <v>0</v>
      </c>
      <c r="J2811">
        <v>99</v>
      </c>
      <c r="K2811">
        <v>90</v>
      </c>
      <c r="L2811">
        <v>-1019</v>
      </c>
      <c r="M2811">
        <v>1</v>
      </c>
      <c r="N2811">
        <v>0</v>
      </c>
      <c r="O2811" s="1" t="s">
        <v>4723</v>
      </c>
      <c r="P2811">
        <v>0</v>
      </c>
      <c r="Q2811">
        <v>0</v>
      </c>
      <c r="R2811">
        <v>0</v>
      </c>
      <c r="S2811">
        <v>0</v>
      </c>
      <c r="T2811">
        <v>123.159243</v>
      </c>
      <c r="U2811">
        <f t="shared" si="86"/>
        <v>0</v>
      </c>
      <c r="V2811">
        <f t="shared" si="87"/>
        <v>0</v>
      </c>
    </row>
    <row r="2812" spans="1:22" x14ac:dyDescent="0.2">
      <c r="A2812" t="s">
        <v>2999</v>
      </c>
      <c r="B2812" t="s">
        <v>39</v>
      </c>
      <c r="C2812" t="s">
        <v>76</v>
      </c>
      <c r="D2812" t="s">
        <v>77</v>
      </c>
      <c r="E2812" s="1" t="s">
        <v>99</v>
      </c>
      <c r="F2812" t="s">
        <v>100</v>
      </c>
      <c r="G2812">
        <v>40</v>
      </c>
      <c r="H2812">
        <v>4690</v>
      </c>
      <c r="I2812">
        <v>0</v>
      </c>
      <c r="J2812">
        <v>131</v>
      </c>
      <c r="K2812">
        <v>97</v>
      </c>
      <c r="L2812">
        <v>-4690</v>
      </c>
      <c r="M2812">
        <v>1</v>
      </c>
      <c r="N2812">
        <v>0</v>
      </c>
      <c r="O2812" s="1" t="s">
        <v>4724</v>
      </c>
      <c r="P2812">
        <v>0</v>
      </c>
      <c r="Q2812">
        <v>0</v>
      </c>
      <c r="R2812">
        <v>0</v>
      </c>
      <c r="S2812">
        <v>0</v>
      </c>
      <c r="T2812">
        <v>123.159243</v>
      </c>
      <c r="U2812">
        <f t="shared" si="86"/>
        <v>0</v>
      </c>
      <c r="V2812">
        <f t="shared" si="87"/>
        <v>0</v>
      </c>
    </row>
    <row r="2813" spans="1:22" x14ac:dyDescent="0.2">
      <c r="A2813" t="s">
        <v>2999</v>
      </c>
      <c r="B2813" t="s">
        <v>39</v>
      </c>
      <c r="C2813" t="s">
        <v>76</v>
      </c>
      <c r="D2813" t="s">
        <v>77</v>
      </c>
      <c r="E2813">
        <v>18</v>
      </c>
      <c r="F2813" t="s">
        <v>147</v>
      </c>
      <c r="G2813">
        <v>92</v>
      </c>
      <c r="H2813">
        <v>416</v>
      </c>
      <c r="I2813">
        <v>0</v>
      </c>
      <c r="J2813">
        <v>82</v>
      </c>
      <c r="K2813">
        <v>66</v>
      </c>
      <c r="L2813">
        <v>-416</v>
      </c>
      <c r="M2813">
        <v>1</v>
      </c>
      <c r="N2813">
        <v>0</v>
      </c>
      <c r="O2813" s="1" t="s">
        <v>4725</v>
      </c>
      <c r="P2813">
        <v>0</v>
      </c>
      <c r="Q2813">
        <v>0</v>
      </c>
      <c r="R2813">
        <v>0</v>
      </c>
      <c r="S2813">
        <v>0</v>
      </c>
      <c r="T2813">
        <v>123.159243</v>
      </c>
      <c r="U2813">
        <f t="shared" si="86"/>
        <v>0</v>
      </c>
      <c r="V2813">
        <f t="shared" si="87"/>
        <v>0</v>
      </c>
    </row>
    <row r="2814" spans="1:22" x14ac:dyDescent="0.2">
      <c r="A2814" t="s">
        <v>2999</v>
      </c>
      <c r="B2814" t="s">
        <v>39</v>
      </c>
      <c r="C2814" t="s">
        <v>76</v>
      </c>
      <c r="D2814" t="s">
        <v>77</v>
      </c>
      <c r="E2814" s="1" t="s">
        <v>155</v>
      </c>
      <c r="F2814" t="s">
        <v>156</v>
      </c>
      <c r="G2814" s="1" t="s">
        <v>138</v>
      </c>
      <c r="H2814">
        <v>314</v>
      </c>
      <c r="I2814">
        <v>0</v>
      </c>
      <c r="J2814">
        <v>62</v>
      </c>
      <c r="K2814">
        <v>75</v>
      </c>
      <c r="L2814">
        <v>-314</v>
      </c>
      <c r="M2814">
        <v>1</v>
      </c>
      <c r="N2814">
        <v>0</v>
      </c>
      <c r="O2814" s="1" t="s">
        <v>4726</v>
      </c>
      <c r="P2814">
        <v>0</v>
      </c>
      <c r="Q2814">
        <v>0</v>
      </c>
      <c r="R2814">
        <v>0</v>
      </c>
      <c r="S2814">
        <v>0</v>
      </c>
      <c r="T2814">
        <v>123.159243</v>
      </c>
      <c r="U2814">
        <f t="shared" si="86"/>
        <v>0</v>
      </c>
      <c r="V2814">
        <f t="shared" si="87"/>
        <v>0</v>
      </c>
    </row>
    <row r="2815" spans="1:22" x14ac:dyDescent="0.2">
      <c r="A2815" t="s">
        <v>2999</v>
      </c>
      <c r="B2815" t="s">
        <v>39</v>
      </c>
      <c r="C2815" t="s">
        <v>76</v>
      </c>
      <c r="D2815" t="s">
        <v>77</v>
      </c>
      <c r="E2815">
        <v>13</v>
      </c>
      <c r="F2815" t="s">
        <v>91</v>
      </c>
      <c r="G2815">
        <v>70</v>
      </c>
      <c r="H2815">
        <v>240</v>
      </c>
      <c r="I2815">
        <v>0</v>
      </c>
      <c r="J2815">
        <v>129</v>
      </c>
      <c r="K2815">
        <v>88</v>
      </c>
      <c r="L2815">
        <v>-240</v>
      </c>
      <c r="M2815">
        <v>1</v>
      </c>
      <c r="N2815">
        <v>0</v>
      </c>
      <c r="O2815" s="1" t="s">
        <v>4727</v>
      </c>
      <c r="P2815">
        <v>0</v>
      </c>
      <c r="Q2815">
        <v>0</v>
      </c>
      <c r="R2815">
        <v>0</v>
      </c>
      <c r="S2815">
        <v>0</v>
      </c>
      <c r="T2815">
        <v>123.159243</v>
      </c>
      <c r="U2815">
        <f t="shared" si="86"/>
        <v>0</v>
      </c>
      <c r="V2815">
        <f t="shared" si="87"/>
        <v>0</v>
      </c>
    </row>
    <row r="2816" spans="1:22" x14ac:dyDescent="0.2">
      <c r="A2816" t="s">
        <v>3011</v>
      </c>
      <c r="B2816" t="s">
        <v>40</v>
      </c>
      <c r="C2816" t="s">
        <v>76</v>
      </c>
      <c r="D2816" t="s">
        <v>77</v>
      </c>
      <c r="E2816" s="1" t="s">
        <v>138</v>
      </c>
      <c r="F2816" t="s">
        <v>139</v>
      </c>
      <c r="G2816">
        <v>23</v>
      </c>
      <c r="H2816">
        <v>672327</v>
      </c>
      <c r="I2816">
        <v>0</v>
      </c>
      <c r="J2816">
        <v>57</v>
      </c>
      <c r="K2816">
        <v>61</v>
      </c>
      <c r="L2816">
        <v>-672327</v>
      </c>
      <c r="M2816">
        <v>1</v>
      </c>
      <c r="N2816">
        <v>0</v>
      </c>
      <c r="O2816" s="1" t="s">
        <v>4728</v>
      </c>
      <c r="P2816">
        <v>0</v>
      </c>
      <c r="Q2816">
        <v>0</v>
      </c>
      <c r="R2816">
        <v>0</v>
      </c>
      <c r="S2816">
        <v>0</v>
      </c>
      <c r="T2816">
        <v>12.30838397</v>
      </c>
      <c r="U2816">
        <f t="shared" si="86"/>
        <v>0</v>
      </c>
      <c r="V2816">
        <f t="shared" si="87"/>
        <v>0</v>
      </c>
    </row>
    <row r="2817" spans="1:22" x14ac:dyDescent="0.2">
      <c r="A2817" t="s">
        <v>3011</v>
      </c>
      <c r="B2817" t="s">
        <v>40</v>
      </c>
      <c r="C2817" t="s">
        <v>76</v>
      </c>
      <c r="D2817" t="s">
        <v>77</v>
      </c>
      <c r="E2817">
        <v>20</v>
      </c>
      <c r="F2817" t="s">
        <v>104</v>
      </c>
      <c r="G2817">
        <v>94</v>
      </c>
      <c r="H2817">
        <v>1399</v>
      </c>
      <c r="I2817">
        <v>0</v>
      </c>
      <c r="J2817">
        <v>127</v>
      </c>
      <c r="K2817">
        <v>103</v>
      </c>
      <c r="L2817">
        <v>-1399</v>
      </c>
      <c r="M2817">
        <v>1</v>
      </c>
      <c r="N2817">
        <v>0</v>
      </c>
      <c r="O2817" s="1" t="s">
        <v>4729</v>
      </c>
      <c r="P2817">
        <v>0</v>
      </c>
      <c r="Q2817">
        <v>0</v>
      </c>
      <c r="R2817">
        <v>0</v>
      </c>
      <c r="S2817">
        <v>0</v>
      </c>
      <c r="T2817">
        <v>12.30838397</v>
      </c>
      <c r="U2817">
        <f t="shared" si="86"/>
        <v>0</v>
      </c>
      <c r="V2817">
        <f t="shared" si="87"/>
        <v>0</v>
      </c>
    </row>
    <row r="2818" spans="1:22" x14ac:dyDescent="0.2">
      <c r="A2818" t="s">
        <v>3011</v>
      </c>
      <c r="B2818" t="s">
        <v>40</v>
      </c>
      <c r="C2818" t="s">
        <v>76</v>
      </c>
      <c r="D2818" t="s">
        <v>77</v>
      </c>
      <c r="E2818">
        <v>21</v>
      </c>
      <c r="F2818" t="s">
        <v>212</v>
      </c>
      <c r="G2818">
        <v>97</v>
      </c>
      <c r="H2818">
        <v>173</v>
      </c>
      <c r="I2818">
        <v>0</v>
      </c>
      <c r="J2818">
        <v>92</v>
      </c>
      <c r="K2818">
        <v>90</v>
      </c>
      <c r="L2818">
        <v>-173</v>
      </c>
      <c r="M2818">
        <v>1</v>
      </c>
      <c r="N2818">
        <v>0</v>
      </c>
      <c r="O2818" s="1" t="s">
        <v>4730</v>
      </c>
      <c r="P2818">
        <v>0</v>
      </c>
      <c r="Q2818">
        <v>0</v>
      </c>
      <c r="R2818">
        <v>0</v>
      </c>
      <c r="S2818">
        <v>0</v>
      </c>
      <c r="T2818">
        <v>12.30838397</v>
      </c>
      <c r="U2818">
        <f t="shared" si="86"/>
        <v>0</v>
      </c>
      <c r="V2818">
        <f t="shared" si="87"/>
        <v>0</v>
      </c>
    </row>
    <row r="2819" spans="1:22" x14ac:dyDescent="0.2">
      <c r="A2819" t="s">
        <v>3011</v>
      </c>
      <c r="B2819" t="s">
        <v>40</v>
      </c>
      <c r="C2819" t="s">
        <v>76</v>
      </c>
      <c r="D2819" t="s">
        <v>77</v>
      </c>
      <c r="E2819">
        <v>11</v>
      </c>
      <c r="F2819" t="s">
        <v>127</v>
      </c>
      <c r="G2819">
        <v>61</v>
      </c>
      <c r="H2819">
        <v>574</v>
      </c>
      <c r="I2819">
        <v>0</v>
      </c>
      <c r="J2819">
        <v>110</v>
      </c>
      <c r="K2819">
        <v>104</v>
      </c>
      <c r="L2819">
        <v>-574</v>
      </c>
      <c r="M2819">
        <v>1</v>
      </c>
      <c r="N2819">
        <v>0</v>
      </c>
      <c r="O2819" s="1" t="s">
        <v>4731</v>
      </c>
      <c r="P2819">
        <v>0</v>
      </c>
      <c r="Q2819">
        <v>0</v>
      </c>
      <c r="R2819">
        <v>0</v>
      </c>
      <c r="S2819">
        <v>0</v>
      </c>
      <c r="T2819">
        <v>12.30838397</v>
      </c>
      <c r="U2819">
        <f t="shared" ref="U2819:U2882" si="88">IF(OR(P2819=1,Q2819=1),1,0)</f>
        <v>0</v>
      </c>
      <c r="V2819">
        <f t="shared" ref="V2819:V2882" si="89">IF(OR(R2819=1,S2819=1),1,0)</f>
        <v>0</v>
      </c>
    </row>
    <row r="2820" spans="1:22" x14ac:dyDescent="0.2">
      <c r="A2820" t="s">
        <v>3011</v>
      </c>
      <c r="B2820" t="s">
        <v>40</v>
      </c>
      <c r="C2820" t="s">
        <v>76</v>
      </c>
      <c r="D2820" t="s">
        <v>77</v>
      </c>
      <c r="E2820">
        <v>20</v>
      </c>
      <c r="F2820" t="s">
        <v>104</v>
      </c>
      <c r="G2820">
        <v>96</v>
      </c>
      <c r="H2820">
        <v>697</v>
      </c>
      <c r="I2820">
        <v>0</v>
      </c>
      <c r="J2820">
        <v>103</v>
      </c>
      <c r="K2820">
        <v>90</v>
      </c>
      <c r="L2820">
        <v>-697</v>
      </c>
      <c r="M2820">
        <v>1</v>
      </c>
      <c r="N2820">
        <v>0</v>
      </c>
      <c r="O2820" s="1" t="s">
        <v>4732</v>
      </c>
      <c r="P2820">
        <v>0</v>
      </c>
      <c r="Q2820">
        <v>0</v>
      </c>
      <c r="R2820">
        <v>0</v>
      </c>
      <c r="S2820">
        <v>0</v>
      </c>
      <c r="T2820">
        <v>12.30838397</v>
      </c>
      <c r="U2820">
        <f t="shared" si="88"/>
        <v>0</v>
      </c>
      <c r="V2820">
        <f t="shared" si="89"/>
        <v>0</v>
      </c>
    </row>
    <row r="2821" spans="1:22" x14ac:dyDescent="0.2">
      <c r="A2821" t="s">
        <v>3011</v>
      </c>
      <c r="B2821" t="s">
        <v>40</v>
      </c>
      <c r="C2821" t="s">
        <v>76</v>
      </c>
      <c r="D2821" t="s">
        <v>77</v>
      </c>
      <c r="E2821" s="1" t="s">
        <v>89</v>
      </c>
      <c r="F2821" t="s">
        <v>90</v>
      </c>
      <c r="G2821">
        <v>30</v>
      </c>
      <c r="H2821">
        <v>49570260</v>
      </c>
      <c r="I2821">
        <v>92628</v>
      </c>
      <c r="J2821">
        <v>13</v>
      </c>
      <c r="K2821">
        <v>72</v>
      </c>
      <c r="L2821">
        <v>-49477632</v>
      </c>
      <c r="M2821" s="1" t="s">
        <v>4733</v>
      </c>
      <c r="N2821">
        <v>1.8651351890772E-3</v>
      </c>
      <c r="O2821" s="1" t="s">
        <v>4734</v>
      </c>
      <c r="P2821">
        <v>0</v>
      </c>
      <c r="Q2821">
        <v>0</v>
      </c>
      <c r="R2821">
        <v>0</v>
      </c>
      <c r="S2821">
        <v>0</v>
      </c>
      <c r="T2821">
        <v>12.30838397</v>
      </c>
      <c r="U2821">
        <f t="shared" si="88"/>
        <v>0</v>
      </c>
      <c r="V2821">
        <f t="shared" si="89"/>
        <v>0</v>
      </c>
    </row>
    <row r="2822" spans="1:22" x14ac:dyDescent="0.2">
      <c r="A2822" t="s">
        <v>3011</v>
      </c>
      <c r="B2822" t="s">
        <v>40</v>
      </c>
      <c r="C2822" t="s">
        <v>76</v>
      </c>
      <c r="D2822" t="s">
        <v>77</v>
      </c>
      <c r="E2822">
        <v>11</v>
      </c>
      <c r="F2822" t="s">
        <v>127</v>
      </c>
      <c r="G2822">
        <v>62</v>
      </c>
      <c r="H2822">
        <v>2569</v>
      </c>
      <c r="I2822">
        <v>0</v>
      </c>
      <c r="J2822">
        <v>104</v>
      </c>
      <c r="K2822">
        <v>105</v>
      </c>
      <c r="L2822">
        <v>-2569</v>
      </c>
      <c r="M2822">
        <v>1</v>
      </c>
      <c r="N2822">
        <v>0</v>
      </c>
      <c r="O2822" s="1" t="s">
        <v>4735</v>
      </c>
      <c r="P2822">
        <v>0</v>
      </c>
      <c r="Q2822">
        <v>0</v>
      </c>
      <c r="R2822">
        <v>0</v>
      </c>
      <c r="S2822">
        <v>0</v>
      </c>
      <c r="T2822">
        <v>12.30838397</v>
      </c>
      <c r="U2822">
        <f t="shared" si="88"/>
        <v>0</v>
      </c>
      <c r="V2822">
        <f t="shared" si="89"/>
        <v>0</v>
      </c>
    </row>
    <row r="2823" spans="1:22" x14ac:dyDescent="0.2">
      <c r="A2823" t="s">
        <v>3011</v>
      </c>
      <c r="B2823" t="s">
        <v>40</v>
      </c>
      <c r="C2823" t="s">
        <v>76</v>
      </c>
      <c r="D2823" t="s">
        <v>77</v>
      </c>
      <c r="E2823" s="1" t="s">
        <v>89</v>
      </c>
      <c r="F2823" t="s">
        <v>90</v>
      </c>
      <c r="G2823">
        <v>33</v>
      </c>
      <c r="H2823">
        <v>92183</v>
      </c>
      <c r="I2823">
        <v>0</v>
      </c>
      <c r="J2823">
        <v>97</v>
      </c>
      <c r="K2823">
        <v>95</v>
      </c>
      <c r="L2823">
        <v>-92183</v>
      </c>
      <c r="M2823">
        <v>1</v>
      </c>
      <c r="N2823">
        <v>0</v>
      </c>
      <c r="O2823" s="1" t="s">
        <v>4736</v>
      </c>
      <c r="P2823">
        <v>0</v>
      </c>
      <c r="Q2823">
        <v>0</v>
      </c>
      <c r="R2823">
        <v>0</v>
      </c>
      <c r="S2823">
        <v>0</v>
      </c>
      <c r="T2823">
        <v>12.30838397</v>
      </c>
      <c r="U2823">
        <f t="shared" si="88"/>
        <v>0</v>
      </c>
      <c r="V2823">
        <f t="shared" si="89"/>
        <v>0</v>
      </c>
    </row>
    <row r="2824" spans="1:22" x14ac:dyDescent="0.2">
      <c r="A2824" t="s">
        <v>3011</v>
      </c>
      <c r="B2824" t="s">
        <v>40</v>
      </c>
      <c r="C2824" t="s">
        <v>76</v>
      </c>
      <c r="D2824" t="s">
        <v>77</v>
      </c>
      <c r="E2824" s="1" t="s">
        <v>110</v>
      </c>
      <c r="F2824" t="s">
        <v>111</v>
      </c>
      <c r="G2824">
        <v>15</v>
      </c>
      <c r="H2824">
        <v>2</v>
      </c>
      <c r="I2824">
        <v>0</v>
      </c>
      <c r="J2824">
        <v>109</v>
      </c>
      <c r="K2824">
        <v>86</v>
      </c>
      <c r="L2824">
        <v>-2</v>
      </c>
      <c r="M2824">
        <v>1</v>
      </c>
      <c r="N2824">
        <v>0</v>
      </c>
      <c r="O2824" s="1" t="s">
        <v>4737</v>
      </c>
      <c r="P2824">
        <v>0</v>
      </c>
      <c r="Q2824">
        <v>0</v>
      </c>
      <c r="R2824">
        <v>0</v>
      </c>
      <c r="S2824">
        <v>0</v>
      </c>
      <c r="T2824">
        <v>12.30838397</v>
      </c>
      <c r="U2824">
        <f t="shared" si="88"/>
        <v>0</v>
      </c>
      <c r="V2824">
        <f t="shared" si="89"/>
        <v>0</v>
      </c>
    </row>
    <row r="2825" spans="1:22" x14ac:dyDescent="0.2">
      <c r="A2825" t="s">
        <v>3050</v>
      </c>
      <c r="B2825" t="s">
        <v>41</v>
      </c>
      <c r="C2825" t="s">
        <v>76</v>
      </c>
      <c r="D2825" t="s">
        <v>77</v>
      </c>
      <c r="E2825">
        <v>17</v>
      </c>
      <c r="F2825" t="s">
        <v>97</v>
      </c>
      <c r="G2825">
        <v>89</v>
      </c>
      <c r="H2825">
        <v>220699</v>
      </c>
      <c r="I2825">
        <v>0</v>
      </c>
      <c r="J2825">
        <v>49</v>
      </c>
      <c r="K2825">
        <v>68</v>
      </c>
      <c r="L2825">
        <v>-220699</v>
      </c>
      <c r="M2825">
        <v>1</v>
      </c>
      <c r="N2825">
        <v>0</v>
      </c>
      <c r="O2825" s="1" t="s">
        <v>4738</v>
      </c>
      <c r="P2825">
        <v>0</v>
      </c>
      <c r="Q2825">
        <v>0</v>
      </c>
      <c r="R2825">
        <v>0</v>
      </c>
      <c r="S2825">
        <v>0</v>
      </c>
      <c r="T2825">
        <v>29.702585079999999</v>
      </c>
      <c r="U2825">
        <f t="shared" si="88"/>
        <v>0</v>
      </c>
      <c r="V2825">
        <f t="shared" si="89"/>
        <v>0</v>
      </c>
    </row>
    <row r="2826" spans="1:22" x14ac:dyDescent="0.2">
      <c r="A2826" t="s">
        <v>3050</v>
      </c>
      <c r="B2826" t="s">
        <v>41</v>
      </c>
      <c r="C2826" t="s">
        <v>76</v>
      </c>
      <c r="D2826" t="s">
        <v>77</v>
      </c>
      <c r="E2826" s="1" t="s">
        <v>82</v>
      </c>
      <c r="F2826" t="s">
        <v>83</v>
      </c>
      <c r="G2826">
        <v>13</v>
      </c>
      <c r="H2826">
        <v>444</v>
      </c>
      <c r="I2826">
        <v>222707</v>
      </c>
      <c r="J2826">
        <v>50</v>
      </c>
      <c r="K2826">
        <v>38</v>
      </c>
      <c r="L2826">
        <v>222263</v>
      </c>
      <c r="M2826">
        <v>1.9896841152403501E-3</v>
      </c>
      <c r="N2826" s="1" t="s">
        <v>4739</v>
      </c>
      <c r="O2826" s="1" t="s">
        <v>4740</v>
      </c>
      <c r="P2826">
        <v>0</v>
      </c>
      <c r="Q2826">
        <v>0</v>
      </c>
      <c r="R2826">
        <v>0</v>
      </c>
      <c r="S2826">
        <v>0</v>
      </c>
      <c r="T2826">
        <v>29.702585079999999</v>
      </c>
      <c r="U2826">
        <f t="shared" si="88"/>
        <v>0</v>
      </c>
      <c r="V2826">
        <f t="shared" si="89"/>
        <v>0</v>
      </c>
    </row>
    <row r="2827" spans="1:22" x14ac:dyDescent="0.2">
      <c r="A2827" t="s">
        <v>3050</v>
      </c>
      <c r="B2827" t="s">
        <v>41</v>
      </c>
      <c r="C2827" t="s">
        <v>76</v>
      </c>
      <c r="D2827" t="s">
        <v>77</v>
      </c>
      <c r="E2827">
        <v>10</v>
      </c>
      <c r="F2827" t="s">
        <v>119</v>
      </c>
      <c r="G2827">
        <v>49</v>
      </c>
      <c r="H2827">
        <v>1157</v>
      </c>
      <c r="I2827">
        <v>0</v>
      </c>
      <c r="J2827">
        <v>120</v>
      </c>
      <c r="K2827">
        <v>109</v>
      </c>
      <c r="L2827">
        <v>-1157</v>
      </c>
      <c r="M2827">
        <v>1</v>
      </c>
      <c r="N2827">
        <v>0</v>
      </c>
      <c r="O2827" s="1" t="s">
        <v>4741</v>
      </c>
      <c r="P2827">
        <v>0</v>
      </c>
      <c r="Q2827">
        <v>0</v>
      </c>
      <c r="R2827">
        <v>0</v>
      </c>
      <c r="S2827">
        <v>0</v>
      </c>
      <c r="T2827">
        <v>29.702585079999999</v>
      </c>
      <c r="U2827">
        <f t="shared" si="88"/>
        <v>0</v>
      </c>
      <c r="V2827">
        <f t="shared" si="89"/>
        <v>0</v>
      </c>
    </row>
    <row r="2828" spans="1:22" x14ac:dyDescent="0.2">
      <c r="A2828" t="s">
        <v>3050</v>
      </c>
      <c r="B2828" t="s">
        <v>41</v>
      </c>
      <c r="C2828" t="s">
        <v>76</v>
      </c>
      <c r="D2828" t="s">
        <v>77</v>
      </c>
      <c r="E2828">
        <v>18</v>
      </c>
      <c r="F2828" t="s">
        <v>147</v>
      </c>
      <c r="G2828">
        <v>92</v>
      </c>
      <c r="H2828">
        <v>0</v>
      </c>
      <c r="I2828">
        <v>71977</v>
      </c>
      <c r="J2828">
        <v>95</v>
      </c>
      <c r="K2828">
        <v>39</v>
      </c>
      <c r="L2828">
        <v>71977</v>
      </c>
      <c r="M2828">
        <v>0</v>
      </c>
      <c r="N2828">
        <v>1</v>
      </c>
      <c r="O2828" s="1" t="s">
        <v>4742</v>
      </c>
      <c r="P2828">
        <v>0</v>
      </c>
      <c r="Q2828">
        <v>0</v>
      </c>
      <c r="R2828">
        <v>0</v>
      </c>
      <c r="S2828">
        <v>0</v>
      </c>
      <c r="T2828">
        <v>29.702585079999999</v>
      </c>
      <c r="U2828">
        <f t="shared" si="88"/>
        <v>0</v>
      </c>
      <c r="V2828">
        <f t="shared" si="89"/>
        <v>0</v>
      </c>
    </row>
    <row r="2829" spans="1:22" x14ac:dyDescent="0.2">
      <c r="A2829" t="s">
        <v>3050</v>
      </c>
      <c r="B2829" t="s">
        <v>41</v>
      </c>
      <c r="C2829" t="s">
        <v>76</v>
      </c>
      <c r="D2829" t="s">
        <v>77</v>
      </c>
      <c r="E2829">
        <v>11</v>
      </c>
      <c r="F2829" t="s">
        <v>127</v>
      </c>
      <c r="G2829">
        <v>59</v>
      </c>
      <c r="H2829">
        <v>24837</v>
      </c>
      <c r="I2829">
        <v>18679</v>
      </c>
      <c r="J2829">
        <v>53</v>
      </c>
      <c r="K2829">
        <v>56</v>
      </c>
      <c r="L2829">
        <v>-6158</v>
      </c>
      <c r="M2829" s="1" t="s">
        <v>4743</v>
      </c>
      <c r="N2829" s="1" t="s">
        <v>4744</v>
      </c>
      <c r="O2829" s="1" t="s">
        <v>4745</v>
      </c>
      <c r="P2829">
        <v>0</v>
      </c>
      <c r="Q2829">
        <v>0</v>
      </c>
      <c r="R2829">
        <v>0</v>
      </c>
      <c r="S2829">
        <v>0</v>
      </c>
      <c r="T2829">
        <v>29.702585079999999</v>
      </c>
      <c r="U2829">
        <f t="shared" si="88"/>
        <v>0</v>
      </c>
      <c r="V2829">
        <f t="shared" si="89"/>
        <v>0</v>
      </c>
    </row>
    <row r="2830" spans="1:22" x14ac:dyDescent="0.2">
      <c r="A2830" t="s">
        <v>3050</v>
      </c>
      <c r="B2830" t="s">
        <v>41</v>
      </c>
      <c r="C2830" t="s">
        <v>76</v>
      </c>
      <c r="D2830" t="s">
        <v>77</v>
      </c>
      <c r="E2830" s="1" t="s">
        <v>82</v>
      </c>
      <c r="F2830" t="s">
        <v>83</v>
      </c>
      <c r="G2830">
        <v>14</v>
      </c>
      <c r="H2830">
        <v>0</v>
      </c>
      <c r="I2830">
        <v>724</v>
      </c>
      <c r="J2830">
        <v>41</v>
      </c>
      <c r="K2830">
        <v>44</v>
      </c>
      <c r="L2830">
        <v>724</v>
      </c>
      <c r="M2830">
        <v>0</v>
      </c>
      <c r="N2830">
        <v>1</v>
      </c>
      <c r="O2830" s="1" t="s">
        <v>4746</v>
      </c>
      <c r="P2830">
        <v>0</v>
      </c>
      <c r="Q2830">
        <v>0</v>
      </c>
      <c r="R2830">
        <v>0</v>
      </c>
      <c r="S2830">
        <v>0</v>
      </c>
      <c r="T2830">
        <v>29.702585079999999</v>
      </c>
      <c r="U2830">
        <f t="shared" si="88"/>
        <v>0</v>
      </c>
      <c r="V2830">
        <f t="shared" si="89"/>
        <v>0</v>
      </c>
    </row>
    <row r="2831" spans="1:22" x14ac:dyDescent="0.2">
      <c r="A2831" t="s">
        <v>3050</v>
      </c>
      <c r="B2831" t="s">
        <v>41</v>
      </c>
      <c r="C2831" t="s">
        <v>76</v>
      </c>
      <c r="D2831" t="s">
        <v>77</v>
      </c>
      <c r="E2831">
        <v>13</v>
      </c>
      <c r="F2831" t="s">
        <v>91</v>
      </c>
      <c r="G2831">
        <v>69</v>
      </c>
      <c r="H2831">
        <v>110328</v>
      </c>
      <c r="I2831">
        <v>7994</v>
      </c>
      <c r="J2831">
        <v>65</v>
      </c>
      <c r="K2831">
        <v>70</v>
      </c>
      <c r="L2831">
        <v>-102334</v>
      </c>
      <c r="M2831" s="1" t="s">
        <v>4747</v>
      </c>
      <c r="N2831">
        <v>6.7561400246784198E-2</v>
      </c>
      <c r="O2831" s="1" t="s">
        <v>4748</v>
      </c>
      <c r="P2831">
        <v>0</v>
      </c>
      <c r="Q2831">
        <v>0</v>
      </c>
      <c r="R2831">
        <v>0</v>
      </c>
      <c r="S2831">
        <v>0</v>
      </c>
      <c r="T2831">
        <v>29.702585079999999</v>
      </c>
      <c r="U2831">
        <f t="shared" si="88"/>
        <v>0</v>
      </c>
      <c r="V2831">
        <f t="shared" si="89"/>
        <v>0</v>
      </c>
    </row>
    <row r="2832" spans="1:22" x14ac:dyDescent="0.2">
      <c r="A2832" t="s">
        <v>3050</v>
      </c>
      <c r="B2832" t="s">
        <v>41</v>
      </c>
      <c r="C2832" t="s">
        <v>76</v>
      </c>
      <c r="D2832" t="s">
        <v>77</v>
      </c>
      <c r="E2832">
        <v>12</v>
      </c>
      <c r="F2832" t="s">
        <v>194</v>
      </c>
      <c r="G2832">
        <v>66</v>
      </c>
      <c r="H2832">
        <v>0</v>
      </c>
      <c r="I2832">
        <v>25654</v>
      </c>
      <c r="J2832">
        <v>69</v>
      </c>
      <c r="K2832">
        <v>34</v>
      </c>
      <c r="L2832">
        <v>25654</v>
      </c>
      <c r="M2832">
        <v>0</v>
      </c>
      <c r="N2832">
        <v>1</v>
      </c>
      <c r="O2832" s="1" t="s">
        <v>4749</v>
      </c>
      <c r="P2832">
        <v>0</v>
      </c>
      <c r="Q2832">
        <v>0</v>
      </c>
      <c r="R2832">
        <v>0</v>
      </c>
      <c r="S2832">
        <v>0</v>
      </c>
      <c r="T2832">
        <v>29.702585079999999</v>
      </c>
      <c r="U2832">
        <f t="shared" si="88"/>
        <v>0</v>
      </c>
      <c r="V2832">
        <f t="shared" si="89"/>
        <v>0</v>
      </c>
    </row>
    <row r="2833" spans="1:22" x14ac:dyDescent="0.2">
      <c r="A2833" t="s">
        <v>3050</v>
      </c>
      <c r="B2833" t="s">
        <v>41</v>
      </c>
      <c r="C2833" t="s">
        <v>76</v>
      </c>
      <c r="D2833" t="s">
        <v>77</v>
      </c>
      <c r="E2833">
        <v>11</v>
      </c>
      <c r="F2833" t="s">
        <v>127</v>
      </c>
      <c r="G2833">
        <v>60</v>
      </c>
      <c r="H2833">
        <v>0</v>
      </c>
      <c r="I2833">
        <v>773707</v>
      </c>
      <c r="J2833">
        <v>59</v>
      </c>
      <c r="K2833">
        <v>31</v>
      </c>
      <c r="L2833">
        <v>773707</v>
      </c>
      <c r="M2833">
        <v>0</v>
      </c>
      <c r="N2833">
        <v>1</v>
      </c>
      <c r="O2833" s="1" t="s">
        <v>4750</v>
      </c>
      <c r="P2833">
        <v>0</v>
      </c>
      <c r="Q2833">
        <v>0</v>
      </c>
      <c r="R2833">
        <v>0</v>
      </c>
      <c r="S2833">
        <v>0</v>
      </c>
      <c r="T2833">
        <v>29.702585079999999</v>
      </c>
      <c r="U2833">
        <f t="shared" si="88"/>
        <v>0</v>
      </c>
      <c r="V2833">
        <f t="shared" si="89"/>
        <v>0</v>
      </c>
    </row>
    <row r="2834" spans="1:22" x14ac:dyDescent="0.2">
      <c r="A2834" t="s">
        <v>3050</v>
      </c>
      <c r="B2834" t="s">
        <v>41</v>
      </c>
      <c r="C2834" t="s">
        <v>76</v>
      </c>
      <c r="D2834" t="s">
        <v>77</v>
      </c>
      <c r="E2834">
        <v>11</v>
      </c>
      <c r="F2834" t="s">
        <v>127</v>
      </c>
      <c r="G2834">
        <v>54</v>
      </c>
      <c r="H2834">
        <v>0</v>
      </c>
      <c r="I2834">
        <v>449414</v>
      </c>
      <c r="J2834">
        <v>84</v>
      </c>
      <c r="K2834">
        <v>48</v>
      </c>
      <c r="L2834">
        <v>449414</v>
      </c>
      <c r="M2834">
        <v>0</v>
      </c>
      <c r="N2834">
        <v>1</v>
      </c>
      <c r="O2834" s="1" t="s">
        <v>4751</v>
      </c>
      <c r="P2834">
        <v>0</v>
      </c>
      <c r="Q2834">
        <v>0</v>
      </c>
      <c r="R2834">
        <v>0</v>
      </c>
      <c r="S2834">
        <v>0</v>
      </c>
      <c r="T2834">
        <v>29.702585079999999</v>
      </c>
      <c r="U2834">
        <f t="shared" si="88"/>
        <v>0</v>
      </c>
      <c r="V2834">
        <f t="shared" si="89"/>
        <v>0</v>
      </c>
    </row>
    <row r="2835" spans="1:22" x14ac:dyDescent="0.2">
      <c r="A2835" t="s">
        <v>3050</v>
      </c>
      <c r="B2835" t="s">
        <v>41</v>
      </c>
      <c r="C2835" t="s">
        <v>76</v>
      </c>
      <c r="D2835" t="s">
        <v>77</v>
      </c>
      <c r="E2835" s="1" t="s">
        <v>138</v>
      </c>
      <c r="F2835" t="s">
        <v>139</v>
      </c>
      <c r="G2835">
        <v>19</v>
      </c>
      <c r="H2835">
        <v>0</v>
      </c>
      <c r="I2835">
        <v>17064</v>
      </c>
      <c r="J2835">
        <v>106</v>
      </c>
      <c r="K2835">
        <v>69</v>
      </c>
      <c r="L2835">
        <v>17064</v>
      </c>
      <c r="M2835">
        <v>0</v>
      </c>
      <c r="N2835">
        <v>1</v>
      </c>
      <c r="O2835" s="1" t="s">
        <v>4752</v>
      </c>
      <c r="P2835">
        <v>0</v>
      </c>
      <c r="Q2835">
        <v>0</v>
      </c>
      <c r="R2835">
        <v>0</v>
      </c>
      <c r="S2835">
        <v>0</v>
      </c>
      <c r="T2835">
        <v>29.702585079999999</v>
      </c>
      <c r="U2835">
        <f t="shared" si="88"/>
        <v>0</v>
      </c>
      <c r="V2835">
        <f t="shared" si="89"/>
        <v>0</v>
      </c>
    </row>
    <row r="2836" spans="1:22" x14ac:dyDescent="0.2">
      <c r="A2836" t="s">
        <v>3148</v>
      </c>
      <c r="B2836" t="s">
        <v>42</v>
      </c>
      <c r="C2836" t="s">
        <v>76</v>
      </c>
      <c r="D2836" t="s">
        <v>77</v>
      </c>
      <c r="E2836">
        <v>11</v>
      </c>
      <c r="F2836" t="s">
        <v>127</v>
      </c>
      <c r="G2836">
        <v>61</v>
      </c>
      <c r="H2836">
        <v>12939</v>
      </c>
      <c r="I2836">
        <v>869</v>
      </c>
      <c r="J2836">
        <v>77</v>
      </c>
      <c r="K2836">
        <v>97</v>
      </c>
      <c r="L2836">
        <v>-12070</v>
      </c>
      <c r="M2836" s="1" t="s">
        <v>4753</v>
      </c>
      <c r="N2836">
        <v>6.2934530706836606E-2</v>
      </c>
      <c r="O2836" s="1" t="s">
        <v>4754</v>
      </c>
      <c r="P2836">
        <v>0</v>
      </c>
      <c r="Q2836">
        <v>0</v>
      </c>
      <c r="R2836">
        <v>0</v>
      </c>
      <c r="S2836">
        <v>0</v>
      </c>
      <c r="T2836">
        <v>2.5920305099999998</v>
      </c>
      <c r="U2836">
        <f t="shared" si="88"/>
        <v>0</v>
      </c>
      <c r="V2836">
        <f t="shared" si="89"/>
        <v>0</v>
      </c>
    </row>
    <row r="2837" spans="1:22" x14ac:dyDescent="0.2">
      <c r="A2837" t="s">
        <v>3148</v>
      </c>
      <c r="B2837" t="s">
        <v>42</v>
      </c>
      <c r="C2837" t="s">
        <v>76</v>
      </c>
      <c r="D2837" t="s">
        <v>77</v>
      </c>
      <c r="E2837" s="1" t="s">
        <v>89</v>
      </c>
      <c r="F2837" t="s">
        <v>90</v>
      </c>
      <c r="G2837">
        <v>30</v>
      </c>
      <c r="H2837">
        <v>57758</v>
      </c>
      <c r="I2837">
        <v>0</v>
      </c>
      <c r="J2837">
        <v>105</v>
      </c>
      <c r="K2837">
        <v>91</v>
      </c>
      <c r="L2837">
        <v>-57758</v>
      </c>
      <c r="M2837">
        <v>1</v>
      </c>
      <c r="N2837">
        <v>0</v>
      </c>
      <c r="O2837" s="1" t="s">
        <v>4755</v>
      </c>
      <c r="P2837">
        <v>0</v>
      </c>
      <c r="Q2837">
        <v>0</v>
      </c>
      <c r="R2837">
        <v>0</v>
      </c>
      <c r="S2837">
        <v>0</v>
      </c>
      <c r="T2837">
        <v>2.5920305099999998</v>
      </c>
      <c r="U2837">
        <f t="shared" si="88"/>
        <v>0</v>
      </c>
      <c r="V2837">
        <f t="shared" si="89"/>
        <v>0</v>
      </c>
    </row>
    <row r="2838" spans="1:22" x14ac:dyDescent="0.2">
      <c r="A2838" t="s">
        <v>3148</v>
      </c>
      <c r="B2838" t="s">
        <v>42</v>
      </c>
      <c r="C2838" t="s">
        <v>76</v>
      </c>
      <c r="D2838" t="s">
        <v>77</v>
      </c>
      <c r="E2838">
        <v>15</v>
      </c>
      <c r="F2838" t="s">
        <v>88</v>
      </c>
      <c r="G2838">
        <v>83</v>
      </c>
      <c r="H2838">
        <v>547</v>
      </c>
      <c r="I2838">
        <v>0</v>
      </c>
      <c r="J2838">
        <v>119</v>
      </c>
      <c r="K2838">
        <v>85</v>
      </c>
      <c r="L2838">
        <v>-547</v>
      </c>
      <c r="M2838">
        <v>1</v>
      </c>
      <c r="N2838">
        <v>0</v>
      </c>
      <c r="O2838" s="1" t="s">
        <v>4756</v>
      </c>
      <c r="P2838">
        <v>0</v>
      </c>
      <c r="Q2838">
        <v>0</v>
      </c>
      <c r="R2838">
        <v>0</v>
      </c>
      <c r="S2838">
        <v>0</v>
      </c>
      <c r="T2838">
        <v>2.5920305099999998</v>
      </c>
      <c r="U2838">
        <f t="shared" si="88"/>
        <v>0</v>
      </c>
      <c r="V2838">
        <f t="shared" si="89"/>
        <v>0</v>
      </c>
    </row>
    <row r="2839" spans="1:22" x14ac:dyDescent="0.2">
      <c r="A2839" t="s">
        <v>3148</v>
      </c>
      <c r="B2839" t="s">
        <v>42</v>
      </c>
      <c r="C2839" t="s">
        <v>76</v>
      </c>
      <c r="D2839" t="s">
        <v>77</v>
      </c>
      <c r="E2839">
        <v>11</v>
      </c>
      <c r="F2839" t="s">
        <v>127</v>
      </c>
      <c r="G2839">
        <v>59</v>
      </c>
      <c r="H2839">
        <v>125</v>
      </c>
      <c r="I2839">
        <v>0</v>
      </c>
      <c r="J2839">
        <v>88</v>
      </c>
      <c r="K2839">
        <v>68</v>
      </c>
      <c r="L2839">
        <v>-125</v>
      </c>
      <c r="M2839">
        <v>1</v>
      </c>
      <c r="N2839">
        <v>0</v>
      </c>
      <c r="O2839" s="1" t="s">
        <v>4757</v>
      </c>
      <c r="P2839">
        <v>0</v>
      </c>
      <c r="Q2839">
        <v>0</v>
      </c>
      <c r="R2839">
        <v>0</v>
      </c>
      <c r="S2839">
        <v>0</v>
      </c>
      <c r="T2839">
        <v>2.5920305099999998</v>
      </c>
      <c r="U2839">
        <f t="shared" si="88"/>
        <v>0</v>
      </c>
      <c r="V2839">
        <f t="shared" si="89"/>
        <v>0</v>
      </c>
    </row>
    <row r="2840" spans="1:22" x14ac:dyDescent="0.2">
      <c r="A2840" t="s">
        <v>3148</v>
      </c>
      <c r="B2840" t="s">
        <v>42</v>
      </c>
      <c r="C2840" t="s">
        <v>76</v>
      </c>
      <c r="D2840" t="s">
        <v>77</v>
      </c>
      <c r="E2840">
        <v>15</v>
      </c>
      <c r="F2840" t="s">
        <v>88</v>
      </c>
      <c r="G2840">
        <v>74</v>
      </c>
      <c r="H2840">
        <v>87</v>
      </c>
      <c r="I2840">
        <v>299097</v>
      </c>
      <c r="J2840">
        <v>104</v>
      </c>
      <c r="K2840">
        <v>61</v>
      </c>
      <c r="L2840">
        <v>299010</v>
      </c>
      <c r="M2840" s="1" t="s">
        <v>4758</v>
      </c>
      <c r="N2840" s="1" t="s">
        <v>4759</v>
      </c>
      <c r="O2840" s="1" t="s">
        <v>4760</v>
      </c>
      <c r="P2840">
        <v>0</v>
      </c>
      <c r="Q2840">
        <v>0</v>
      </c>
      <c r="R2840">
        <v>0</v>
      </c>
      <c r="S2840">
        <v>0</v>
      </c>
      <c r="T2840">
        <v>2.5920305099999998</v>
      </c>
      <c r="U2840">
        <f t="shared" si="88"/>
        <v>0</v>
      </c>
      <c r="V2840">
        <f t="shared" si="89"/>
        <v>0</v>
      </c>
    </row>
    <row r="2841" spans="1:22" x14ac:dyDescent="0.2">
      <c r="A2841" t="s">
        <v>3148</v>
      </c>
      <c r="B2841" t="s">
        <v>42</v>
      </c>
      <c r="C2841" t="s">
        <v>76</v>
      </c>
      <c r="D2841" t="s">
        <v>77</v>
      </c>
      <c r="E2841">
        <v>13</v>
      </c>
      <c r="F2841" t="s">
        <v>91</v>
      </c>
      <c r="G2841">
        <v>68</v>
      </c>
      <c r="H2841">
        <v>45</v>
      </c>
      <c r="I2841">
        <v>0</v>
      </c>
      <c r="J2841">
        <v>124</v>
      </c>
      <c r="K2841">
        <v>85</v>
      </c>
      <c r="L2841">
        <v>-45</v>
      </c>
      <c r="M2841">
        <v>1</v>
      </c>
      <c r="N2841">
        <v>0</v>
      </c>
      <c r="O2841" s="1" t="s">
        <v>4761</v>
      </c>
      <c r="P2841">
        <v>0</v>
      </c>
      <c r="Q2841">
        <v>0</v>
      </c>
      <c r="R2841">
        <v>0</v>
      </c>
      <c r="S2841">
        <v>0</v>
      </c>
      <c r="T2841">
        <v>2.5920305099999998</v>
      </c>
      <c r="U2841">
        <f t="shared" si="88"/>
        <v>0</v>
      </c>
      <c r="V2841">
        <f t="shared" si="89"/>
        <v>0</v>
      </c>
    </row>
    <row r="2842" spans="1:22" x14ac:dyDescent="0.2">
      <c r="A2842" t="s">
        <v>3148</v>
      </c>
      <c r="B2842" t="s">
        <v>42</v>
      </c>
      <c r="C2842" t="s">
        <v>76</v>
      </c>
      <c r="D2842" t="s">
        <v>77</v>
      </c>
      <c r="E2842" s="1" t="s">
        <v>138</v>
      </c>
      <c r="F2842" t="s">
        <v>139</v>
      </c>
      <c r="G2842">
        <v>16</v>
      </c>
      <c r="H2842">
        <v>0</v>
      </c>
      <c r="I2842">
        <v>80</v>
      </c>
      <c r="J2842">
        <v>83</v>
      </c>
      <c r="K2842">
        <v>70</v>
      </c>
      <c r="L2842">
        <v>80</v>
      </c>
      <c r="M2842">
        <v>0</v>
      </c>
      <c r="N2842">
        <v>1</v>
      </c>
      <c r="O2842" s="1" t="s">
        <v>4762</v>
      </c>
      <c r="P2842">
        <v>0</v>
      </c>
      <c r="Q2842">
        <v>0</v>
      </c>
      <c r="R2842">
        <v>0</v>
      </c>
      <c r="S2842">
        <v>0</v>
      </c>
      <c r="T2842">
        <v>2.5920305099999998</v>
      </c>
      <c r="U2842">
        <f t="shared" si="88"/>
        <v>0</v>
      </c>
      <c r="V2842">
        <f t="shared" si="89"/>
        <v>0</v>
      </c>
    </row>
    <row r="2843" spans="1:22" x14ac:dyDescent="0.2">
      <c r="A2843" t="s">
        <v>3180</v>
      </c>
      <c r="B2843" t="s">
        <v>43</v>
      </c>
      <c r="C2843" t="s">
        <v>76</v>
      </c>
      <c r="D2843" t="s">
        <v>77</v>
      </c>
      <c r="E2843" s="1" t="s">
        <v>155</v>
      </c>
      <c r="F2843" t="s">
        <v>156</v>
      </c>
      <c r="G2843" s="1" t="s">
        <v>138</v>
      </c>
      <c r="H2843">
        <v>71100</v>
      </c>
      <c r="I2843">
        <v>0</v>
      </c>
      <c r="J2843">
        <v>42</v>
      </c>
      <c r="K2843">
        <v>75</v>
      </c>
      <c r="L2843">
        <v>-71100</v>
      </c>
      <c r="M2843">
        <v>1</v>
      </c>
      <c r="N2843">
        <v>0</v>
      </c>
      <c r="O2843" s="1" t="s">
        <v>4763</v>
      </c>
      <c r="P2843">
        <v>0</v>
      </c>
      <c r="Q2843">
        <v>0</v>
      </c>
      <c r="R2843">
        <v>0</v>
      </c>
      <c r="S2843">
        <v>0</v>
      </c>
      <c r="T2843">
        <v>134.31486390000001</v>
      </c>
      <c r="U2843">
        <f t="shared" si="88"/>
        <v>0</v>
      </c>
      <c r="V2843">
        <f t="shared" si="89"/>
        <v>0</v>
      </c>
    </row>
    <row r="2844" spans="1:22" x14ac:dyDescent="0.2">
      <c r="A2844" t="s">
        <v>3180</v>
      </c>
      <c r="B2844" t="s">
        <v>43</v>
      </c>
      <c r="C2844" t="s">
        <v>76</v>
      </c>
      <c r="D2844" t="s">
        <v>77</v>
      </c>
      <c r="E2844">
        <v>10</v>
      </c>
      <c r="F2844" t="s">
        <v>119</v>
      </c>
      <c r="G2844">
        <v>47</v>
      </c>
      <c r="H2844">
        <v>721861</v>
      </c>
      <c r="I2844">
        <v>0</v>
      </c>
      <c r="J2844">
        <v>55</v>
      </c>
      <c r="K2844">
        <v>37</v>
      </c>
      <c r="L2844">
        <v>-721861</v>
      </c>
      <c r="M2844">
        <v>1</v>
      </c>
      <c r="N2844">
        <v>0</v>
      </c>
      <c r="O2844" s="1" t="s">
        <v>4764</v>
      </c>
      <c r="P2844">
        <v>0</v>
      </c>
      <c r="Q2844">
        <v>0</v>
      </c>
      <c r="R2844">
        <v>0</v>
      </c>
      <c r="S2844">
        <v>0</v>
      </c>
      <c r="T2844">
        <v>134.31486390000001</v>
      </c>
      <c r="U2844">
        <f t="shared" si="88"/>
        <v>0</v>
      </c>
      <c r="V2844">
        <f t="shared" si="89"/>
        <v>0</v>
      </c>
    </row>
    <row r="2845" spans="1:22" x14ac:dyDescent="0.2">
      <c r="A2845" t="s">
        <v>3180</v>
      </c>
      <c r="B2845" t="s">
        <v>43</v>
      </c>
      <c r="C2845" t="s">
        <v>76</v>
      </c>
      <c r="D2845" t="s">
        <v>77</v>
      </c>
      <c r="E2845">
        <v>13</v>
      </c>
      <c r="F2845" t="s">
        <v>91</v>
      </c>
      <c r="G2845">
        <v>68</v>
      </c>
      <c r="H2845">
        <v>1280442</v>
      </c>
      <c r="I2845">
        <v>63947</v>
      </c>
      <c r="J2845">
        <v>56</v>
      </c>
      <c r="K2845">
        <v>65</v>
      </c>
      <c r="L2845">
        <v>-1216495</v>
      </c>
      <c r="M2845" s="1" t="s">
        <v>4765</v>
      </c>
      <c r="N2845">
        <v>4.7565845897281203E-2</v>
      </c>
      <c r="O2845" s="1" t="s">
        <v>4766</v>
      </c>
      <c r="P2845">
        <v>0</v>
      </c>
      <c r="Q2845">
        <v>0</v>
      </c>
      <c r="R2845">
        <v>0</v>
      </c>
      <c r="S2845">
        <v>0</v>
      </c>
      <c r="T2845">
        <v>134.31486390000001</v>
      </c>
      <c r="U2845">
        <f t="shared" si="88"/>
        <v>0</v>
      </c>
      <c r="V2845">
        <f t="shared" si="89"/>
        <v>0</v>
      </c>
    </row>
    <row r="2846" spans="1:22" x14ac:dyDescent="0.2">
      <c r="A2846" t="s">
        <v>3180</v>
      </c>
      <c r="B2846" t="s">
        <v>43</v>
      </c>
      <c r="C2846" t="s">
        <v>76</v>
      </c>
      <c r="D2846" t="s">
        <v>77</v>
      </c>
      <c r="E2846">
        <v>17</v>
      </c>
      <c r="F2846" t="s">
        <v>97</v>
      </c>
      <c r="G2846">
        <v>86</v>
      </c>
      <c r="H2846">
        <v>6859</v>
      </c>
      <c r="I2846">
        <v>0</v>
      </c>
      <c r="J2846">
        <v>69</v>
      </c>
      <c r="K2846">
        <v>64</v>
      </c>
      <c r="L2846">
        <v>-6859</v>
      </c>
      <c r="M2846">
        <v>1</v>
      </c>
      <c r="N2846">
        <v>0</v>
      </c>
      <c r="O2846" s="1" t="s">
        <v>4767</v>
      </c>
      <c r="P2846">
        <v>0</v>
      </c>
      <c r="Q2846">
        <v>0</v>
      </c>
      <c r="R2846">
        <v>0</v>
      </c>
      <c r="S2846">
        <v>0</v>
      </c>
      <c r="T2846">
        <v>134.31486390000001</v>
      </c>
      <c r="U2846">
        <f t="shared" si="88"/>
        <v>0</v>
      </c>
      <c r="V2846">
        <f t="shared" si="89"/>
        <v>0</v>
      </c>
    </row>
    <row r="2847" spans="1:22" x14ac:dyDescent="0.2">
      <c r="A2847" t="s">
        <v>3180</v>
      </c>
      <c r="B2847" t="s">
        <v>43</v>
      </c>
      <c r="C2847" t="s">
        <v>76</v>
      </c>
      <c r="D2847" t="s">
        <v>77</v>
      </c>
      <c r="E2847">
        <v>11</v>
      </c>
      <c r="F2847" t="s">
        <v>127</v>
      </c>
      <c r="G2847">
        <v>53</v>
      </c>
      <c r="H2847">
        <v>653</v>
      </c>
      <c r="I2847">
        <v>0</v>
      </c>
      <c r="J2847">
        <v>69</v>
      </c>
      <c r="K2847">
        <v>49</v>
      </c>
      <c r="L2847">
        <v>-653</v>
      </c>
      <c r="M2847">
        <v>1</v>
      </c>
      <c r="N2847">
        <v>0</v>
      </c>
      <c r="O2847" s="1" t="s">
        <v>4768</v>
      </c>
      <c r="P2847">
        <v>0</v>
      </c>
      <c r="Q2847">
        <v>0</v>
      </c>
      <c r="R2847">
        <v>0</v>
      </c>
      <c r="S2847">
        <v>0</v>
      </c>
      <c r="T2847">
        <v>134.31486390000001</v>
      </c>
      <c r="U2847">
        <f t="shared" si="88"/>
        <v>0</v>
      </c>
      <c r="V2847">
        <f t="shared" si="89"/>
        <v>0</v>
      </c>
    </row>
    <row r="2848" spans="1:22" x14ac:dyDescent="0.2">
      <c r="A2848" t="s">
        <v>3180</v>
      </c>
      <c r="B2848" t="s">
        <v>43</v>
      </c>
      <c r="C2848" t="s">
        <v>76</v>
      </c>
      <c r="D2848" t="s">
        <v>77</v>
      </c>
      <c r="E2848">
        <v>11</v>
      </c>
      <c r="F2848" t="s">
        <v>127</v>
      </c>
      <c r="G2848">
        <v>57</v>
      </c>
      <c r="H2848">
        <v>139</v>
      </c>
      <c r="I2848">
        <v>0</v>
      </c>
      <c r="J2848">
        <v>83</v>
      </c>
      <c r="K2848">
        <v>78</v>
      </c>
      <c r="L2848">
        <v>-139</v>
      </c>
      <c r="M2848">
        <v>1</v>
      </c>
      <c r="N2848">
        <v>0</v>
      </c>
      <c r="O2848" s="1" t="s">
        <v>4769</v>
      </c>
      <c r="P2848">
        <v>0</v>
      </c>
      <c r="Q2848">
        <v>0</v>
      </c>
      <c r="R2848">
        <v>0</v>
      </c>
      <c r="S2848">
        <v>0</v>
      </c>
      <c r="T2848">
        <v>134.31486390000001</v>
      </c>
      <c r="U2848">
        <f t="shared" si="88"/>
        <v>0</v>
      </c>
      <c r="V2848">
        <f t="shared" si="89"/>
        <v>0</v>
      </c>
    </row>
    <row r="2849" spans="1:22" x14ac:dyDescent="0.2">
      <c r="A2849" t="s">
        <v>3180</v>
      </c>
      <c r="B2849" t="s">
        <v>43</v>
      </c>
      <c r="C2849" t="s">
        <v>76</v>
      </c>
      <c r="D2849" t="s">
        <v>77</v>
      </c>
      <c r="E2849">
        <v>11</v>
      </c>
      <c r="F2849" t="s">
        <v>127</v>
      </c>
      <c r="G2849">
        <v>55</v>
      </c>
      <c r="H2849">
        <v>32866</v>
      </c>
      <c r="I2849">
        <v>29046</v>
      </c>
      <c r="J2849">
        <v>35</v>
      </c>
      <c r="K2849">
        <v>49</v>
      </c>
      <c r="L2849">
        <v>-3820</v>
      </c>
      <c r="M2849" s="1" t="s">
        <v>4770</v>
      </c>
      <c r="N2849" s="1" t="s">
        <v>4771</v>
      </c>
      <c r="O2849" s="1" t="s">
        <v>4772</v>
      </c>
      <c r="P2849">
        <v>0</v>
      </c>
      <c r="Q2849">
        <v>0</v>
      </c>
      <c r="R2849">
        <v>0</v>
      </c>
      <c r="S2849">
        <v>0</v>
      </c>
      <c r="T2849">
        <v>134.31486390000001</v>
      </c>
      <c r="U2849">
        <f t="shared" si="88"/>
        <v>0</v>
      </c>
      <c r="V2849">
        <f t="shared" si="89"/>
        <v>0</v>
      </c>
    </row>
    <row r="2850" spans="1:22" x14ac:dyDescent="0.2">
      <c r="A2850" t="s">
        <v>3180</v>
      </c>
      <c r="B2850" t="s">
        <v>43</v>
      </c>
      <c r="C2850" t="s">
        <v>76</v>
      </c>
      <c r="D2850" t="s">
        <v>77</v>
      </c>
      <c r="E2850">
        <v>11</v>
      </c>
      <c r="F2850" t="s">
        <v>127</v>
      </c>
      <c r="G2850">
        <v>50</v>
      </c>
      <c r="H2850">
        <v>0</v>
      </c>
      <c r="I2850">
        <v>12218</v>
      </c>
      <c r="J2850">
        <v>32</v>
      </c>
      <c r="K2850">
        <v>31</v>
      </c>
      <c r="L2850">
        <v>12218</v>
      </c>
      <c r="M2850">
        <v>0</v>
      </c>
      <c r="N2850">
        <v>1</v>
      </c>
      <c r="O2850" s="1" t="s">
        <v>4773</v>
      </c>
      <c r="P2850">
        <v>0</v>
      </c>
      <c r="Q2850">
        <v>0</v>
      </c>
      <c r="R2850">
        <v>0</v>
      </c>
      <c r="S2850">
        <v>0</v>
      </c>
      <c r="T2850">
        <v>134.31486390000001</v>
      </c>
      <c r="U2850">
        <f t="shared" si="88"/>
        <v>0</v>
      </c>
      <c r="V2850">
        <f t="shared" si="89"/>
        <v>0</v>
      </c>
    </row>
    <row r="2851" spans="1:22" x14ac:dyDescent="0.2">
      <c r="A2851" t="s">
        <v>4774</v>
      </c>
      <c r="B2851" t="s">
        <v>56</v>
      </c>
      <c r="C2851" t="s">
        <v>76</v>
      </c>
      <c r="D2851" t="s">
        <v>77</v>
      </c>
      <c r="E2851">
        <v>15</v>
      </c>
      <c r="F2851" t="s">
        <v>88</v>
      </c>
      <c r="G2851">
        <v>72</v>
      </c>
      <c r="H2851">
        <v>2482722804</v>
      </c>
      <c r="I2851">
        <v>124841</v>
      </c>
      <c r="J2851">
        <v>11</v>
      </c>
      <c r="K2851">
        <v>61</v>
      </c>
      <c r="L2851">
        <v>-2482597963</v>
      </c>
      <c r="M2851" s="1" t="s">
        <v>4775</v>
      </c>
      <c r="N2851" s="1" t="s">
        <v>4776</v>
      </c>
      <c r="O2851" s="1" t="s">
        <v>4777</v>
      </c>
      <c r="P2851">
        <v>0</v>
      </c>
      <c r="Q2851">
        <v>0</v>
      </c>
      <c r="R2851">
        <v>0</v>
      </c>
      <c r="S2851">
        <v>0</v>
      </c>
      <c r="T2851">
        <v>12.286384809999999</v>
      </c>
      <c r="U2851">
        <f t="shared" si="88"/>
        <v>0</v>
      </c>
      <c r="V2851">
        <f t="shared" si="89"/>
        <v>0</v>
      </c>
    </row>
    <row r="2852" spans="1:22" x14ac:dyDescent="0.2">
      <c r="A2852" t="s">
        <v>4774</v>
      </c>
      <c r="B2852" t="s">
        <v>56</v>
      </c>
      <c r="C2852" t="s">
        <v>76</v>
      </c>
      <c r="D2852" t="s">
        <v>77</v>
      </c>
      <c r="E2852" s="1" t="s">
        <v>85</v>
      </c>
      <c r="F2852" t="s">
        <v>86</v>
      </c>
      <c r="G2852">
        <v>27</v>
      </c>
      <c r="H2852">
        <v>608657120</v>
      </c>
      <c r="I2852">
        <v>0</v>
      </c>
      <c r="J2852">
        <v>63</v>
      </c>
      <c r="K2852">
        <v>91</v>
      </c>
      <c r="L2852">
        <v>-608657120</v>
      </c>
      <c r="M2852">
        <v>1</v>
      </c>
      <c r="N2852">
        <v>0</v>
      </c>
      <c r="O2852" s="1" t="s">
        <v>4778</v>
      </c>
      <c r="P2852">
        <v>0</v>
      </c>
      <c r="Q2852">
        <v>0</v>
      </c>
      <c r="R2852">
        <v>0</v>
      </c>
      <c r="S2852">
        <v>0</v>
      </c>
      <c r="T2852">
        <v>12.286384809999999</v>
      </c>
      <c r="U2852">
        <f t="shared" si="88"/>
        <v>0</v>
      </c>
      <c r="V2852">
        <f t="shared" si="89"/>
        <v>0</v>
      </c>
    </row>
    <row r="2853" spans="1:22" x14ac:dyDescent="0.2">
      <c r="A2853" t="s">
        <v>4774</v>
      </c>
      <c r="B2853" t="s">
        <v>56</v>
      </c>
      <c r="C2853" t="s">
        <v>76</v>
      </c>
      <c r="D2853" t="s">
        <v>77</v>
      </c>
      <c r="E2853" s="1" t="s">
        <v>82</v>
      </c>
      <c r="F2853" t="s">
        <v>83</v>
      </c>
      <c r="G2853">
        <v>10</v>
      </c>
      <c r="H2853">
        <v>389210456</v>
      </c>
      <c r="I2853">
        <v>0</v>
      </c>
      <c r="J2853">
        <v>17</v>
      </c>
      <c r="K2853">
        <v>65</v>
      </c>
      <c r="L2853">
        <v>-389210456</v>
      </c>
      <c r="M2853">
        <v>1</v>
      </c>
      <c r="N2853">
        <v>0</v>
      </c>
      <c r="O2853">
        <v>9.5442983580709198E-2</v>
      </c>
      <c r="P2853">
        <v>0</v>
      </c>
      <c r="Q2853">
        <v>0</v>
      </c>
      <c r="R2853">
        <v>0</v>
      </c>
      <c r="S2853">
        <v>0</v>
      </c>
      <c r="T2853">
        <v>12.286384809999999</v>
      </c>
      <c r="U2853">
        <f t="shared" si="88"/>
        <v>0</v>
      </c>
      <c r="V2853">
        <f t="shared" si="89"/>
        <v>0</v>
      </c>
    </row>
    <row r="2854" spans="1:22" x14ac:dyDescent="0.2">
      <c r="A2854" t="s">
        <v>4774</v>
      </c>
      <c r="B2854" t="s">
        <v>56</v>
      </c>
      <c r="C2854" t="s">
        <v>76</v>
      </c>
      <c r="D2854" t="s">
        <v>77</v>
      </c>
      <c r="E2854" s="1" t="s">
        <v>138</v>
      </c>
      <c r="F2854" t="s">
        <v>139</v>
      </c>
      <c r="G2854">
        <v>24</v>
      </c>
      <c r="H2854">
        <v>55452831</v>
      </c>
      <c r="I2854">
        <v>3846551</v>
      </c>
      <c r="J2854">
        <v>13</v>
      </c>
      <c r="K2854">
        <v>39</v>
      </c>
      <c r="L2854">
        <v>-51606280</v>
      </c>
      <c r="M2854" s="1" t="s">
        <v>4779</v>
      </c>
      <c r="N2854">
        <v>6.4866628795558101E-2</v>
      </c>
      <c r="O2854" s="1" t="s">
        <v>4780</v>
      </c>
      <c r="P2854">
        <v>0</v>
      </c>
      <c r="Q2854">
        <v>0</v>
      </c>
      <c r="R2854">
        <v>0</v>
      </c>
      <c r="S2854">
        <v>0</v>
      </c>
      <c r="T2854">
        <v>12.286384809999999</v>
      </c>
      <c r="U2854">
        <f t="shared" si="88"/>
        <v>0</v>
      </c>
      <c r="V2854">
        <f t="shared" si="89"/>
        <v>0</v>
      </c>
    </row>
    <row r="2855" spans="1:22" x14ac:dyDescent="0.2">
      <c r="A2855" t="s">
        <v>4774</v>
      </c>
      <c r="B2855" t="s">
        <v>56</v>
      </c>
      <c r="C2855" t="s">
        <v>76</v>
      </c>
      <c r="D2855" t="s">
        <v>77</v>
      </c>
      <c r="E2855">
        <v>10</v>
      </c>
      <c r="F2855" t="s">
        <v>119</v>
      </c>
      <c r="G2855">
        <v>48</v>
      </c>
      <c r="H2855">
        <v>94579814</v>
      </c>
      <c r="I2855">
        <v>516867</v>
      </c>
      <c r="J2855">
        <v>24</v>
      </c>
      <c r="K2855">
        <v>56</v>
      </c>
      <c r="L2855">
        <v>-94062947</v>
      </c>
      <c r="M2855" s="1" t="s">
        <v>4781</v>
      </c>
      <c r="N2855">
        <v>5.4351739152704998E-3</v>
      </c>
      <c r="O2855">
        <v>2.3319802495909599E-2</v>
      </c>
      <c r="P2855">
        <v>0</v>
      </c>
      <c r="Q2855">
        <v>0</v>
      </c>
      <c r="R2855">
        <v>0</v>
      </c>
      <c r="S2855">
        <v>0</v>
      </c>
      <c r="T2855">
        <v>12.286384809999999</v>
      </c>
      <c r="U2855">
        <f t="shared" si="88"/>
        <v>0</v>
      </c>
      <c r="V2855">
        <f t="shared" si="89"/>
        <v>0</v>
      </c>
    </row>
    <row r="2856" spans="1:22" x14ac:dyDescent="0.2">
      <c r="A2856" t="s">
        <v>4774</v>
      </c>
      <c r="B2856" t="s">
        <v>56</v>
      </c>
      <c r="C2856" t="s">
        <v>76</v>
      </c>
      <c r="D2856" t="s">
        <v>77</v>
      </c>
      <c r="E2856" s="1" t="s">
        <v>99</v>
      </c>
      <c r="F2856" t="s">
        <v>100</v>
      </c>
      <c r="G2856">
        <v>40</v>
      </c>
      <c r="H2856">
        <v>17900841</v>
      </c>
      <c r="I2856">
        <v>8206442</v>
      </c>
      <c r="J2856">
        <v>59</v>
      </c>
      <c r="K2856">
        <v>45</v>
      </c>
      <c r="L2856">
        <v>-9694399</v>
      </c>
      <c r="M2856" s="1" t="s">
        <v>4782</v>
      </c>
      <c r="N2856" s="1" t="s">
        <v>4783</v>
      </c>
      <c r="O2856">
        <v>6.4020813015000996E-3</v>
      </c>
      <c r="P2856">
        <v>0</v>
      </c>
      <c r="Q2856">
        <v>0</v>
      </c>
      <c r="R2856">
        <v>0</v>
      </c>
      <c r="S2856">
        <v>0</v>
      </c>
      <c r="T2856">
        <v>12.286384809999999</v>
      </c>
      <c r="U2856">
        <f t="shared" si="88"/>
        <v>0</v>
      </c>
      <c r="V2856">
        <f t="shared" si="89"/>
        <v>0</v>
      </c>
    </row>
    <row r="2857" spans="1:22" x14ac:dyDescent="0.2">
      <c r="A2857" t="s">
        <v>4774</v>
      </c>
      <c r="B2857" t="s">
        <v>56</v>
      </c>
      <c r="C2857" t="s">
        <v>76</v>
      </c>
      <c r="D2857" t="s">
        <v>77</v>
      </c>
      <c r="E2857" s="1" t="s">
        <v>93</v>
      </c>
      <c r="F2857" t="s">
        <v>94</v>
      </c>
      <c r="G2857">
        <v>44</v>
      </c>
      <c r="H2857">
        <v>14782943</v>
      </c>
      <c r="I2857">
        <v>1339951</v>
      </c>
      <c r="J2857">
        <v>62</v>
      </c>
      <c r="K2857">
        <v>42</v>
      </c>
      <c r="L2857">
        <v>-13442992</v>
      </c>
      <c r="M2857" s="1" t="s">
        <v>4784</v>
      </c>
      <c r="N2857">
        <v>8.3108590802618898E-2</v>
      </c>
      <c r="O2857">
        <v>3.9536890224642698E-3</v>
      </c>
      <c r="P2857">
        <v>0</v>
      </c>
      <c r="Q2857">
        <v>0</v>
      </c>
      <c r="R2857">
        <v>0</v>
      </c>
      <c r="S2857">
        <v>0</v>
      </c>
      <c r="T2857">
        <v>12.286384809999999</v>
      </c>
      <c r="U2857">
        <f t="shared" si="88"/>
        <v>0</v>
      </c>
      <c r="V2857">
        <f t="shared" si="89"/>
        <v>0</v>
      </c>
    </row>
    <row r="2858" spans="1:22" x14ac:dyDescent="0.2">
      <c r="A2858" t="s">
        <v>4774</v>
      </c>
      <c r="B2858" t="s">
        <v>56</v>
      </c>
      <c r="C2858" t="s">
        <v>76</v>
      </c>
      <c r="D2858" t="s">
        <v>77</v>
      </c>
      <c r="E2858">
        <v>15</v>
      </c>
      <c r="F2858" t="s">
        <v>88</v>
      </c>
      <c r="G2858">
        <v>76</v>
      </c>
      <c r="H2858">
        <v>6235867</v>
      </c>
      <c r="I2858">
        <v>0</v>
      </c>
      <c r="J2858">
        <v>71</v>
      </c>
      <c r="K2858">
        <v>92</v>
      </c>
      <c r="L2858">
        <v>-6235867</v>
      </c>
      <c r="M2858">
        <v>1</v>
      </c>
      <c r="N2858">
        <v>0</v>
      </c>
      <c r="O2858">
        <v>1.5291720520799301E-3</v>
      </c>
      <c r="P2858">
        <v>0</v>
      </c>
      <c r="Q2858">
        <v>0</v>
      </c>
      <c r="R2858">
        <v>0</v>
      </c>
      <c r="S2858">
        <v>0</v>
      </c>
      <c r="T2858">
        <v>12.286384809999999</v>
      </c>
      <c r="U2858">
        <f t="shared" si="88"/>
        <v>0</v>
      </c>
      <c r="V2858">
        <f t="shared" si="89"/>
        <v>0</v>
      </c>
    </row>
    <row r="2859" spans="1:22" x14ac:dyDescent="0.2">
      <c r="A2859" t="s">
        <v>4774</v>
      </c>
      <c r="B2859" t="s">
        <v>56</v>
      </c>
      <c r="C2859" t="s">
        <v>76</v>
      </c>
      <c r="D2859" t="s">
        <v>77</v>
      </c>
      <c r="E2859" s="1" t="s">
        <v>85</v>
      </c>
      <c r="F2859" t="s">
        <v>86</v>
      </c>
      <c r="G2859">
        <v>25</v>
      </c>
      <c r="H2859">
        <v>5079542</v>
      </c>
      <c r="I2859">
        <v>15966</v>
      </c>
      <c r="J2859">
        <v>47</v>
      </c>
      <c r="K2859">
        <v>74</v>
      </c>
      <c r="L2859">
        <v>-5063576</v>
      </c>
      <c r="M2859" s="1" t="s">
        <v>4785</v>
      </c>
      <c r="N2859">
        <v>3.13334803909639E-3</v>
      </c>
      <c r="O2859">
        <v>1.2495308871644799E-3</v>
      </c>
      <c r="P2859">
        <v>0</v>
      </c>
      <c r="Q2859">
        <v>0</v>
      </c>
      <c r="R2859">
        <v>0</v>
      </c>
      <c r="S2859">
        <v>0</v>
      </c>
      <c r="T2859">
        <v>12.286384809999999</v>
      </c>
      <c r="U2859">
        <f t="shared" si="88"/>
        <v>0</v>
      </c>
      <c r="V2859">
        <f t="shared" si="89"/>
        <v>0</v>
      </c>
    </row>
    <row r="2860" spans="1:22" x14ac:dyDescent="0.2">
      <c r="A2860" t="s">
        <v>4774</v>
      </c>
      <c r="B2860" t="s">
        <v>56</v>
      </c>
      <c r="C2860" t="s">
        <v>76</v>
      </c>
      <c r="D2860" t="s">
        <v>77</v>
      </c>
      <c r="E2860" s="1" t="s">
        <v>155</v>
      </c>
      <c r="F2860" t="s">
        <v>156</v>
      </c>
      <c r="G2860" s="1" t="s">
        <v>110</v>
      </c>
      <c r="H2860">
        <v>5335193</v>
      </c>
      <c r="I2860">
        <v>28018</v>
      </c>
      <c r="J2860">
        <v>52</v>
      </c>
      <c r="K2860">
        <v>58</v>
      </c>
      <c r="L2860">
        <v>-5307175</v>
      </c>
      <c r="M2860" s="1" t="s">
        <v>4786</v>
      </c>
      <c r="N2860">
        <v>5.2241092136781396E-3</v>
      </c>
      <c r="O2860">
        <v>1.3151775640191899E-3</v>
      </c>
      <c r="P2860">
        <v>0</v>
      </c>
      <c r="Q2860">
        <v>0</v>
      </c>
      <c r="R2860">
        <v>0</v>
      </c>
      <c r="S2860">
        <v>0</v>
      </c>
      <c r="T2860">
        <v>12.286384809999999</v>
      </c>
      <c r="U2860">
        <f t="shared" si="88"/>
        <v>0</v>
      </c>
      <c r="V2860">
        <f t="shared" si="89"/>
        <v>0</v>
      </c>
    </row>
    <row r="2861" spans="1:22" x14ac:dyDescent="0.2">
      <c r="A2861" t="s">
        <v>4774</v>
      </c>
      <c r="B2861" t="s">
        <v>56</v>
      </c>
      <c r="C2861" t="s">
        <v>76</v>
      </c>
      <c r="D2861" t="s">
        <v>77</v>
      </c>
      <c r="E2861">
        <v>17</v>
      </c>
      <c r="F2861" t="s">
        <v>97</v>
      </c>
      <c r="G2861">
        <v>87</v>
      </c>
      <c r="H2861">
        <v>9974589</v>
      </c>
      <c r="I2861">
        <v>2709778</v>
      </c>
      <c r="J2861">
        <v>46</v>
      </c>
      <c r="K2861">
        <v>60</v>
      </c>
      <c r="L2861">
        <v>-7264811</v>
      </c>
      <c r="M2861" s="1" t="s">
        <v>4787</v>
      </c>
      <c r="N2861" s="1" t="s">
        <v>4788</v>
      </c>
      <c r="O2861">
        <v>3.1104864030494801E-3</v>
      </c>
      <c r="P2861">
        <v>0</v>
      </c>
      <c r="Q2861">
        <v>0</v>
      </c>
      <c r="R2861">
        <v>0</v>
      </c>
      <c r="S2861">
        <v>0</v>
      </c>
      <c r="T2861">
        <v>12.286384809999999</v>
      </c>
      <c r="U2861">
        <f t="shared" si="88"/>
        <v>0</v>
      </c>
      <c r="V2861">
        <f t="shared" si="89"/>
        <v>0</v>
      </c>
    </row>
    <row r="2862" spans="1:22" x14ac:dyDescent="0.2">
      <c r="A2862" t="s">
        <v>4774</v>
      </c>
      <c r="B2862" t="s">
        <v>56</v>
      </c>
      <c r="C2862" t="s">
        <v>76</v>
      </c>
      <c r="D2862" t="s">
        <v>77</v>
      </c>
      <c r="E2862">
        <v>10</v>
      </c>
      <c r="F2862" t="s">
        <v>119</v>
      </c>
      <c r="G2862">
        <v>47</v>
      </c>
      <c r="H2862">
        <v>1911027</v>
      </c>
      <c r="I2862">
        <v>32400</v>
      </c>
      <c r="J2862">
        <v>47</v>
      </c>
      <c r="K2862">
        <v>28</v>
      </c>
      <c r="L2862">
        <v>-1878627</v>
      </c>
      <c r="M2862" s="1" t="s">
        <v>4789</v>
      </c>
      <c r="N2862">
        <v>1.6671580666523599E-2</v>
      </c>
      <c r="O2862" s="1" t="s">
        <v>4790</v>
      </c>
      <c r="P2862">
        <v>0</v>
      </c>
      <c r="Q2862">
        <v>0</v>
      </c>
      <c r="R2862">
        <v>0</v>
      </c>
      <c r="S2862">
        <v>0</v>
      </c>
      <c r="T2862">
        <v>12.286384809999999</v>
      </c>
      <c r="U2862">
        <f t="shared" si="88"/>
        <v>0</v>
      </c>
      <c r="V2862">
        <f t="shared" si="89"/>
        <v>0</v>
      </c>
    </row>
    <row r="2863" spans="1:22" x14ac:dyDescent="0.2">
      <c r="A2863" t="s">
        <v>4774</v>
      </c>
      <c r="B2863" t="s">
        <v>56</v>
      </c>
      <c r="C2863" t="s">
        <v>76</v>
      </c>
      <c r="D2863" t="s">
        <v>77</v>
      </c>
      <c r="E2863">
        <v>16</v>
      </c>
      <c r="F2863" t="s">
        <v>95</v>
      </c>
      <c r="G2863">
        <v>84</v>
      </c>
      <c r="H2863">
        <v>8250813</v>
      </c>
      <c r="I2863">
        <v>58621946</v>
      </c>
      <c r="J2863">
        <v>70</v>
      </c>
      <c r="K2863">
        <v>52</v>
      </c>
      <c r="L2863">
        <v>50371133</v>
      </c>
      <c r="M2863" s="1" t="s">
        <v>4791</v>
      </c>
      <c r="N2863" s="1" t="s">
        <v>4792</v>
      </c>
      <c r="O2863" s="1" t="s">
        <v>4793</v>
      </c>
      <c r="P2863">
        <v>0</v>
      </c>
      <c r="Q2863">
        <v>0</v>
      </c>
      <c r="R2863">
        <v>0</v>
      </c>
      <c r="S2863">
        <v>0</v>
      </c>
      <c r="T2863">
        <v>12.286384809999999</v>
      </c>
      <c r="U2863">
        <f t="shared" si="88"/>
        <v>0</v>
      </c>
      <c r="V2863">
        <f t="shared" si="89"/>
        <v>0</v>
      </c>
    </row>
    <row r="2864" spans="1:22" x14ac:dyDescent="0.2">
      <c r="A2864" t="s">
        <v>4774</v>
      </c>
      <c r="B2864" t="s">
        <v>56</v>
      </c>
      <c r="C2864" t="s">
        <v>76</v>
      </c>
      <c r="D2864" t="s">
        <v>77</v>
      </c>
      <c r="E2864" s="1" t="s">
        <v>89</v>
      </c>
      <c r="F2864" t="s">
        <v>90</v>
      </c>
      <c r="G2864">
        <v>28</v>
      </c>
      <c r="H2864">
        <v>10153723</v>
      </c>
      <c r="I2864">
        <v>1807</v>
      </c>
      <c r="J2864">
        <v>74</v>
      </c>
      <c r="K2864">
        <v>82</v>
      </c>
      <c r="L2864">
        <v>-10151916</v>
      </c>
      <c r="M2864" s="1" t="s">
        <v>4794</v>
      </c>
      <c r="N2864" s="1" t="s">
        <v>4795</v>
      </c>
      <c r="O2864">
        <v>2.4903598248742801E-3</v>
      </c>
      <c r="P2864">
        <v>0</v>
      </c>
      <c r="Q2864">
        <v>0</v>
      </c>
      <c r="R2864">
        <v>0</v>
      </c>
      <c r="S2864">
        <v>0</v>
      </c>
      <c r="T2864">
        <v>12.286384809999999</v>
      </c>
      <c r="U2864">
        <f t="shared" si="88"/>
        <v>0</v>
      </c>
      <c r="V2864">
        <f t="shared" si="89"/>
        <v>0</v>
      </c>
    </row>
    <row r="2865" spans="1:22" x14ac:dyDescent="0.2">
      <c r="A2865" t="s">
        <v>4774</v>
      </c>
      <c r="B2865" t="s">
        <v>56</v>
      </c>
      <c r="C2865" t="s">
        <v>76</v>
      </c>
      <c r="D2865" t="s">
        <v>77</v>
      </c>
      <c r="E2865" s="1" t="s">
        <v>89</v>
      </c>
      <c r="F2865" t="s">
        <v>90</v>
      </c>
      <c r="G2865">
        <v>33</v>
      </c>
      <c r="H2865">
        <v>1007197</v>
      </c>
      <c r="I2865">
        <v>1992367</v>
      </c>
      <c r="J2865">
        <v>66</v>
      </c>
      <c r="K2865">
        <v>49</v>
      </c>
      <c r="L2865">
        <v>985170</v>
      </c>
      <c r="M2865" s="1" t="s">
        <v>4796</v>
      </c>
      <c r="N2865" s="1" t="s">
        <v>4797</v>
      </c>
      <c r="O2865" s="1" t="s">
        <v>4798</v>
      </c>
      <c r="P2865">
        <v>0</v>
      </c>
      <c r="Q2865">
        <v>0</v>
      </c>
      <c r="R2865">
        <v>0</v>
      </c>
      <c r="S2865">
        <v>0</v>
      </c>
      <c r="T2865">
        <v>12.286384809999999</v>
      </c>
      <c r="U2865">
        <f t="shared" si="88"/>
        <v>0</v>
      </c>
      <c r="V2865">
        <f t="shared" si="89"/>
        <v>0</v>
      </c>
    </row>
    <row r="2866" spans="1:22" x14ac:dyDescent="0.2">
      <c r="A2866" t="s">
        <v>4774</v>
      </c>
      <c r="B2866" t="s">
        <v>56</v>
      </c>
      <c r="C2866" t="s">
        <v>76</v>
      </c>
      <c r="D2866" t="s">
        <v>77</v>
      </c>
      <c r="E2866" s="1" t="s">
        <v>99</v>
      </c>
      <c r="F2866" t="s">
        <v>100</v>
      </c>
      <c r="G2866">
        <v>39</v>
      </c>
      <c r="H2866">
        <v>1754246</v>
      </c>
      <c r="I2866">
        <v>3977649</v>
      </c>
      <c r="J2866">
        <v>79</v>
      </c>
      <c r="K2866">
        <v>62</v>
      </c>
      <c r="L2866">
        <v>2223403</v>
      </c>
      <c r="M2866" s="1" t="s">
        <v>4799</v>
      </c>
      <c r="N2866" s="1" t="s">
        <v>4800</v>
      </c>
      <c r="O2866">
        <v>1.4055870081027501E-3</v>
      </c>
      <c r="P2866">
        <v>0</v>
      </c>
      <c r="Q2866">
        <v>0</v>
      </c>
      <c r="R2866">
        <v>0</v>
      </c>
      <c r="S2866">
        <v>0</v>
      </c>
      <c r="T2866">
        <v>12.286384809999999</v>
      </c>
      <c r="U2866">
        <f t="shared" si="88"/>
        <v>0</v>
      </c>
      <c r="V2866">
        <f t="shared" si="89"/>
        <v>0</v>
      </c>
    </row>
    <row r="2867" spans="1:22" x14ac:dyDescent="0.2">
      <c r="A2867" t="s">
        <v>4774</v>
      </c>
      <c r="B2867" t="s">
        <v>56</v>
      </c>
      <c r="C2867" t="s">
        <v>76</v>
      </c>
      <c r="D2867" t="s">
        <v>77</v>
      </c>
      <c r="E2867" s="1" t="s">
        <v>89</v>
      </c>
      <c r="F2867" t="s">
        <v>90</v>
      </c>
      <c r="G2867">
        <v>31</v>
      </c>
      <c r="H2867">
        <v>4238843</v>
      </c>
      <c r="I2867">
        <v>0</v>
      </c>
      <c r="J2867">
        <v>109</v>
      </c>
      <c r="K2867">
        <v>51</v>
      </c>
      <c r="L2867">
        <v>-4238843</v>
      </c>
      <c r="M2867">
        <v>1</v>
      </c>
      <c r="N2867">
        <v>0</v>
      </c>
      <c r="O2867">
        <v>1.03945774480993E-3</v>
      </c>
      <c r="P2867">
        <v>0</v>
      </c>
      <c r="Q2867">
        <v>0</v>
      </c>
      <c r="R2867">
        <v>0</v>
      </c>
      <c r="S2867">
        <v>0</v>
      </c>
      <c r="T2867">
        <v>12.286384809999999</v>
      </c>
      <c r="U2867">
        <f t="shared" si="88"/>
        <v>0</v>
      </c>
      <c r="V2867">
        <f t="shared" si="89"/>
        <v>0</v>
      </c>
    </row>
    <row r="2868" spans="1:22" x14ac:dyDescent="0.2">
      <c r="A2868" t="s">
        <v>4774</v>
      </c>
      <c r="B2868" t="s">
        <v>56</v>
      </c>
      <c r="C2868" t="s">
        <v>76</v>
      </c>
      <c r="D2868" t="s">
        <v>77</v>
      </c>
      <c r="E2868" s="1" t="s">
        <v>138</v>
      </c>
      <c r="F2868" t="s">
        <v>139</v>
      </c>
      <c r="G2868">
        <v>17</v>
      </c>
      <c r="H2868">
        <v>181781</v>
      </c>
      <c r="I2868">
        <v>132607</v>
      </c>
      <c r="J2868">
        <v>70</v>
      </c>
      <c r="K2868">
        <v>64</v>
      </c>
      <c r="L2868">
        <v>-49174</v>
      </c>
      <c r="M2868" s="1" t="s">
        <v>4801</v>
      </c>
      <c r="N2868" s="1" t="s">
        <v>4802</v>
      </c>
      <c r="O2868" s="1" t="s">
        <v>4803</v>
      </c>
      <c r="P2868">
        <v>0</v>
      </c>
      <c r="Q2868">
        <v>0</v>
      </c>
      <c r="R2868">
        <v>0</v>
      </c>
      <c r="S2868">
        <v>0</v>
      </c>
      <c r="T2868">
        <v>12.286384809999999</v>
      </c>
      <c r="U2868">
        <f t="shared" si="88"/>
        <v>0</v>
      </c>
      <c r="V2868">
        <f t="shared" si="89"/>
        <v>0</v>
      </c>
    </row>
    <row r="2869" spans="1:22" x14ac:dyDescent="0.2">
      <c r="A2869" t="s">
        <v>4774</v>
      </c>
      <c r="B2869" t="s">
        <v>56</v>
      </c>
      <c r="C2869" t="s">
        <v>76</v>
      </c>
      <c r="D2869" t="s">
        <v>77</v>
      </c>
      <c r="E2869">
        <v>20</v>
      </c>
      <c r="F2869" t="s">
        <v>104</v>
      </c>
      <c r="G2869">
        <v>94</v>
      </c>
      <c r="H2869">
        <v>559645</v>
      </c>
      <c r="I2869">
        <v>1148770</v>
      </c>
      <c r="J2869">
        <v>65</v>
      </c>
      <c r="K2869">
        <v>54</v>
      </c>
      <c r="L2869">
        <v>589125</v>
      </c>
      <c r="M2869" s="1" t="s">
        <v>4804</v>
      </c>
      <c r="N2869" s="1" t="s">
        <v>4805</v>
      </c>
      <c r="O2869" s="1" t="s">
        <v>4806</v>
      </c>
      <c r="P2869">
        <v>0</v>
      </c>
      <c r="Q2869">
        <v>0</v>
      </c>
      <c r="R2869">
        <v>0</v>
      </c>
      <c r="S2869">
        <v>0</v>
      </c>
      <c r="T2869">
        <v>12.286384809999999</v>
      </c>
      <c r="U2869">
        <f t="shared" si="88"/>
        <v>0</v>
      </c>
      <c r="V2869">
        <f t="shared" si="89"/>
        <v>0</v>
      </c>
    </row>
    <row r="2870" spans="1:22" x14ac:dyDescent="0.2">
      <c r="A2870" t="s">
        <v>4774</v>
      </c>
      <c r="B2870" t="s">
        <v>56</v>
      </c>
      <c r="C2870" t="s">
        <v>76</v>
      </c>
      <c r="D2870" t="s">
        <v>77</v>
      </c>
      <c r="E2870" s="1" t="s">
        <v>89</v>
      </c>
      <c r="F2870" t="s">
        <v>90</v>
      </c>
      <c r="G2870">
        <v>29</v>
      </c>
      <c r="H2870">
        <v>1647708</v>
      </c>
      <c r="I2870">
        <v>1894136</v>
      </c>
      <c r="J2870">
        <v>86</v>
      </c>
      <c r="K2870">
        <v>51</v>
      </c>
      <c r="L2870">
        <v>246428</v>
      </c>
      <c r="M2870" s="1" t="s">
        <v>4807</v>
      </c>
      <c r="N2870" s="1" t="s">
        <v>4808</v>
      </c>
      <c r="O2870" s="1" t="s">
        <v>4809</v>
      </c>
      <c r="P2870">
        <v>0</v>
      </c>
      <c r="Q2870">
        <v>0</v>
      </c>
      <c r="R2870">
        <v>0</v>
      </c>
      <c r="S2870">
        <v>0</v>
      </c>
      <c r="T2870">
        <v>12.286384809999999</v>
      </c>
      <c r="U2870">
        <f t="shared" si="88"/>
        <v>0</v>
      </c>
      <c r="V2870">
        <f t="shared" si="89"/>
        <v>0</v>
      </c>
    </row>
    <row r="2871" spans="1:22" x14ac:dyDescent="0.2">
      <c r="A2871" t="s">
        <v>4774</v>
      </c>
      <c r="B2871" t="s">
        <v>56</v>
      </c>
      <c r="C2871" t="s">
        <v>76</v>
      </c>
      <c r="D2871" t="s">
        <v>77</v>
      </c>
      <c r="E2871">
        <v>15</v>
      </c>
      <c r="F2871" t="s">
        <v>88</v>
      </c>
      <c r="G2871">
        <v>82</v>
      </c>
      <c r="H2871">
        <v>146432</v>
      </c>
      <c r="I2871">
        <v>9739</v>
      </c>
      <c r="J2871">
        <v>88</v>
      </c>
      <c r="K2871">
        <v>76</v>
      </c>
      <c r="L2871">
        <v>-136693</v>
      </c>
      <c r="M2871" s="1" t="s">
        <v>4810</v>
      </c>
      <c r="N2871">
        <v>6.2361129787220401E-2</v>
      </c>
      <c r="O2871" s="1" t="s">
        <v>4811</v>
      </c>
      <c r="P2871">
        <v>0</v>
      </c>
      <c r="Q2871">
        <v>0</v>
      </c>
      <c r="R2871">
        <v>0</v>
      </c>
      <c r="S2871">
        <v>0</v>
      </c>
      <c r="T2871">
        <v>12.286384809999999</v>
      </c>
      <c r="U2871">
        <f t="shared" si="88"/>
        <v>0</v>
      </c>
      <c r="V2871">
        <f t="shared" si="89"/>
        <v>0</v>
      </c>
    </row>
    <row r="2872" spans="1:22" x14ac:dyDescent="0.2">
      <c r="A2872" t="s">
        <v>4774</v>
      </c>
      <c r="B2872" t="s">
        <v>56</v>
      </c>
      <c r="C2872" t="s">
        <v>76</v>
      </c>
      <c r="D2872" t="s">
        <v>77</v>
      </c>
      <c r="E2872">
        <v>19</v>
      </c>
      <c r="F2872" t="s">
        <v>838</v>
      </c>
      <c r="G2872">
        <v>93</v>
      </c>
      <c r="H2872">
        <v>168248</v>
      </c>
      <c r="I2872">
        <v>201795</v>
      </c>
      <c r="J2872">
        <v>50</v>
      </c>
      <c r="K2872">
        <v>22</v>
      </c>
      <c r="L2872">
        <v>33547</v>
      </c>
      <c r="M2872" s="1" t="s">
        <v>4812</v>
      </c>
      <c r="N2872">
        <v>0.54532851587518205</v>
      </c>
      <c r="O2872" s="1" t="s">
        <v>4813</v>
      </c>
      <c r="P2872">
        <v>0</v>
      </c>
      <c r="Q2872">
        <v>0</v>
      </c>
      <c r="R2872">
        <v>0</v>
      </c>
      <c r="S2872">
        <v>0</v>
      </c>
      <c r="T2872">
        <v>12.286384809999999</v>
      </c>
      <c r="U2872">
        <f t="shared" si="88"/>
        <v>0</v>
      </c>
      <c r="V2872">
        <f t="shared" si="89"/>
        <v>0</v>
      </c>
    </row>
    <row r="2873" spans="1:22" x14ac:dyDescent="0.2">
      <c r="A2873" t="s">
        <v>4774</v>
      </c>
      <c r="B2873" t="s">
        <v>56</v>
      </c>
      <c r="C2873" t="s">
        <v>76</v>
      </c>
      <c r="D2873" t="s">
        <v>77</v>
      </c>
      <c r="E2873">
        <v>17</v>
      </c>
      <c r="F2873" t="s">
        <v>97</v>
      </c>
      <c r="G2873">
        <v>88</v>
      </c>
      <c r="H2873">
        <v>1743930</v>
      </c>
      <c r="I2873">
        <v>3789021</v>
      </c>
      <c r="J2873">
        <v>56</v>
      </c>
      <c r="K2873">
        <v>38</v>
      </c>
      <c r="L2873">
        <v>2045091</v>
      </c>
      <c r="M2873" s="1" t="s">
        <v>4814</v>
      </c>
      <c r="N2873" s="1" t="s">
        <v>4815</v>
      </c>
      <c r="O2873">
        <v>1.35680155377395E-3</v>
      </c>
      <c r="P2873">
        <v>0</v>
      </c>
      <c r="Q2873">
        <v>0</v>
      </c>
      <c r="R2873">
        <v>0</v>
      </c>
      <c r="S2873">
        <v>0</v>
      </c>
      <c r="T2873">
        <v>12.286384809999999</v>
      </c>
      <c r="U2873">
        <f t="shared" si="88"/>
        <v>0</v>
      </c>
      <c r="V2873">
        <f t="shared" si="89"/>
        <v>0</v>
      </c>
    </row>
    <row r="2874" spans="1:22" x14ac:dyDescent="0.2">
      <c r="A2874" t="s">
        <v>4774</v>
      </c>
      <c r="B2874" t="s">
        <v>56</v>
      </c>
      <c r="C2874" t="s">
        <v>76</v>
      </c>
      <c r="D2874" t="s">
        <v>77</v>
      </c>
      <c r="E2874">
        <v>18</v>
      </c>
      <c r="F2874" t="s">
        <v>147</v>
      </c>
      <c r="G2874">
        <v>90</v>
      </c>
      <c r="H2874">
        <v>837012</v>
      </c>
      <c r="I2874">
        <v>12767421</v>
      </c>
      <c r="J2874">
        <v>84</v>
      </c>
      <c r="K2874">
        <v>50</v>
      </c>
      <c r="L2874">
        <v>11930409</v>
      </c>
      <c r="M2874">
        <v>6.1524945582076003E-2</v>
      </c>
      <c r="N2874" s="1" t="s">
        <v>4816</v>
      </c>
      <c r="O2874">
        <v>3.3361068682179998E-3</v>
      </c>
      <c r="P2874">
        <v>0</v>
      </c>
      <c r="Q2874">
        <v>0</v>
      </c>
      <c r="R2874">
        <v>0</v>
      </c>
      <c r="S2874">
        <v>0</v>
      </c>
      <c r="T2874">
        <v>12.286384809999999</v>
      </c>
      <c r="U2874">
        <f t="shared" si="88"/>
        <v>0</v>
      </c>
      <c r="V2874">
        <f t="shared" si="89"/>
        <v>0</v>
      </c>
    </row>
    <row r="2875" spans="1:22" x14ac:dyDescent="0.2">
      <c r="A2875" t="s">
        <v>4774</v>
      </c>
      <c r="B2875" t="s">
        <v>56</v>
      </c>
      <c r="C2875" t="s">
        <v>76</v>
      </c>
      <c r="D2875" t="s">
        <v>77</v>
      </c>
      <c r="E2875">
        <v>13</v>
      </c>
      <c r="F2875" t="s">
        <v>91</v>
      </c>
      <c r="G2875">
        <v>68</v>
      </c>
      <c r="H2875">
        <v>321367</v>
      </c>
      <c r="I2875">
        <v>1363</v>
      </c>
      <c r="J2875">
        <v>70</v>
      </c>
      <c r="K2875">
        <v>78</v>
      </c>
      <c r="L2875">
        <v>-320004</v>
      </c>
      <c r="M2875" s="1" t="s">
        <v>4817</v>
      </c>
      <c r="N2875">
        <v>4.2233445914541499E-3</v>
      </c>
      <c r="O2875" s="1" t="s">
        <v>4818</v>
      </c>
      <c r="P2875">
        <v>0</v>
      </c>
      <c r="Q2875">
        <v>0</v>
      </c>
      <c r="R2875">
        <v>0</v>
      </c>
      <c r="S2875">
        <v>0</v>
      </c>
      <c r="T2875">
        <v>12.286384809999999</v>
      </c>
      <c r="U2875">
        <f t="shared" si="88"/>
        <v>0</v>
      </c>
      <c r="V2875">
        <f t="shared" si="89"/>
        <v>0</v>
      </c>
    </row>
    <row r="2876" spans="1:22" x14ac:dyDescent="0.2">
      <c r="A2876" t="s">
        <v>4774</v>
      </c>
      <c r="B2876" t="s">
        <v>56</v>
      </c>
      <c r="C2876" t="s">
        <v>76</v>
      </c>
      <c r="D2876" t="s">
        <v>77</v>
      </c>
      <c r="E2876">
        <v>16</v>
      </c>
      <c r="F2876" t="s">
        <v>95</v>
      </c>
      <c r="G2876">
        <v>85</v>
      </c>
      <c r="H2876">
        <v>1314874</v>
      </c>
      <c r="I2876">
        <v>105943855</v>
      </c>
      <c r="J2876">
        <v>97</v>
      </c>
      <c r="K2876">
        <v>44</v>
      </c>
      <c r="L2876">
        <v>104628981</v>
      </c>
      <c r="M2876" s="1" t="s">
        <v>4819</v>
      </c>
      <c r="N2876" s="1" t="s">
        <v>4820</v>
      </c>
      <c r="O2876">
        <v>2.6302204766140001E-2</v>
      </c>
      <c r="P2876">
        <v>0</v>
      </c>
      <c r="Q2876">
        <v>0</v>
      </c>
      <c r="R2876">
        <v>0</v>
      </c>
      <c r="S2876">
        <v>0</v>
      </c>
      <c r="T2876">
        <v>12.286384809999999</v>
      </c>
      <c r="U2876">
        <f t="shared" si="88"/>
        <v>0</v>
      </c>
      <c r="V2876">
        <f t="shared" si="89"/>
        <v>0</v>
      </c>
    </row>
    <row r="2877" spans="1:22" x14ac:dyDescent="0.2">
      <c r="A2877" t="s">
        <v>4774</v>
      </c>
      <c r="B2877" t="s">
        <v>56</v>
      </c>
      <c r="C2877" t="s">
        <v>76</v>
      </c>
      <c r="D2877" t="s">
        <v>77</v>
      </c>
      <c r="E2877">
        <v>13</v>
      </c>
      <c r="F2877" t="s">
        <v>91</v>
      </c>
      <c r="G2877">
        <v>70</v>
      </c>
      <c r="H2877">
        <v>234379</v>
      </c>
      <c r="I2877">
        <v>759435</v>
      </c>
      <c r="J2877">
        <v>79</v>
      </c>
      <c r="K2877">
        <v>48</v>
      </c>
      <c r="L2877">
        <v>525056</v>
      </c>
      <c r="M2877" s="1" t="s">
        <v>4821</v>
      </c>
      <c r="N2877" s="1" t="s">
        <v>4822</v>
      </c>
      <c r="O2877" s="1" t="s">
        <v>4823</v>
      </c>
      <c r="P2877">
        <v>0</v>
      </c>
      <c r="Q2877">
        <v>0</v>
      </c>
      <c r="R2877">
        <v>0</v>
      </c>
      <c r="S2877">
        <v>0</v>
      </c>
      <c r="T2877">
        <v>12.286384809999999</v>
      </c>
      <c r="U2877">
        <f t="shared" si="88"/>
        <v>0</v>
      </c>
      <c r="V2877">
        <f t="shared" si="89"/>
        <v>0</v>
      </c>
    </row>
    <row r="2878" spans="1:22" x14ac:dyDescent="0.2">
      <c r="A2878" t="s">
        <v>4774</v>
      </c>
      <c r="B2878" t="s">
        <v>56</v>
      </c>
      <c r="C2878" t="s">
        <v>76</v>
      </c>
      <c r="D2878" t="s">
        <v>77</v>
      </c>
      <c r="E2878" s="1" t="s">
        <v>89</v>
      </c>
      <c r="F2878" t="s">
        <v>90</v>
      </c>
      <c r="G2878">
        <v>38</v>
      </c>
      <c r="H2878">
        <v>127802</v>
      </c>
      <c r="I2878">
        <v>10783674</v>
      </c>
      <c r="J2878">
        <v>96</v>
      </c>
      <c r="K2878">
        <v>43</v>
      </c>
      <c r="L2878">
        <v>10655872</v>
      </c>
      <c r="M2878" s="1" t="s">
        <v>4824</v>
      </c>
      <c r="N2878" s="1" t="s">
        <v>4825</v>
      </c>
      <c r="O2878">
        <v>2.6757344481755201E-3</v>
      </c>
      <c r="P2878">
        <v>0</v>
      </c>
      <c r="Q2878">
        <v>0</v>
      </c>
      <c r="R2878">
        <v>0</v>
      </c>
      <c r="S2878">
        <v>0</v>
      </c>
      <c r="T2878">
        <v>12.286384809999999</v>
      </c>
      <c r="U2878">
        <f t="shared" si="88"/>
        <v>0</v>
      </c>
      <c r="V2878">
        <f t="shared" si="89"/>
        <v>0</v>
      </c>
    </row>
    <row r="2879" spans="1:22" x14ac:dyDescent="0.2">
      <c r="A2879" t="s">
        <v>4774</v>
      </c>
      <c r="B2879" t="s">
        <v>56</v>
      </c>
      <c r="C2879" t="s">
        <v>76</v>
      </c>
      <c r="D2879" t="s">
        <v>77</v>
      </c>
      <c r="E2879" s="1" t="s">
        <v>89</v>
      </c>
      <c r="F2879" t="s">
        <v>90</v>
      </c>
      <c r="G2879">
        <v>32</v>
      </c>
      <c r="H2879">
        <v>348624</v>
      </c>
      <c r="I2879">
        <v>867896</v>
      </c>
      <c r="J2879">
        <v>68</v>
      </c>
      <c r="K2879">
        <v>58</v>
      </c>
      <c r="L2879">
        <v>519272</v>
      </c>
      <c r="M2879" s="1" t="s">
        <v>4826</v>
      </c>
      <c r="N2879" s="1" t="s">
        <v>4827</v>
      </c>
      <c r="O2879" s="1" t="s">
        <v>4828</v>
      </c>
      <c r="P2879">
        <v>0</v>
      </c>
      <c r="Q2879">
        <v>0</v>
      </c>
      <c r="R2879">
        <v>0</v>
      </c>
      <c r="S2879">
        <v>0</v>
      </c>
      <c r="T2879">
        <v>12.286384809999999</v>
      </c>
      <c r="U2879">
        <f t="shared" si="88"/>
        <v>0</v>
      </c>
      <c r="V2879">
        <f t="shared" si="89"/>
        <v>0</v>
      </c>
    </row>
    <row r="2880" spans="1:22" x14ac:dyDescent="0.2">
      <c r="A2880" t="s">
        <v>4774</v>
      </c>
      <c r="B2880" t="s">
        <v>56</v>
      </c>
      <c r="C2880" t="s">
        <v>76</v>
      </c>
      <c r="D2880" t="s">
        <v>77</v>
      </c>
      <c r="E2880" s="1" t="s">
        <v>138</v>
      </c>
      <c r="F2880" t="s">
        <v>139</v>
      </c>
      <c r="G2880">
        <v>21</v>
      </c>
      <c r="H2880">
        <v>50568</v>
      </c>
      <c r="I2880">
        <v>62081</v>
      </c>
      <c r="J2880">
        <v>97</v>
      </c>
      <c r="K2880">
        <v>81</v>
      </c>
      <c r="L2880">
        <v>11513</v>
      </c>
      <c r="M2880" s="1" t="s">
        <v>4829</v>
      </c>
      <c r="N2880" s="1" t="s">
        <v>4830</v>
      </c>
      <c r="O2880" s="1" t="s">
        <v>4831</v>
      </c>
      <c r="P2880">
        <v>0</v>
      </c>
      <c r="Q2880">
        <v>0</v>
      </c>
      <c r="R2880">
        <v>0</v>
      </c>
      <c r="S2880">
        <v>0</v>
      </c>
      <c r="T2880">
        <v>12.286384809999999</v>
      </c>
      <c r="U2880">
        <f t="shared" si="88"/>
        <v>0</v>
      </c>
      <c r="V2880">
        <f t="shared" si="89"/>
        <v>0</v>
      </c>
    </row>
    <row r="2881" spans="1:22" x14ac:dyDescent="0.2">
      <c r="A2881" t="s">
        <v>4774</v>
      </c>
      <c r="B2881" t="s">
        <v>56</v>
      </c>
      <c r="C2881" t="s">
        <v>76</v>
      </c>
      <c r="D2881" t="s">
        <v>77</v>
      </c>
      <c r="E2881" s="1" t="s">
        <v>163</v>
      </c>
      <c r="F2881" t="s">
        <v>224</v>
      </c>
      <c r="G2881">
        <v>42</v>
      </c>
      <c r="H2881">
        <v>10655</v>
      </c>
      <c r="I2881">
        <v>331554</v>
      </c>
      <c r="J2881">
        <v>71</v>
      </c>
      <c r="K2881">
        <v>52</v>
      </c>
      <c r="L2881">
        <v>320899</v>
      </c>
      <c r="M2881" s="1" t="s">
        <v>4832</v>
      </c>
      <c r="N2881" s="1" t="s">
        <v>4833</v>
      </c>
      <c r="O2881" s="1" t="s">
        <v>4834</v>
      </c>
      <c r="P2881">
        <v>0</v>
      </c>
      <c r="Q2881">
        <v>0</v>
      </c>
      <c r="R2881">
        <v>0</v>
      </c>
      <c r="S2881">
        <v>0</v>
      </c>
      <c r="T2881">
        <v>12.286384809999999</v>
      </c>
      <c r="U2881">
        <f t="shared" si="88"/>
        <v>0</v>
      </c>
      <c r="V2881">
        <f t="shared" si="89"/>
        <v>0</v>
      </c>
    </row>
    <row r="2882" spans="1:22" x14ac:dyDescent="0.2">
      <c r="A2882" t="s">
        <v>4774</v>
      </c>
      <c r="B2882" t="s">
        <v>56</v>
      </c>
      <c r="C2882" t="s">
        <v>76</v>
      </c>
      <c r="D2882" t="s">
        <v>77</v>
      </c>
      <c r="E2882">
        <v>15</v>
      </c>
      <c r="F2882" t="s">
        <v>88</v>
      </c>
      <c r="G2882">
        <v>83</v>
      </c>
      <c r="H2882">
        <v>3578</v>
      </c>
      <c r="I2882">
        <v>336525</v>
      </c>
      <c r="J2882">
        <v>98</v>
      </c>
      <c r="K2882">
        <v>57</v>
      </c>
      <c r="L2882">
        <v>332947</v>
      </c>
      <c r="M2882" s="1" t="s">
        <v>4835</v>
      </c>
      <c r="N2882" s="1" t="s">
        <v>4836</v>
      </c>
      <c r="O2882" s="1" t="s">
        <v>4837</v>
      </c>
      <c r="P2882">
        <v>0</v>
      </c>
      <c r="Q2882">
        <v>0</v>
      </c>
      <c r="R2882">
        <v>0</v>
      </c>
      <c r="S2882">
        <v>0</v>
      </c>
      <c r="T2882">
        <v>12.286384809999999</v>
      </c>
      <c r="U2882">
        <f t="shared" si="88"/>
        <v>0</v>
      </c>
      <c r="V2882">
        <f t="shared" si="89"/>
        <v>0</v>
      </c>
    </row>
    <row r="2883" spans="1:22" x14ac:dyDescent="0.2">
      <c r="A2883" t="s">
        <v>4774</v>
      </c>
      <c r="B2883" t="s">
        <v>56</v>
      </c>
      <c r="C2883" t="s">
        <v>76</v>
      </c>
      <c r="D2883" t="s">
        <v>77</v>
      </c>
      <c r="E2883">
        <v>11</v>
      </c>
      <c r="F2883" t="s">
        <v>127</v>
      </c>
      <c r="G2883">
        <v>56</v>
      </c>
      <c r="H2883">
        <v>892167</v>
      </c>
      <c r="I2883">
        <v>108691</v>
      </c>
      <c r="J2883">
        <v>38</v>
      </c>
      <c r="K2883">
        <v>56</v>
      </c>
      <c r="L2883">
        <v>-783476</v>
      </c>
      <c r="M2883" s="1" t="s">
        <v>4838</v>
      </c>
      <c r="N2883" s="1" t="s">
        <v>4839</v>
      </c>
      <c r="O2883" s="1" t="s">
        <v>4840</v>
      </c>
      <c r="P2883">
        <v>0</v>
      </c>
      <c r="Q2883">
        <v>0</v>
      </c>
      <c r="R2883">
        <v>0</v>
      </c>
      <c r="S2883">
        <v>0</v>
      </c>
      <c r="T2883">
        <v>12.286384809999999</v>
      </c>
      <c r="U2883">
        <f t="shared" ref="U2883:U2946" si="90">IF(OR(P2883=1,Q2883=1),1,0)</f>
        <v>0</v>
      </c>
      <c r="V2883">
        <f t="shared" ref="V2883:V2946" si="91">IF(OR(R2883=1,S2883=1),1,0)</f>
        <v>0</v>
      </c>
    </row>
    <row r="2884" spans="1:22" x14ac:dyDescent="0.2">
      <c r="A2884" t="s">
        <v>4774</v>
      </c>
      <c r="B2884" t="s">
        <v>56</v>
      </c>
      <c r="C2884" t="s">
        <v>76</v>
      </c>
      <c r="D2884" t="s">
        <v>77</v>
      </c>
      <c r="E2884">
        <v>15</v>
      </c>
      <c r="F2884" t="s">
        <v>88</v>
      </c>
      <c r="G2884">
        <v>73</v>
      </c>
      <c r="H2884">
        <v>2528111</v>
      </c>
      <c r="I2884">
        <v>182205</v>
      </c>
      <c r="J2884">
        <v>69</v>
      </c>
      <c r="K2884">
        <v>74</v>
      </c>
      <c r="L2884">
        <v>-2345906</v>
      </c>
      <c r="M2884" s="1" t="s">
        <v>4841</v>
      </c>
      <c r="N2884">
        <v>6.7226478388497796E-2</v>
      </c>
      <c r="O2884" s="1" t="s">
        <v>4842</v>
      </c>
      <c r="P2884">
        <v>0</v>
      </c>
      <c r="Q2884">
        <v>0</v>
      </c>
      <c r="R2884">
        <v>0</v>
      </c>
      <c r="S2884">
        <v>0</v>
      </c>
      <c r="T2884">
        <v>12.286384809999999</v>
      </c>
      <c r="U2884">
        <f t="shared" si="90"/>
        <v>0</v>
      </c>
      <c r="V2884">
        <f t="shared" si="91"/>
        <v>0</v>
      </c>
    </row>
    <row r="2885" spans="1:22" x14ac:dyDescent="0.2">
      <c r="A2885" t="s">
        <v>4774</v>
      </c>
      <c r="B2885" t="s">
        <v>56</v>
      </c>
      <c r="C2885" t="s">
        <v>76</v>
      </c>
      <c r="D2885" t="s">
        <v>77</v>
      </c>
      <c r="E2885">
        <v>10</v>
      </c>
      <c r="F2885" t="s">
        <v>119</v>
      </c>
      <c r="G2885">
        <v>49</v>
      </c>
      <c r="H2885">
        <v>1871</v>
      </c>
      <c r="I2885">
        <v>17690</v>
      </c>
      <c r="J2885">
        <v>112</v>
      </c>
      <c r="K2885">
        <v>66</v>
      </c>
      <c r="L2885">
        <v>15819</v>
      </c>
      <c r="M2885">
        <v>9.5649506671437998E-2</v>
      </c>
      <c r="N2885">
        <v>0.90435049332856199</v>
      </c>
      <c r="O2885" s="1" t="s">
        <v>4843</v>
      </c>
      <c r="P2885">
        <v>0</v>
      </c>
      <c r="Q2885">
        <v>0</v>
      </c>
      <c r="R2885">
        <v>0</v>
      </c>
      <c r="S2885">
        <v>0</v>
      </c>
      <c r="T2885">
        <v>12.286384809999999</v>
      </c>
      <c r="U2885">
        <f t="shared" si="90"/>
        <v>0</v>
      </c>
      <c r="V2885">
        <f t="shared" si="91"/>
        <v>0</v>
      </c>
    </row>
    <row r="2886" spans="1:22" x14ac:dyDescent="0.2">
      <c r="A2886" t="s">
        <v>4774</v>
      </c>
      <c r="B2886" t="s">
        <v>56</v>
      </c>
      <c r="C2886" t="s">
        <v>76</v>
      </c>
      <c r="D2886" t="s">
        <v>77</v>
      </c>
      <c r="E2886">
        <v>18</v>
      </c>
      <c r="F2886" t="s">
        <v>147</v>
      </c>
      <c r="G2886">
        <v>91</v>
      </c>
      <c r="H2886">
        <v>124</v>
      </c>
      <c r="I2886">
        <v>4899456</v>
      </c>
      <c r="J2886">
        <v>88</v>
      </c>
      <c r="K2886">
        <v>16</v>
      </c>
      <c r="L2886">
        <v>4899332</v>
      </c>
      <c r="M2886" s="1" t="s">
        <v>4844</v>
      </c>
      <c r="N2886" s="1" t="s">
        <v>4845</v>
      </c>
      <c r="O2886">
        <v>1.20148502252049E-3</v>
      </c>
      <c r="P2886">
        <v>0</v>
      </c>
      <c r="Q2886">
        <v>0</v>
      </c>
      <c r="R2886">
        <v>0</v>
      </c>
      <c r="S2886">
        <v>0</v>
      </c>
      <c r="T2886">
        <v>12.286384809999999</v>
      </c>
      <c r="U2886">
        <f t="shared" si="90"/>
        <v>0</v>
      </c>
      <c r="V2886">
        <f t="shared" si="91"/>
        <v>0</v>
      </c>
    </row>
    <row r="2887" spans="1:22" x14ac:dyDescent="0.2">
      <c r="A2887" t="s">
        <v>4774</v>
      </c>
      <c r="B2887" t="s">
        <v>56</v>
      </c>
      <c r="C2887" t="s">
        <v>76</v>
      </c>
      <c r="D2887" t="s">
        <v>77</v>
      </c>
      <c r="E2887">
        <v>11</v>
      </c>
      <c r="F2887" t="s">
        <v>127</v>
      </c>
      <c r="G2887">
        <v>63</v>
      </c>
      <c r="H2887">
        <v>362</v>
      </c>
      <c r="I2887">
        <v>51747</v>
      </c>
      <c r="J2887">
        <v>119</v>
      </c>
      <c r="K2887">
        <v>72</v>
      </c>
      <c r="L2887">
        <v>51385</v>
      </c>
      <c r="M2887">
        <v>6.9469765299660299E-3</v>
      </c>
      <c r="N2887">
        <v>0.99305302347003399</v>
      </c>
      <c r="O2887" s="1" t="s">
        <v>4846</v>
      </c>
      <c r="P2887">
        <v>0</v>
      </c>
      <c r="Q2887">
        <v>0</v>
      </c>
      <c r="R2887">
        <v>0</v>
      </c>
      <c r="S2887">
        <v>0</v>
      </c>
      <c r="T2887">
        <v>12.286384809999999</v>
      </c>
      <c r="U2887">
        <f t="shared" si="90"/>
        <v>0</v>
      </c>
      <c r="V2887">
        <f t="shared" si="91"/>
        <v>0</v>
      </c>
    </row>
    <row r="2888" spans="1:22" x14ac:dyDescent="0.2">
      <c r="A2888" t="s">
        <v>4774</v>
      </c>
      <c r="B2888" t="s">
        <v>56</v>
      </c>
      <c r="C2888" t="s">
        <v>76</v>
      </c>
      <c r="D2888" t="s">
        <v>77</v>
      </c>
      <c r="E2888" s="1" t="s">
        <v>138</v>
      </c>
      <c r="F2888" t="s">
        <v>139</v>
      </c>
      <c r="G2888">
        <v>20</v>
      </c>
      <c r="H2888">
        <v>0</v>
      </c>
      <c r="I2888">
        <v>11752231</v>
      </c>
      <c r="J2888">
        <v>88</v>
      </c>
      <c r="K2888">
        <v>42</v>
      </c>
      <c r="L2888">
        <v>11752231</v>
      </c>
      <c r="M2888">
        <v>0</v>
      </c>
      <c r="N2888">
        <v>1</v>
      </c>
      <c r="O2888">
        <v>2.8819061078094498E-3</v>
      </c>
      <c r="P2888">
        <v>0</v>
      </c>
      <c r="Q2888">
        <v>0</v>
      </c>
      <c r="R2888">
        <v>0</v>
      </c>
      <c r="S2888">
        <v>0</v>
      </c>
      <c r="T2888">
        <v>12.286384809999999</v>
      </c>
      <c r="U2888">
        <f t="shared" si="90"/>
        <v>0</v>
      </c>
      <c r="V2888">
        <f t="shared" si="91"/>
        <v>0</v>
      </c>
    </row>
    <row r="2889" spans="1:22" x14ac:dyDescent="0.2">
      <c r="A2889" t="s">
        <v>4774</v>
      </c>
      <c r="B2889" t="s">
        <v>56</v>
      </c>
      <c r="C2889" t="s">
        <v>76</v>
      </c>
      <c r="D2889" t="s">
        <v>77</v>
      </c>
      <c r="E2889">
        <v>11</v>
      </c>
      <c r="F2889" t="s">
        <v>127</v>
      </c>
      <c r="G2889">
        <v>61</v>
      </c>
      <c r="H2889">
        <v>305</v>
      </c>
      <c r="I2889">
        <v>439295</v>
      </c>
      <c r="J2889">
        <v>118</v>
      </c>
      <c r="K2889">
        <v>63</v>
      </c>
      <c r="L2889">
        <v>438990</v>
      </c>
      <c r="M2889" s="1" t="s">
        <v>4847</v>
      </c>
      <c r="N2889" s="1" t="s">
        <v>4848</v>
      </c>
      <c r="O2889" s="1" t="s">
        <v>4849</v>
      </c>
      <c r="P2889">
        <v>0</v>
      </c>
      <c r="Q2889">
        <v>0</v>
      </c>
      <c r="R2889">
        <v>0</v>
      </c>
      <c r="S2889">
        <v>0</v>
      </c>
      <c r="T2889">
        <v>12.286384809999999</v>
      </c>
      <c r="U2889">
        <f t="shared" si="90"/>
        <v>0</v>
      </c>
      <c r="V2889">
        <f t="shared" si="91"/>
        <v>0</v>
      </c>
    </row>
    <row r="2890" spans="1:22" x14ac:dyDescent="0.2">
      <c r="A2890" t="s">
        <v>4774</v>
      </c>
      <c r="B2890" t="s">
        <v>56</v>
      </c>
      <c r="C2890" t="s">
        <v>76</v>
      </c>
      <c r="D2890" t="s">
        <v>77</v>
      </c>
      <c r="E2890">
        <v>20</v>
      </c>
      <c r="F2890" t="s">
        <v>104</v>
      </c>
      <c r="G2890">
        <v>95</v>
      </c>
      <c r="H2890">
        <v>30867</v>
      </c>
      <c r="I2890">
        <v>1058585</v>
      </c>
      <c r="J2890">
        <v>81</v>
      </c>
      <c r="K2890">
        <v>50</v>
      </c>
      <c r="L2890">
        <v>1027718</v>
      </c>
      <c r="M2890" s="1" t="s">
        <v>4850</v>
      </c>
      <c r="N2890" s="1" t="s">
        <v>4851</v>
      </c>
      <c r="O2890" s="1" t="s">
        <v>4852</v>
      </c>
      <c r="P2890">
        <v>0</v>
      </c>
      <c r="Q2890">
        <v>0</v>
      </c>
      <c r="R2890">
        <v>0</v>
      </c>
      <c r="S2890">
        <v>0</v>
      </c>
      <c r="T2890">
        <v>12.286384809999999</v>
      </c>
      <c r="U2890">
        <f t="shared" si="90"/>
        <v>0</v>
      </c>
      <c r="V2890">
        <f t="shared" si="91"/>
        <v>0</v>
      </c>
    </row>
    <row r="2891" spans="1:22" x14ac:dyDescent="0.2">
      <c r="A2891" t="s">
        <v>4774</v>
      </c>
      <c r="B2891" t="s">
        <v>56</v>
      </c>
      <c r="C2891" t="s">
        <v>76</v>
      </c>
      <c r="D2891" t="s">
        <v>77</v>
      </c>
      <c r="E2891">
        <v>11</v>
      </c>
      <c r="F2891" t="s">
        <v>127</v>
      </c>
      <c r="G2891">
        <v>62</v>
      </c>
      <c r="H2891">
        <v>435</v>
      </c>
      <c r="I2891">
        <v>231288</v>
      </c>
      <c r="J2891">
        <v>116</v>
      </c>
      <c r="K2891">
        <v>67</v>
      </c>
      <c r="L2891">
        <v>230853</v>
      </c>
      <c r="M2891">
        <v>1.87724136145311E-3</v>
      </c>
      <c r="N2891" s="1" t="s">
        <v>4853</v>
      </c>
      <c r="O2891" s="1" t="s">
        <v>4854</v>
      </c>
      <c r="P2891">
        <v>0</v>
      </c>
      <c r="Q2891">
        <v>0</v>
      </c>
      <c r="R2891">
        <v>0</v>
      </c>
      <c r="S2891">
        <v>0</v>
      </c>
      <c r="T2891">
        <v>12.286384809999999</v>
      </c>
      <c r="U2891">
        <f t="shared" si="90"/>
        <v>0</v>
      </c>
      <c r="V2891">
        <f t="shared" si="91"/>
        <v>0</v>
      </c>
    </row>
    <row r="2892" spans="1:22" x14ac:dyDescent="0.2">
      <c r="A2892" t="s">
        <v>4774</v>
      </c>
      <c r="B2892" t="s">
        <v>56</v>
      </c>
      <c r="C2892" t="s">
        <v>76</v>
      </c>
      <c r="D2892" t="s">
        <v>77</v>
      </c>
      <c r="E2892" s="1" t="s">
        <v>82</v>
      </c>
      <c r="F2892" t="s">
        <v>83</v>
      </c>
      <c r="G2892" s="1" t="s">
        <v>163</v>
      </c>
      <c r="H2892">
        <v>0</v>
      </c>
      <c r="I2892">
        <v>56064514</v>
      </c>
      <c r="J2892">
        <v>74</v>
      </c>
      <c r="K2892">
        <v>33</v>
      </c>
      <c r="L2892">
        <v>56064514</v>
      </c>
      <c r="M2892">
        <v>0</v>
      </c>
      <c r="N2892">
        <v>1</v>
      </c>
      <c r="O2892">
        <v>1.37482547209945E-2</v>
      </c>
      <c r="P2892">
        <v>0</v>
      </c>
      <c r="Q2892">
        <v>0</v>
      </c>
      <c r="R2892">
        <v>0</v>
      </c>
      <c r="S2892">
        <v>0</v>
      </c>
      <c r="T2892">
        <v>12.286384809999999</v>
      </c>
      <c r="U2892">
        <f t="shared" si="90"/>
        <v>0</v>
      </c>
      <c r="V2892">
        <f t="shared" si="91"/>
        <v>0</v>
      </c>
    </row>
    <row r="2893" spans="1:22" x14ac:dyDescent="0.2">
      <c r="A2893" t="s">
        <v>4774</v>
      </c>
      <c r="B2893" t="s">
        <v>56</v>
      </c>
      <c r="C2893" t="s">
        <v>76</v>
      </c>
      <c r="D2893" t="s">
        <v>77</v>
      </c>
      <c r="E2893">
        <v>20</v>
      </c>
      <c r="F2893" t="s">
        <v>104</v>
      </c>
      <c r="G2893">
        <v>96</v>
      </c>
      <c r="H2893">
        <v>199</v>
      </c>
      <c r="I2893">
        <v>8718954</v>
      </c>
      <c r="J2893">
        <v>117</v>
      </c>
      <c r="K2893">
        <v>33</v>
      </c>
      <c r="L2893">
        <v>8718755</v>
      </c>
      <c r="M2893" s="1" t="s">
        <v>4855</v>
      </c>
      <c r="N2893" s="1" t="s">
        <v>4856</v>
      </c>
      <c r="O2893">
        <v>2.1381285209272202E-3</v>
      </c>
      <c r="P2893">
        <v>0</v>
      </c>
      <c r="Q2893">
        <v>0</v>
      </c>
      <c r="R2893">
        <v>0</v>
      </c>
      <c r="S2893">
        <v>0</v>
      </c>
      <c r="T2893">
        <v>12.286384809999999</v>
      </c>
      <c r="U2893">
        <f t="shared" si="90"/>
        <v>0</v>
      </c>
      <c r="V2893">
        <f t="shared" si="91"/>
        <v>0</v>
      </c>
    </row>
    <row r="2894" spans="1:22" x14ac:dyDescent="0.2">
      <c r="A2894" t="s">
        <v>4774</v>
      </c>
      <c r="B2894" t="s">
        <v>56</v>
      </c>
      <c r="C2894" t="s">
        <v>76</v>
      </c>
      <c r="D2894" t="s">
        <v>77</v>
      </c>
      <c r="E2894">
        <v>14</v>
      </c>
      <c r="F2894" t="s">
        <v>261</v>
      </c>
      <c r="G2894">
        <v>71</v>
      </c>
      <c r="H2894">
        <v>0</v>
      </c>
      <c r="I2894">
        <v>7201</v>
      </c>
      <c r="J2894">
        <v>98</v>
      </c>
      <c r="K2894">
        <v>65</v>
      </c>
      <c r="L2894">
        <v>7201</v>
      </c>
      <c r="M2894">
        <v>0</v>
      </c>
      <c r="N2894">
        <v>1</v>
      </c>
      <c r="O2894" s="1" t="s">
        <v>4857</v>
      </c>
      <c r="P2894">
        <v>0</v>
      </c>
      <c r="Q2894">
        <v>0</v>
      </c>
      <c r="R2894">
        <v>0</v>
      </c>
      <c r="S2894">
        <v>0</v>
      </c>
      <c r="T2894">
        <v>12.286384809999999</v>
      </c>
      <c r="U2894">
        <f t="shared" si="90"/>
        <v>0</v>
      </c>
      <c r="V2894">
        <f t="shared" si="91"/>
        <v>0</v>
      </c>
    </row>
    <row r="2895" spans="1:22" x14ac:dyDescent="0.2">
      <c r="A2895" t="s">
        <v>4774</v>
      </c>
      <c r="B2895" t="s">
        <v>56</v>
      </c>
      <c r="C2895" t="s">
        <v>76</v>
      </c>
      <c r="D2895" t="s">
        <v>77</v>
      </c>
      <c r="E2895">
        <v>12</v>
      </c>
      <c r="F2895" t="s">
        <v>194</v>
      </c>
      <c r="G2895">
        <v>65</v>
      </c>
      <c r="H2895">
        <v>0</v>
      </c>
      <c r="I2895">
        <v>272027</v>
      </c>
      <c r="J2895">
        <v>105</v>
      </c>
      <c r="K2895">
        <v>42</v>
      </c>
      <c r="L2895">
        <v>272027</v>
      </c>
      <c r="M2895">
        <v>0</v>
      </c>
      <c r="N2895">
        <v>1</v>
      </c>
      <c r="O2895" s="1" t="s">
        <v>4858</v>
      </c>
      <c r="P2895">
        <v>0</v>
      </c>
      <c r="Q2895">
        <v>0</v>
      </c>
      <c r="R2895">
        <v>0</v>
      </c>
      <c r="S2895">
        <v>0</v>
      </c>
      <c r="T2895">
        <v>12.286384809999999</v>
      </c>
      <c r="U2895">
        <f t="shared" si="90"/>
        <v>0</v>
      </c>
      <c r="V2895">
        <f t="shared" si="91"/>
        <v>0</v>
      </c>
    </row>
    <row r="2896" spans="1:22" x14ac:dyDescent="0.2">
      <c r="A2896" t="s">
        <v>4774</v>
      </c>
      <c r="B2896" t="s">
        <v>56</v>
      </c>
      <c r="C2896" t="s">
        <v>76</v>
      </c>
      <c r="D2896" t="s">
        <v>77</v>
      </c>
      <c r="E2896" s="1" t="s">
        <v>138</v>
      </c>
      <c r="F2896" t="s">
        <v>139</v>
      </c>
      <c r="G2896">
        <v>18</v>
      </c>
      <c r="H2896">
        <v>26218</v>
      </c>
      <c r="I2896">
        <v>7250</v>
      </c>
      <c r="J2896">
        <v>76</v>
      </c>
      <c r="K2896">
        <v>76</v>
      </c>
      <c r="L2896">
        <v>-18968</v>
      </c>
      <c r="M2896" s="1" t="s">
        <v>4859</v>
      </c>
      <c r="N2896" s="1" t="s">
        <v>4860</v>
      </c>
      <c r="O2896" s="1" t="s">
        <v>4861</v>
      </c>
      <c r="P2896">
        <v>0</v>
      </c>
      <c r="Q2896">
        <v>0</v>
      </c>
      <c r="R2896">
        <v>0</v>
      </c>
      <c r="S2896">
        <v>0</v>
      </c>
      <c r="T2896">
        <v>12.286384809999999</v>
      </c>
      <c r="U2896">
        <f t="shared" si="90"/>
        <v>0</v>
      </c>
      <c r="V2896">
        <f t="shared" si="91"/>
        <v>0</v>
      </c>
    </row>
    <row r="2897" spans="1:22" x14ac:dyDescent="0.2">
      <c r="A2897" t="s">
        <v>4774</v>
      </c>
      <c r="B2897" t="s">
        <v>56</v>
      </c>
      <c r="C2897" t="s">
        <v>76</v>
      </c>
      <c r="D2897" t="s">
        <v>77</v>
      </c>
      <c r="E2897" s="1" t="s">
        <v>138</v>
      </c>
      <c r="F2897" t="s">
        <v>139</v>
      </c>
      <c r="G2897">
        <v>22</v>
      </c>
      <c r="H2897">
        <v>3181</v>
      </c>
      <c r="I2897">
        <v>36603</v>
      </c>
      <c r="J2897">
        <v>131</v>
      </c>
      <c r="K2897">
        <v>76</v>
      </c>
      <c r="L2897">
        <v>33422</v>
      </c>
      <c r="M2897">
        <v>7.9956766539312205E-2</v>
      </c>
      <c r="N2897" s="1" t="s">
        <v>4862</v>
      </c>
      <c r="O2897" s="1" t="s">
        <v>4863</v>
      </c>
      <c r="P2897">
        <v>0</v>
      </c>
      <c r="Q2897">
        <v>0</v>
      </c>
      <c r="R2897">
        <v>0</v>
      </c>
      <c r="S2897">
        <v>0</v>
      </c>
      <c r="T2897">
        <v>12.286384809999999</v>
      </c>
      <c r="U2897">
        <f t="shared" si="90"/>
        <v>0</v>
      </c>
      <c r="V2897">
        <f t="shared" si="91"/>
        <v>0</v>
      </c>
    </row>
    <row r="2898" spans="1:22" x14ac:dyDescent="0.2">
      <c r="A2898" t="s">
        <v>4774</v>
      </c>
      <c r="B2898" t="s">
        <v>56</v>
      </c>
      <c r="C2898" t="s">
        <v>76</v>
      </c>
      <c r="D2898" t="s">
        <v>77</v>
      </c>
      <c r="E2898">
        <v>13</v>
      </c>
      <c r="F2898" t="s">
        <v>91</v>
      </c>
      <c r="G2898">
        <v>69</v>
      </c>
      <c r="H2898">
        <v>40140</v>
      </c>
      <c r="I2898">
        <v>9862</v>
      </c>
      <c r="J2898">
        <v>77</v>
      </c>
      <c r="K2898">
        <v>68</v>
      </c>
      <c r="L2898">
        <v>-30278</v>
      </c>
      <c r="M2898" s="1" t="s">
        <v>4864</v>
      </c>
      <c r="N2898" s="1" t="s">
        <v>4865</v>
      </c>
      <c r="O2898" s="1" t="s">
        <v>4866</v>
      </c>
      <c r="P2898">
        <v>0</v>
      </c>
      <c r="Q2898">
        <v>0</v>
      </c>
      <c r="R2898">
        <v>0</v>
      </c>
      <c r="S2898">
        <v>0</v>
      </c>
      <c r="T2898">
        <v>12.286384809999999</v>
      </c>
      <c r="U2898">
        <f t="shared" si="90"/>
        <v>0</v>
      </c>
      <c r="V2898">
        <f t="shared" si="91"/>
        <v>0</v>
      </c>
    </row>
    <row r="2899" spans="1:22" x14ac:dyDescent="0.2">
      <c r="A2899" t="s">
        <v>4774</v>
      </c>
      <c r="B2899" t="s">
        <v>56</v>
      </c>
      <c r="C2899" t="s">
        <v>76</v>
      </c>
      <c r="D2899" t="s">
        <v>77</v>
      </c>
      <c r="E2899" s="1" t="s">
        <v>110</v>
      </c>
      <c r="F2899" t="s">
        <v>111</v>
      </c>
      <c r="G2899">
        <v>15</v>
      </c>
      <c r="H2899">
        <v>0</v>
      </c>
      <c r="I2899">
        <v>1155242</v>
      </c>
      <c r="J2899">
        <v>110</v>
      </c>
      <c r="K2899">
        <v>42</v>
      </c>
      <c r="L2899">
        <v>1155242</v>
      </c>
      <c r="M2899">
        <v>0</v>
      </c>
      <c r="N2899">
        <v>1</v>
      </c>
      <c r="O2899" s="1" t="s">
        <v>4867</v>
      </c>
      <c r="P2899">
        <v>0</v>
      </c>
      <c r="Q2899">
        <v>0</v>
      </c>
      <c r="R2899">
        <v>0</v>
      </c>
      <c r="S2899">
        <v>0</v>
      </c>
      <c r="T2899">
        <v>12.286384809999999</v>
      </c>
      <c r="U2899">
        <f t="shared" si="90"/>
        <v>0</v>
      </c>
      <c r="V2899">
        <f t="shared" si="91"/>
        <v>0</v>
      </c>
    </row>
    <row r="2900" spans="1:22" x14ac:dyDescent="0.2">
      <c r="A2900" t="s">
        <v>4774</v>
      </c>
      <c r="B2900" t="s">
        <v>56</v>
      </c>
      <c r="C2900" t="s">
        <v>76</v>
      </c>
      <c r="D2900" t="s">
        <v>77</v>
      </c>
      <c r="E2900" s="1" t="s">
        <v>93</v>
      </c>
      <c r="F2900" t="s">
        <v>94</v>
      </c>
      <c r="G2900">
        <v>46</v>
      </c>
      <c r="H2900">
        <v>0</v>
      </c>
      <c r="I2900">
        <v>347839</v>
      </c>
      <c r="J2900">
        <v>47</v>
      </c>
      <c r="K2900">
        <v>13</v>
      </c>
      <c r="L2900">
        <v>347839</v>
      </c>
      <c r="M2900">
        <v>0</v>
      </c>
      <c r="N2900">
        <v>1</v>
      </c>
      <c r="O2900" s="1" t="s">
        <v>4868</v>
      </c>
      <c r="P2900">
        <v>0</v>
      </c>
      <c r="Q2900">
        <v>0</v>
      </c>
      <c r="R2900">
        <v>0</v>
      </c>
      <c r="S2900">
        <v>0</v>
      </c>
      <c r="T2900">
        <v>12.286384809999999</v>
      </c>
      <c r="U2900">
        <f t="shared" si="90"/>
        <v>0</v>
      </c>
      <c r="V2900">
        <f t="shared" si="91"/>
        <v>0</v>
      </c>
    </row>
    <row r="2901" spans="1:22" x14ac:dyDescent="0.2">
      <c r="A2901" t="s">
        <v>4774</v>
      </c>
      <c r="B2901" t="s">
        <v>56</v>
      </c>
      <c r="C2901" t="s">
        <v>76</v>
      </c>
      <c r="D2901" t="s">
        <v>77</v>
      </c>
      <c r="E2901" s="1" t="s">
        <v>155</v>
      </c>
      <c r="F2901" t="s">
        <v>156</v>
      </c>
      <c r="G2901" s="1" t="s">
        <v>155</v>
      </c>
      <c r="H2901">
        <v>0</v>
      </c>
      <c r="I2901">
        <v>53662</v>
      </c>
      <c r="J2901">
        <v>88</v>
      </c>
      <c r="K2901">
        <v>39</v>
      </c>
      <c r="L2901">
        <v>53662</v>
      </c>
      <c r="M2901">
        <v>0</v>
      </c>
      <c r="N2901">
        <v>1</v>
      </c>
      <c r="O2901" s="1" t="s">
        <v>4869</v>
      </c>
      <c r="P2901">
        <v>0</v>
      </c>
      <c r="Q2901">
        <v>0</v>
      </c>
      <c r="R2901">
        <v>0</v>
      </c>
      <c r="S2901">
        <v>0</v>
      </c>
      <c r="T2901">
        <v>12.286384809999999</v>
      </c>
      <c r="U2901">
        <f t="shared" si="90"/>
        <v>0</v>
      </c>
      <c r="V2901">
        <f t="shared" si="91"/>
        <v>0</v>
      </c>
    </row>
    <row r="2902" spans="1:22" x14ac:dyDescent="0.2">
      <c r="A2902" t="s">
        <v>4774</v>
      </c>
      <c r="B2902" t="s">
        <v>56</v>
      </c>
      <c r="C2902" t="s">
        <v>76</v>
      </c>
      <c r="D2902" t="s">
        <v>77</v>
      </c>
      <c r="E2902">
        <v>12</v>
      </c>
      <c r="F2902" t="s">
        <v>194</v>
      </c>
      <c r="G2902">
        <v>66</v>
      </c>
      <c r="H2902">
        <v>55</v>
      </c>
      <c r="I2902">
        <v>155950</v>
      </c>
      <c r="J2902">
        <v>62</v>
      </c>
      <c r="K2902">
        <v>25</v>
      </c>
      <c r="L2902">
        <v>155895</v>
      </c>
      <c r="M2902" s="1" t="s">
        <v>4870</v>
      </c>
      <c r="N2902" s="1" t="s">
        <v>4871</v>
      </c>
      <c r="O2902" s="1" t="s">
        <v>4872</v>
      </c>
      <c r="P2902">
        <v>0</v>
      </c>
      <c r="Q2902">
        <v>0</v>
      </c>
      <c r="R2902">
        <v>0</v>
      </c>
      <c r="S2902">
        <v>0</v>
      </c>
      <c r="T2902">
        <v>12.286384809999999</v>
      </c>
      <c r="U2902">
        <f t="shared" si="90"/>
        <v>0</v>
      </c>
      <c r="V2902">
        <f t="shared" si="91"/>
        <v>0</v>
      </c>
    </row>
    <row r="2903" spans="1:22" x14ac:dyDescent="0.2">
      <c r="A2903" t="s">
        <v>4774</v>
      </c>
      <c r="B2903" t="s">
        <v>56</v>
      </c>
      <c r="C2903" t="s">
        <v>76</v>
      </c>
      <c r="D2903" t="s">
        <v>77</v>
      </c>
      <c r="E2903" s="1" t="s">
        <v>155</v>
      </c>
      <c r="F2903" t="s">
        <v>156</v>
      </c>
      <c r="G2903" s="1" t="s">
        <v>85</v>
      </c>
      <c r="H2903">
        <v>0</v>
      </c>
      <c r="I2903">
        <v>300113</v>
      </c>
      <c r="J2903">
        <v>74</v>
      </c>
      <c r="K2903">
        <v>34</v>
      </c>
      <c r="L2903">
        <v>300113</v>
      </c>
      <c r="M2903">
        <v>0</v>
      </c>
      <c r="N2903">
        <v>1</v>
      </c>
      <c r="O2903" s="1" t="s">
        <v>4873</v>
      </c>
      <c r="P2903">
        <v>0</v>
      </c>
      <c r="Q2903">
        <v>0</v>
      </c>
      <c r="R2903">
        <v>0</v>
      </c>
      <c r="S2903">
        <v>0</v>
      </c>
      <c r="T2903">
        <v>12.286384809999999</v>
      </c>
      <c r="U2903">
        <f t="shared" si="90"/>
        <v>0</v>
      </c>
      <c r="V2903">
        <f t="shared" si="91"/>
        <v>0</v>
      </c>
    </row>
    <row r="2904" spans="1:22" x14ac:dyDescent="0.2">
      <c r="A2904" t="s">
        <v>4774</v>
      </c>
      <c r="B2904" t="s">
        <v>56</v>
      </c>
      <c r="C2904" t="s">
        <v>76</v>
      </c>
      <c r="D2904" t="s">
        <v>77</v>
      </c>
      <c r="E2904">
        <v>11</v>
      </c>
      <c r="F2904" t="s">
        <v>127</v>
      </c>
      <c r="G2904">
        <v>53</v>
      </c>
      <c r="H2904">
        <v>0</v>
      </c>
      <c r="I2904">
        <v>165715</v>
      </c>
      <c r="J2904">
        <v>75</v>
      </c>
      <c r="K2904">
        <v>22</v>
      </c>
      <c r="L2904">
        <v>165715</v>
      </c>
      <c r="M2904">
        <v>0</v>
      </c>
      <c r="N2904">
        <v>1</v>
      </c>
      <c r="O2904" s="1" t="s">
        <v>4874</v>
      </c>
      <c r="P2904">
        <v>0</v>
      </c>
      <c r="Q2904">
        <v>0</v>
      </c>
      <c r="R2904">
        <v>0</v>
      </c>
      <c r="S2904">
        <v>0</v>
      </c>
      <c r="T2904">
        <v>12.286384809999999</v>
      </c>
      <c r="U2904">
        <f t="shared" si="90"/>
        <v>0</v>
      </c>
      <c r="V2904">
        <f t="shared" si="91"/>
        <v>0</v>
      </c>
    </row>
    <row r="2905" spans="1:22" x14ac:dyDescent="0.2">
      <c r="A2905" t="s">
        <v>4774</v>
      </c>
      <c r="B2905" t="s">
        <v>56</v>
      </c>
      <c r="C2905" t="s">
        <v>76</v>
      </c>
      <c r="D2905" t="s">
        <v>77</v>
      </c>
      <c r="E2905" s="1" t="s">
        <v>138</v>
      </c>
      <c r="F2905" t="s">
        <v>139</v>
      </c>
      <c r="G2905">
        <v>19</v>
      </c>
      <c r="H2905">
        <v>1678</v>
      </c>
      <c r="I2905">
        <v>588860</v>
      </c>
      <c r="J2905">
        <v>88</v>
      </c>
      <c r="K2905">
        <v>58</v>
      </c>
      <c r="L2905">
        <v>587182</v>
      </c>
      <c r="M2905">
        <v>2.8414767550944998E-3</v>
      </c>
      <c r="N2905" s="1" t="s">
        <v>4875</v>
      </c>
      <c r="O2905" s="1" t="s">
        <v>4876</v>
      </c>
      <c r="P2905">
        <v>0</v>
      </c>
      <c r="Q2905">
        <v>0</v>
      </c>
      <c r="R2905">
        <v>0</v>
      </c>
      <c r="S2905">
        <v>0</v>
      </c>
      <c r="T2905">
        <v>12.286384809999999</v>
      </c>
      <c r="U2905">
        <f t="shared" si="90"/>
        <v>0</v>
      </c>
      <c r="V2905">
        <f t="shared" si="91"/>
        <v>0</v>
      </c>
    </row>
    <row r="2906" spans="1:22" x14ac:dyDescent="0.2">
      <c r="A2906" t="s">
        <v>4774</v>
      </c>
      <c r="B2906" t="s">
        <v>56</v>
      </c>
      <c r="C2906" t="s">
        <v>76</v>
      </c>
      <c r="D2906" t="s">
        <v>77</v>
      </c>
      <c r="E2906">
        <v>11</v>
      </c>
      <c r="F2906" t="s">
        <v>127</v>
      </c>
      <c r="G2906">
        <v>55</v>
      </c>
      <c r="H2906">
        <v>0</v>
      </c>
      <c r="I2906">
        <v>2532497</v>
      </c>
      <c r="J2906">
        <v>72</v>
      </c>
      <c r="K2906">
        <v>34</v>
      </c>
      <c r="L2906">
        <v>2532497</v>
      </c>
      <c r="M2906">
        <v>0</v>
      </c>
      <c r="N2906">
        <v>1</v>
      </c>
      <c r="O2906" s="1" t="s">
        <v>4877</v>
      </c>
      <c r="P2906">
        <v>0</v>
      </c>
      <c r="Q2906">
        <v>0</v>
      </c>
      <c r="R2906">
        <v>0</v>
      </c>
      <c r="S2906">
        <v>0</v>
      </c>
      <c r="T2906">
        <v>12.286384809999999</v>
      </c>
      <c r="U2906">
        <f t="shared" si="90"/>
        <v>0</v>
      </c>
      <c r="V2906">
        <f t="shared" si="91"/>
        <v>0</v>
      </c>
    </row>
    <row r="2907" spans="1:22" x14ac:dyDescent="0.2">
      <c r="A2907" t="s">
        <v>4774</v>
      </c>
      <c r="B2907" t="s">
        <v>56</v>
      </c>
      <c r="C2907" t="s">
        <v>76</v>
      </c>
      <c r="D2907" t="s">
        <v>77</v>
      </c>
      <c r="E2907" s="1" t="s">
        <v>82</v>
      </c>
      <c r="F2907" t="s">
        <v>83</v>
      </c>
      <c r="G2907">
        <v>13</v>
      </c>
      <c r="H2907">
        <v>78913</v>
      </c>
      <c r="I2907">
        <v>31052076</v>
      </c>
      <c r="J2907">
        <v>22</v>
      </c>
      <c r="K2907">
        <v>4</v>
      </c>
      <c r="L2907">
        <v>30973163</v>
      </c>
      <c r="M2907">
        <v>2.5348696760003299E-3</v>
      </c>
      <c r="N2907" s="1" t="s">
        <v>4878</v>
      </c>
      <c r="O2907">
        <v>7.6340047554586798E-3</v>
      </c>
      <c r="P2907">
        <v>0</v>
      </c>
      <c r="Q2907">
        <v>1</v>
      </c>
      <c r="R2907">
        <v>0</v>
      </c>
      <c r="S2907">
        <v>1</v>
      </c>
      <c r="T2907">
        <v>12.286384809999999</v>
      </c>
      <c r="U2907">
        <f t="shared" si="90"/>
        <v>1</v>
      </c>
      <c r="V2907">
        <f t="shared" si="91"/>
        <v>1</v>
      </c>
    </row>
    <row r="2908" spans="1:22" x14ac:dyDescent="0.2">
      <c r="A2908" t="s">
        <v>3288</v>
      </c>
      <c r="B2908" t="s">
        <v>44</v>
      </c>
      <c r="C2908" t="s">
        <v>76</v>
      </c>
      <c r="D2908" t="s">
        <v>77</v>
      </c>
      <c r="E2908" s="1" t="s">
        <v>89</v>
      </c>
      <c r="F2908" t="s">
        <v>90</v>
      </c>
      <c r="G2908">
        <v>28</v>
      </c>
      <c r="H2908">
        <v>17976</v>
      </c>
      <c r="I2908">
        <v>0</v>
      </c>
      <c r="J2908">
        <v>129</v>
      </c>
      <c r="K2908">
        <v>85</v>
      </c>
      <c r="L2908">
        <v>-17976</v>
      </c>
      <c r="M2908">
        <v>1</v>
      </c>
      <c r="N2908">
        <v>0</v>
      </c>
      <c r="O2908" s="1" t="s">
        <v>4879</v>
      </c>
      <c r="P2908">
        <v>0</v>
      </c>
      <c r="Q2908">
        <v>0</v>
      </c>
      <c r="R2908">
        <v>0</v>
      </c>
      <c r="S2908">
        <v>0</v>
      </c>
      <c r="T2908">
        <v>45.061213709999997</v>
      </c>
      <c r="U2908">
        <f t="shared" si="90"/>
        <v>0</v>
      </c>
      <c r="V2908">
        <f t="shared" si="91"/>
        <v>0</v>
      </c>
    </row>
    <row r="2909" spans="1:22" x14ac:dyDescent="0.2">
      <c r="A2909" t="s">
        <v>3288</v>
      </c>
      <c r="B2909" t="s">
        <v>44</v>
      </c>
      <c r="C2909" t="s">
        <v>76</v>
      </c>
      <c r="D2909" t="s">
        <v>77</v>
      </c>
      <c r="E2909" s="1" t="s">
        <v>89</v>
      </c>
      <c r="F2909" t="s">
        <v>90</v>
      </c>
      <c r="G2909">
        <v>38</v>
      </c>
      <c r="H2909">
        <v>3795</v>
      </c>
      <c r="I2909">
        <v>0</v>
      </c>
      <c r="J2909">
        <v>123</v>
      </c>
      <c r="K2909">
        <v>87</v>
      </c>
      <c r="L2909">
        <v>-3795</v>
      </c>
      <c r="M2909">
        <v>1</v>
      </c>
      <c r="N2909">
        <v>0</v>
      </c>
      <c r="O2909" s="1" t="s">
        <v>4880</v>
      </c>
      <c r="P2909">
        <v>0</v>
      </c>
      <c r="Q2909">
        <v>0</v>
      </c>
      <c r="R2909">
        <v>0</v>
      </c>
      <c r="S2909">
        <v>0</v>
      </c>
      <c r="T2909">
        <v>45.061213709999997</v>
      </c>
      <c r="U2909">
        <f t="shared" si="90"/>
        <v>0</v>
      </c>
      <c r="V2909">
        <f t="shared" si="91"/>
        <v>0</v>
      </c>
    </row>
    <row r="2910" spans="1:22" x14ac:dyDescent="0.2">
      <c r="A2910" t="s">
        <v>3288</v>
      </c>
      <c r="B2910" t="s">
        <v>44</v>
      </c>
      <c r="C2910" t="s">
        <v>76</v>
      </c>
      <c r="D2910" t="s">
        <v>77</v>
      </c>
      <c r="E2910">
        <v>12</v>
      </c>
      <c r="F2910" t="s">
        <v>194</v>
      </c>
      <c r="G2910">
        <v>66</v>
      </c>
      <c r="H2910">
        <v>267</v>
      </c>
      <c r="I2910">
        <v>0</v>
      </c>
      <c r="J2910">
        <v>50</v>
      </c>
      <c r="K2910">
        <v>57</v>
      </c>
      <c r="L2910">
        <v>-267</v>
      </c>
      <c r="M2910">
        <v>1</v>
      </c>
      <c r="N2910">
        <v>0</v>
      </c>
      <c r="O2910" s="1" t="s">
        <v>4881</v>
      </c>
      <c r="P2910">
        <v>0</v>
      </c>
      <c r="Q2910">
        <v>0</v>
      </c>
      <c r="R2910">
        <v>0</v>
      </c>
      <c r="S2910">
        <v>0</v>
      </c>
      <c r="T2910">
        <v>45.061213709999997</v>
      </c>
      <c r="U2910">
        <f t="shared" si="90"/>
        <v>0</v>
      </c>
      <c r="V2910">
        <f t="shared" si="91"/>
        <v>0</v>
      </c>
    </row>
    <row r="2911" spans="1:22" x14ac:dyDescent="0.2">
      <c r="A2911" t="s">
        <v>3288</v>
      </c>
      <c r="B2911" t="s">
        <v>44</v>
      </c>
      <c r="C2911" t="s">
        <v>76</v>
      </c>
      <c r="D2911" t="s">
        <v>77</v>
      </c>
      <c r="E2911">
        <v>13</v>
      </c>
      <c r="F2911" t="s">
        <v>91</v>
      </c>
      <c r="G2911">
        <v>69</v>
      </c>
      <c r="H2911">
        <v>133</v>
      </c>
      <c r="I2911">
        <v>0</v>
      </c>
      <c r="J2911">
        <v>113</v>
      </c>
      <c r="K2911">
        <v>91</v>
      </c>
      <c r="L2911">
        <v>-133</v>
      </c>
      <c r="M2911">
        <v>1</v>
      </c>
      <c r="N2911">
        <v>0</v>
      </c>
      <c r="O2911" s="1" t="s">
        <v>4882</v>
      </c>
      <c r="P2911">
        <v>0</v>
      </c>
      <c r="Q2911">
        <v>0</v>
      </c>
      <c r="R2911">
        <v>0</v>
      </c>
      <c r="S2911">
        <v>0</v>
      </c>
      <c r="T2911">
        <v>45.061213709999997</v>
      </c>
      <c r="U2911">
        <f t="shared" si="90"/>
        <v>0</v>
      </c>
      <c r="V2911">
        <f t="shared" si="91"/>
        <v>0</v>
      </c>
    </row>
    <row r="2912" spans="1:22" x14ac:dyDescent="0.2">
      <c r="A2912" t="s">
        <v>3288</v>
      </c>
      <c r="B2912" t="s">
        <v>44</v>
      </c>
      <c r="C2912" t="s">
        <v>76</v>
      </c>
      <c r="D2912" t="s">
        <v>77</v>
      </c>
      <c r="E2912" s="1" t="s">
        <v>82</v>
      </c>
      <c r="F2912" t="s">
        <v>83</v>
      </c>
      <c r="G2912" s="1" t="s">
        <v>93</v>
      </c>
      <c r="H2912">
        <v>0</v>
      </c>
      <c r="I2912">
        <v>8022888</v>
      </c>
      <c r="J2912">
        <v>105</v>
      </c>
      <c r="K2912">
        <v>39</v>
      </c>
      <c r="L2912">
        <v>8022888</v>
      </c>
      <c r="M2912">
        <v>0</v>
      </c>
      <c r="N2912">
        <v>1</v>
      </c>
      <c r="O2912">
        <v>4.3053337218187E-2</v>
      </c>
      <c r="P2912">
        <v>0</v>
      </c>
      <c r="Q2912">
        <v>0</v>
      </c>
      <c r="R2912">
        <v>0</v>
      </c>
      <c r="S2912">
        <v>0</v>
      </c>
      <c r="T2912">
        <v>45.061213709999997</v>
      </c>
      <c r="U2912">
        <f t="shared" si="90"/>
        <v>0</v>
      </c>
      <c r="V2912">
        <f t="shared" si="91"/>
        <v>0</v>
      </c>
    </row>
    <row r="2913" spans="1:22" x14ac:dyDescent="0.2">
      <c r="A2913" t="s">
        <v>3324</v>
      </c>
      <c r="B2913" t="s">
        <v>45</v>
      </c>
      <c r="C2913" t="s">
        <v>76</v>
      </c>
      <c r="D2913" t="s">
        <v>77</v>
      </c>
      <c r="E2913" s="1" t="s">
        <v>82</v>
      </c>
      <c r="F2913" t="s">
        <v>83</v>
      </c>
      <c r="G2913">
        <v>11</v>
      </c>
      <c r="H2913">
        <v>32649</v>
      </c>
      <c r="I2913">
        <v>0</v>
      </c>
      <c r="J2913">
        <v>80</v>
      </c>
      <c r="K2913">
        <v>71</v>
      </c>
      <c r="L2913">
        <v>-32649</v>
      </c>
      <c r="M2913">
        <v>1</v>
      </c>
      <c r="N2913">
        <v>0</v>
      </c>
      <c r="O2913" s="1" t="s">
        <v>4883</v>
      </c>
      <c r="P2913">
        <v>0</v>
      </c>
      <c r="Q2913">
        <v>0</v>
      </c>
      <c r="R2913">
        <v>0</v>
      </c>
      <c r="S2913">
        <v>0</v>
      </c>
      <c r="T2913">
        <v>50.032637979999997</v>
      </c>
      <c r="U2913">
        <f t="shared" si="90"/>
        <v>0</v>
      </c>
      <c r="V2913">
        <f t="shared" si="91"/>
        <v>0</v>
      </c>
    </row>
    <row r="2914" spans="1:22" x14ac:dyDescent="0.2">
      <c r="A2914" t="s">
        <v>3324</v>
      </c>
      <c r="B2914" t="s">
        <v>45</v>
      </c>
      <c r="C2914" t="s">
        <v>76</v>
      </c>
      <c r="D2914" t="s">
        <v>77</v>
      </c>
      <c r="E2914" s="1" t="s">
        <v>138</v>
      </c>
      <c r="F2914" t="s">
        <v>139</v>
      </c>
      <c r="G2914">
        <v>23</v>
      </c>
      <c r="H2914">
        <v>259189</v>
      </c>
      <c r="I2914">
        <v>0</v>
      </c>
      <c r="J2914">
        <v>61</v>
      </c>
      <c r="K2914">
        <v>61</v>
      </c>
      <c r="L2914">
        <v>-259189</v>
      </c>
      <c r="M2914">
        <v>1</v>
      </c>
      <c r="N2914">
        <v>0</v>
      </c>
      <c r="O2914" s="1" t="s">
        <v>4884</v>
      </c>
      <c r="P2914">
        <v>0</v>
      </c>
      <c r="Q2914">
        <v>0</v>
      </c>
      <c r="R2914">
        <v>0</v>
      </c>
      <c r="S2914">
        <v>0</v>
      </c>
      <c r="T2914">
        <v>50.032637979999997</v>
      </c>
      <c r="U2914">
        <f t="shared" si="90"/>
        <v>0</v>
      </c>
      <c r="V2914">
        <f t="shared" si="91"/>
        <v>0</v>
      </c>
    </row>
    <row r="2915" spans="1:22" x14ac:dyDescent="0.2">
      <c r="A2915" t="s">
        <v>3324</v>
      </c>
      <c r="B2915" t="s">
        <v>45</v>
      </c>
      <c r="C2915" t="s">
        <v>76</v>
      </c>
      <c r="D2915" t="s">
        <v>77</v>
      </c>
      <c r="E2915">
        <v>10</v>
      </c>
      <c r="F2915" t="s">
        <v>119</v>
      </c>
      <c r="G2915">
        <v>49</v>
      </c>
      <c r="H2915">
        <v>24794</v>
      </c>
      <c r="I2915">
        <v>0</v>
      </c>
      <c r="J2915">
        <v>80</v>
      </c>
      <c r="K2915">
        <v>109</v>
      </c>
      <c r="L2915">
        <v>-24794</v>
      </c>
      <c r="M2915">
        <v>1</v>
      </c>
      <c r="N2915">
        <v>0</v>
      </c>
      <c r="O2915" s="1" t="s">
        <v>4885</v>
      </c>
      <c r="P2915">
        <v>0</v>
      </c>
      <c r="Q2915">
        <v>0</v>
      </c>
      <c r="R2915">
        <v>0</v>
      </c>
      <c r="S2915">
        <v>0</v>
      </c>
      <c r="T2915">
        <v>50.032637979999997</v>
      </c>
      <c r="U2915">
        <f t="shared" si="90"/>
        <v>0</v>
      </c>
      <c r="V2915">
        <f t="shared" si="91"/>
        <v>0</v>
      </c>
    </row>
    <row r="2916" spans="1:22" x14ac:dyDescent="0.2">
      <c r="A2916" t="s">
        <v>3324</v>
      </c>
      <c r="B2916" t="s">
        <v>45</v>
      </c>
      <c r="C2916" t="s">
        <v>76</v>
      </c>
      <c r="D2916" t="s">
        <v>77</v>
      </c>
      <c r="E2916" s="1" t="s">
        <v>89</v>
      </c>
      <c r="F2916" t="s">
        <v>90</v>
      </c>
      <c r="G2916">
        <v>33</v>
      </c>
      <c r="H2916">
        <v>49782</v>
      </c>
      <c r="I2916">
        <v>341</v>
      </c>
      <c r="J2916">
        <v>101</v>
      </c>
      <c r="K2916">
        <v>89</v>
      </c>
      <c r="L2916">
        <v>-49441</v>
      </c>
      <c r="M2916" s="1" t="s">
        <v>4886</v>
      </c>
      <c r="N2916">
        <v>6.8032639706322399E-3</v>
      </c>
      <c r="O2916" s="1" t="s">
        <v>4887</v>
      </c>
      <c r="P2916">
        <v>0</v>
      </c>
      <c r="Q2916">
        <v>0</v>
      </c>
      <c r="R2916">
        <v>0</v>
      </c>
      <c r="S2916">
        <v>0</v>
      </c>
      <c r="T2916">
        <v>50.032637979999997</v>
      </c>
      <c r="U2916">
        <f t="shared" si="90"/>
        <v>0</v>
      </c>
      <c r="V2916">
        <f t="shared" si="91"/>
        <v>0</v>
      </c>
    </row>
    <row r="2917" spans="1:22" x14ac:dyDescent="0.2">
      <c r="A2917" t="s">
        <v>3324</v>
      </c>
      <c r="B2917" t="s">
        <v>45</v>
      </c>
      <c r="C2917" t="s">
        <v>76</v>
      </c>
      <c r="D2917" t="s">
        <v>77</v>
      </c>
      <c r="E2917">
        <v>11</v>
      </c>
      <c r="F2917" t="s">
        <v>127</v>
      </c>
      <c r="G2917">
        <v>56</v>
      </c>
      <c r="H2917">
        <v>14403</v>
      </c>
      <c r="I2917">
        <v>0</v>
      </c>
      <c r="J2917">
        <v>72</v>
      </c>
      <c r="K2917">
        <v>77</v>
      </c>
      <c r="L2917">
        <v>-14403</v>
      </c>
      <c r="M2917">
        <v>1</v>
      </c>
      <c r="N2917">
        <v>0</v>
      </c>
      <c r="O2917" s="1" t="s">
        <v>4888</v>
      </c>
      <c r="P2917">
        <v>0</v>
      </c>
      <c r="Q2917">
        <v>0</v>
      </c>
      <c r="R2917">
        <v>0</v>
      </c>
      <c r="S2917">
        <v>0</v>
      </c>
      <c r="T2917">
        <v>50.032637979999997</v>
      </c>
      <c r="U2917">
        <f t="shared" si="90"/>
        <v>0</v>
      </c>
      <c r="V2917">
        <f t="shared" si="91"/>
        <v>0</v>
      </c>
    </row>
    <row r="2918" spans="1:22" x14ac:dyDescent="0.2">
      <c r="A2918" t="s">
        <v>3324</v>
      </c>
      <c r="B2918" t="s">
        <v>45</v>
      </c>
      <c r="C2918" t="s">
        <v>76</v>
      </c>
      <c r="D2918" t="s">
        <v>77</v>
      </c>
      <c r="E2918" s="1" t="s">
        <v>138</v>
      </c>
      <c r="F2918" t="s">
        <v>139</v>
      </c>
      <c r="G2918">
        <v>19</v>
      </c>
      <c r="H2918">
        <v>61543</v>
      </c>
      <c r="I2918">
        <v>0</v>
      </c>
      <c r="J2918">
        <v>64</v>
      </c>
      <c r="K2918">
        <v>86</v>
      </c>
      <c r="L2918">
        <v>-61543</v>
      </c>
      <c r="M2918">
        <v>1</v>
      </c>
      <c r="N2918">
        <v>0</v>
      </c>
      <c r="O2918" s="1" t="s">
        <v>4889</v>
      </c>
      <c r="P2918">
        <v>0</v>
      </c>
      <c r="Q2918">
        <v>0</v>
      </c>
      <c r="R2918">
        <v>0</v>
      </c>
      <c r="S2918">
        <v>0</v>
      </c>
      <c r="T2918">
        <v>50.032637979999997</v>
      </c>
      <c r="U2918">
        <f t="shared" si="90"/>
        <v>0</v>
      </c>
      <c r="V2918">
        <f t="shared" si="91"/>
        <v>0</v>
      </c>
    </row>
    <row r="2919" spans="1:22" x14ac:dyDescent="0.2">
      <c r="A2919" t="s">
        <v>3324</v>
      </c>
      <c r="B2919" t="s">
        <v>45</v>
      </c>
      <c r="C2919" t="s">
        <v>76</v>
      </c>
      <c r="D2919" t="s">
        <v>77</v>
      </c>
      <c r="E2919" s="1" t="s">
        <v>89</v>
      </c>
      <c r="F2919" t="s">
        <v>90</v>
      </c>
      <c r="G2919">
        <v>30</v>
      </c>
      <c r="H2919">
        <v>40797</v>
      </c>
      <c r="I2919">
        <v>0</v>
      </c>
      <c r="J2919">
        <v>108</v>
      </c>
      <c r="K2919">
        <v>91</v>
      </c>
      <c r="L2919">
        <v>-40797</v>
      </c>
      <c r="M2919">
        <v>1</v>
      </c>
      <c r="N2919">
        <v>0</v>
      </c>
      <c r="O2919" s="1" t="s">
        <v>4890</v>
      </c>
      <c r="P2919">
        <v>0</v>
      </c>
      <c r="Q2919">
        <v>0</v>
      </c>
      <c r="R2919">
        <v>0</v>
      </c>
      <c r="S2919">
        <v>0</v>
      </c>
      <c r="T2919">
        <v>50.032637979999997</v>
      </c>
      <c r="U2919">
        <f t="shared" si="90"/>
        <v>0</v>
      </c>
      <c r="V2919">
        <f t="shared" si="91"/>
        <v>0</v>
      </c>
    </row>
    <row r="2920" spans="1:22" x14ac:dyDescent="0.2">
      <c r="A2920" t="s">
        <v>3324</v>
      </c>
      <c r="B2920" t="s">
        <v>45</v>
      </c>
      <c r="C2920" t="s">
        <v>76</v>
      </c>
      <c r="D2920" t="s">
        <v>77</v>
      </c>
      <c r="E2920" s="1" t="s">
        <v>93</v>
      </c>
      <c r="F2920" t="s">
        <v>94</v>
      </c>
      <c r="G2920">
        <v>44</v>
      </c>
      <c r="H2920">
        <v>107024</v>
      </c>
      <c r="I2920">
        <v>0</v>
      </c>
      <c r="J2920">
        <v>113</v>
      </c>
      <c r="K2920">
        <v>103</v>
      </c>
      <c r="L2920">
        <v>-107024</v>
      </c>
      <c r="M2920">
        <v>1</v>
      </c>
      <c r="N2920">
        <v>0</v>
      </c>
      <c r="O2920" s="1" t="s">
        <v>4891</v>
      </c>
      <c r="P2920">
        <v>0</v>
      </c>
      <c r="Q2920">
        <v>0</v>
      </c>
      <c r="R2920">
        <v>0</v>
      </c>
      <c r="S2920">
        <v>0</v>
      </c>
      <c r="T2920">
        <v>50.032637979999997</v>
      </c>
      <c r="U2920">
        <f t="shared" si="90"/>
        <v>0</v>
      </c>
      <c r="V2920">
        <f t="shared" si="91"/>
        <v>0</v>
      </c>
    </row>
    <row r="2921" spans="1:22" x14ac:dyDescent="0.2">
      <c r="A2921" t="s">
        <v>3324</v>
      </c>
      <c r="B2921" t="s">
        <v>45</v>
      </c>
      <c r="C2921" t="s">
        <v>76</v>
      </c>
      <c r="D2921" t="s">
        <v>77</v>
      </c>
      <c r="E2921">
        <v>11</v>
      </c>
      <c r="F2921" t="s">
        <v>127</v>
      </c>
      <c r="G2921">
        <v>52</v>
      </c>
      <c r="H2921">
        <v>2020</v>
      </c>
      <c r="I2921">
        <v>546</v>
      </c>
      <c r="J2921">
        <v>62</v>
      </c>
      <c r="K2921">
        <v>60</v>
      </c>
      <c r="L2921">
        <v>-1474</v>
      </c>
      <c r="M2921" s="1" t="s">
        <v>4892</v>
      </c>
      <c r="N2921" s="1" t="s">
        <v>4893</v>
      </c>
      <c r="O2921" s="1" t="s">
        <v>4894</v>
      </c>
      <c r="P2921">
        <v>0</v>
      </c>
      <c r="Q2921">
        <v>0</v>
      </c>
      <c r="R2921">
        <v>0</v>
      </c>
      <c r="S2921">
        <v>0</v>
      </c>
      <c r="T2921">
        <v>50.032637979999997</v>
      </c>
      <c r="U2921">
        <f t="shared" si="90"/>
        <v>0</v>
      </c>
      <c r="V2921">
        <f t="shared" si="91"/>
        <v>0</v>
      </c>
    </row>
    <row r="2922" spans="1:22" x14ac:dyDescent="0.2">
      <c r="A2922" t="s">
        <v>3324</v>
      </c>
      <c r="B2922" t="s">
        <v>45</v>
      </c>
      <c r="C2922" t="s">
        <v>76</v>
      </c>
      <c r="D2922" t="s">
        <v>77</v>
      </c>
      <c r="E2922">
        <v>12</v>
      </c>
      <c r="F2922" t="s">
        <v>194</v>
      </c>
      <c r="G2922">
        <v>65</v>
      </c>
      <c r="H2922">
        <v>1368</v>
      </c>
      <c r="I2922">
        <v>68</v>
      </c>
      <c r="J2922">
        <v>73</v>
      </c>
      <c r="K2922">
        <v>77</v>
      </c>
      <c r="L2922">
        <v>-1300</v>
      </c>
      <c r="M2922" s="1" t="s">
        <v>4895</v>
      </c>
      <c r="N2922">
        <v>4.7353760445682402E-2</v>
      </c>
      <c r="O2922" s="1" t="s">
        <v>4896</v>
      </c>
      <c r="P2922">
        <v>0</v>
      </c>
      <c r="Q2922">
        <v>0</v>
      </c>
      <c r="R2922">
        <v>0</v>
      </c>
      <c r="S2922">
        <v>0</v>
      </c>
      <c r="T2922">
        <v>50.032637979999997</v>
      </c>
      <c r="U2922">
        <f t="shared" si="90"/>
        <v>0</v>
      </c>
      <c r="V2922">
        <f t="shared" si="91"/>
        <v>0</v>
      </c>
    </row>
    <row r="2923" spans="1:22" x14ac:dyDescent="0.2">
      <c r="A2923" t="s">
        <v>3324</v>
      </c>
      <c r="B2923" t="s">
        <v>45</v>
      </c>
      <c r="C2923" t="s">
        <v>76</v>
      </c>
      <c r="D2923" t="s">
        <v>77</v>
      </c>
      <c r="E2923" s="1" t="s">
        <v>138</v>
      </c>
      <c r="F2923" t="s">
        <v>139</v>
      </c>
      <c r="G2923">
        <v>20</v>
      </c>
      <c r="H2923">
        <v>1218</v>
      </c>
      <c r="I2923">
        <v>0</v>
      </c>
      <c r="J2923">
        <v>74</v>
      </c>
      <c r="K2923">
        <v>93</v>
      </c>
      <c r="L2923">
        <v>-1218</v>
      </c>
      <c r="M2923">
        <v>1</v>
      </c>
      <c r="N2923">
        <v>0</v>
      </c>
      <c r="O2923" s="1" t="s">
        <v>4897</v>
      </c>
      <c r="P2923">
        <v>0</v>
      </c>
      <c r="Q2923">
        <v>0</v>
      </c>
      <c r="R2923">
        <v>0</v>
      </c>
      <c r="S2923">
        <v>0</v>
      </c>
      <c r="T2923">
        <v>50.032637979999997</v>
      </c>
      <c r="U2923">
        <f t="shared" si="90"/>
        <v>0</v>
      </c>
      <c r="V2923">
        <f t="shared" si="91"/>
        <v>0</v>
      </c>
    </row>
    <row r="2924" spans="1:22" x14ac:dyDescent="0.2">
      <c r="A2924" t="s">
        <v>3324</v>
      </c>
      <c r="B2924" t="s">
        <v>45</v>
      </c>
      <c r="C2924" t="s">
        <v>76</v>
      </c>
      <c r="D2924" t="s">
        <v>77</v>
      </c>
      <c r="E2924">
        <v>11</v>
      </c>
      <c r="F2924" t="s">
        <v>127</v>
      </c>
      <c r="G2924">
        <v>61</v>
      </c>
      <c r="H2924">
        <v>1433</v>
      </c>
      <c r="I2924">
        <v>51</v>
      </c>
      <c r="J2924">
        <v>104</v>
      </c>
      <c r="K2924">
        <v>100</v>
      </c>
      <c r="L2924">
        <v>-1382</v>
      </c>
      <c r="M2924">
        <v>0.96563342318059298</v>
      </c>
      <c r="N2924">
        <v>3.4366576819407003E-2</v>
      </c>
      <c r="O2924" s="1" t="s">
        <v>4898</v>
      </c>
      <c r="P2924">
        <v>0</v>
      </c>
      <c r="Q2924">
        <v>0</v>
      </c>
      <c r="R2924">
        <v>0</v>
      </c>
      <c r="S2924">
        <v>0</v>
      </c>
      <c r="T2924">
        <v>50.032637979999997</v>
      </c>
      <c r="U2924">
        <f t="shared" si="90"/>
        <v>0</v>
      </c>
      <c r="V2924">
        <f t="shared" si="91"/>
        <v>0</v>
      </c>
    </row>
    <row r="2925" spans="1:22" x14ac:dyDescent="0.2">
      <c r="A2925" t="s">
        <v>3324</v>
      </c>
      <c r="B2925" t="s">
        <v>45</v>
      </c>
      <c r="C2925" t="s">
        <v>76</v>
      </c>
      <c r="D2925" t="s">
        <v>77</v>
      </c>
      <c r="E2925">
        <v>13</v>
      </c>
      <c r="F2925" t="s">
        <v>91</v>
      </c>
      <c r="G2925">
        <v>70</v>
      </c>
      <c r="H2925">
        <v>2277</v>
      </c>
      <c r="I2925">
        <v>0</v>
      </c>
      <c r="J2925">
        <v>115</v>
      </c>
      <c r="K2925">
        <v>88</v>
      </c>
      <c r="L2925">
        <v>-2277</v>
      </c>
      <c r="M2925">
        <v>1</v>
      </c>
      <c r="N2925">
        <v>0</v>
      </c>
      <c r="O2925" s="1" t="s">
        <v>4899</v>
      </c>
      <c r="P2925">
        <v>0</v>
      </c>
      <c r="Q2925">
        <v>0</v>
      </c>
      <c r="R2925">
        <v>0</v>
      </c>
      <c r="S2925">
        <v>0</v>
      </c>
      <c r="T2925">
        <v>50.032637979999997</v>
      </c>
      <c r="U2925">
        <f t="shared" si="90"/>
        <v>0</v>
      </c>
      <c r="V2925">
        <f t="shared" si="91"/>
        <v>0</v>
      </c>
    </row>
    <row r="2926" spans="1:22" x14ac:dyDescent="0.2">
      <c r="A2926" t="s">
        <v>3324</v>
      </c>
      <c r="B2926" t="s">
        <v>45</v>
      </c>
      <c r="C2926" t="s">
        <v>76</v>
      </c>
      <c r="D2926" t="s">
        <v>77</v>
      </c>
      <c r="E2926">
        <v>11</v>
      </c>
      <c r="F2926" t="s">
        <v>127</v>
      </c>
      <c r="G2926">
        <v>57</v>
      </c>
      <c r="H2926">
        <v>722</v>
      </c>
      <c r="I2926">
        <v>0</v>
      </c>
      <c r="J2926">
        <v>70</v>
      </c>
      <c r="K2926">
        <v>78</v>
      </c>
      <c r="L2926">
        <v>-722</v>
      </c>
      <c r="M2926">
        <v>1</v>
      </c>
      <c r="N2926">
        <v>0</v>
      </c>
      <c r="O2926" s="1" t="s">
        <v>4900</v>
      </c>
      <c r="P2926">
        <v>0</v>
      </c>
      <c r="Q2926">
        <v>0</v>
      </c>
      <c r="R2926">
        <v>0</v>
      </c>
      <c r="S2926">
        <v>0</v>
      </c>
      <c r="T2926">
        <v>50.032637979999997</v>
      </c>
      <c r="U2926">
        <f t="shared" si="90"/>
        <v>0</v>
      </c>
      <c r="V2926">
        <f t="shared" si="91"/>
        <v>0</v>
      </c>
    </row>
    <row r="2927" spans="1:22" x14ac:dyDescent="0.2">
      <c r="A2927" t="s">
        <v>3324</v>
      </c>
      <c r="B2927" t="s">
        <v>45</v>
      </c>
      <c r="C2927" t="s">
        <v>76</v>
      </c>
      <c r="D2927" t="s">
        <v>77</v>
      </c>
      <c r="E2927" s="1" t="s">
        <v>138</v>
      </c>
      <c r="F2927" t="s">
        <v>139</v>
      </c>
      <c r="G2927">
        <v>21</v>
      </c>
      <c r="H2927">
        <v>926699</v>
      </c>
      <c r="I2927">
        <v>25</v>
      </c>
      <c r="J2927">
        <v>58</v>
      </c>
      <c r="K2927">
        <v>98</v>
      </c>
      <c r="L2927">
        <v>-926674</v>
      </c>
      <c r="M2927" s="1" t="s">
        <v>4901</v>
      </c>
      <c r="N2927" s="1" t="s">
        <v>4902</v>
      </c>
      <c r="O2927" s="1" t="s">
        <v>4903</v>
      </c>
      <c r="P2927">
        <v>0</v>
      </c>
      <c r="Q2927">
        <v>0</v>
      </c>
      <c r="R2927">
        <v>0</v>
      </c>
      <c r="S2927">
        <v>0</v>
      </c>
      <c r="T2927">
        <v>50.032637979999997</v>
      </c>
      <c r="U2927">
        <f t="shared" si="90"/>
        <v>0</v>
      </c>
      <c r="V2927">
        <f t="shared" si="91"/>
        <v>0</v>
      </c>
    </row>
    <row r="2928" spans="1:22" x14ac:dyDescent="0.2">
      <c r="A2928" t="s">
        <v>3324</v>
      </c>
      <c r="B2928" t="s">
        <v>45</v>
      </c>
      <c r="C2928" t="s">
        <v>76</v>
      </c>
      <c r="D2928" t="s">
        <v>77</v>
      </c>
      <c r="E2928">
        <v>18</v>
      </c>
      <c r="F2928" t="s">
        <v>147</v>
      </c>
      <c r="G2928">
        <v>92</v>
      </c>
      <c r="H2928">
        <v>0</v>
      </c>
      <c r="I2928">
        <v>485</v>
      </c>
      <c r="J2928">
        <v>95</v>
      </c>
      <c r="K2928">
        <v>61</v>
      </c>
      <c r="L2928">
        <v>485</v>
      </c>
      <c r="M2928">
        <v>0</v>
      </c>
      <c r="N2928">
        <v>1</v>
      </c>
      <c r="O2928" s="1" t="s">
        <v>4904</v>
      </c>
      <c r="P2928">
        <v>0</v>
      </c>
      <c r="Q2928">
        <v>0</v>
      </c>
      <c r="R2928">
        <v>0</v>
      </c>
      <c r="S2928">
        <v>0</v>
      </c>
      <c r="T2928">
        <v>50.032637979999997</v>
      </c>
      <c r="U2928">
        <f t="shared" si="90"/>
        <v>0</v>
      </c>
      <c r="V2928">
        <f t="shared" si="91"/>
        <v>0</v>
      </c>
    </row>
    <row r="2929" spans="1:22" x14ac:dyDescent="0.2">
      <c r="A2929" t="s">
        <v>3324</v>
      </c>
      <c r="B2929" t="s">
        <v>45</v>
      </c>
      <c r="C2929" t="s">
        <v>76</v>
      </c>
      <c r="D2929" t="s">
        <v>77</v>
      </c>
      <c r="E2929">
        <v>11</v>
      </c>
      <c r="F2929" t="s">
        <v>127</v>
      </c>
      <c r="G2929">
        <v>55</v>
      </c>
      <c r="H2929">
        <v>0</v>
      </c>
      <c r="I2929">
        <v>512</v>
      </c>
      <c r="J2929">
        <v>72</v>
      </c>
      <c r="K2929">
        <v>58</v>
      </c>
      <c r="L2929">
        <v>512</v>
      </c>
      <c r="M2929">
        <v>0</v>
      </c>
      <c r="N2929">
        <v>1</v>
      </c>
      <c r="O2929" s="1" t="s">
        <v>4905</v>
      </c>
      <c r="P2929">
        <v>0</v>
      </c>
      <c r="Q2929">
        <v>0</v>
      </c>
      <c r="R2929">
        <v>0</v>
      </c>
      <c r="S2929">
        <v>0</v>
      </c>
      <c r="T2929">
        <v>50.032637979999997</v>
      </c>
      <c r="U2929">
        <f t="shared" si="90"/>
        <v>0</v>
      </c>
      <c r="V2929">
        <f t="shared" si="91"/>
        <v>0</v>
      </c>
    </row>
    <row r="2930" spans="1:22" x14ac:dyDescent="0.2">
      <c r="A2930" t="s">
        <v>3324</v>
      </c>
      <c r="B2930" t="s">
        <v>45</v>
      </c>
      <c r="C2930" t="s">
        <v>76</v>
      </c>
      <c r="D2930" t="s">
        <v>77</v>
      </c>
      <c r="E2930">
        <v>11</v>
      </c>
      <c r="F2930" t="s">
        <v>127</v>
      </c>
      <c r="G2930">
        <v>54</v>
      </c>
      <c r="H2930">
        <v>0</v>
      </c>
      <c r="I2930">
        <v>734</v>
      </c>
      <c r="J2930">
        <v>84</v>
      </c>
      <c r="K2930">
        <v>65</v>
      </c>
      <c r="L2930">
        <v>734</v>
      </c>
      <c r="M2930">
        <v>0</v>
      </c>
      <c r="N2930">
        <v>1</v>
      </c>
      <c r="O2930" s="1" t="s">
        <v>4906</v>
      </c>
      <c r="P2930">
        <v>0</v>
      </c>
      <c r="Q2930">
        <v>0</v>
      </c>
      <c r="R2930">
        <v>0</v>
      </c>
      <c r="S2930">
        <v>0</v>
      </c>
      <c r="T2930">
        <v>50.032637979999997</v>
      </c>
      <c r="U2930">
        <f t="shared" si="90"/>
        <v>0</v>
      </c>
      <c r="V2930">
        <f t="shared" si="91"/>
        <v>0</v>
      </c>
    </row>
    <row r="2931" spans="1:22" x14ac:dyDescent="0.2">
      <c r="A2931" t="s">
        <v>3324</v>
      </c>
      <c r="B2931" t="s">
        <v>45</v>
      </c>
      <c r="C2931" t="s">
        <v>76</v>
      </c>
      <c r="D2931" t="s">
        <v>77</v>
      </c>
      <c r="E2931">
        <v>17</v>
      </c>
      <c r="F2931" t="s">
        <v>97</v>
      </c>
      <c r="G2931">
        <v>88</v>
      </c>
      <c r="H2931">
        <v>0</v>
      </c>
      <c r="I2931">
        <v>1044</v>
      </c>
      <c r="J2931">
        <v>105</v>
      </c>
      <c r="K2931">
        <v>81</v>
      </c>
      <c r="L2931">
        <v>1044</v>
      </c>
      <c r="M2931">
        <v>0</v>
      </c>
      <c r="N2931">
        <v>1</v>
      </c>
      <c r="O2931" s="1" t="s">
        <v>4907</v>
      </c>
      <c r="P2931">
        <v>0</v>
      </c>
      <c r="Q2931">
        <v>0</v>
      </c>
      <c r="R2931">
        <v>0</v>
      </c>
      <c r="S2931">
        <v>0</v>
      </c>
      <c r="T2931">
        <v>50.032637979999997</v>
      </c>
      <c r="U2931">
        <f t="shared" si="90"/>
        <v>0</v>
      </c>
      <c r="V2931">
        <f t="shared" si="91"/>
        <v>0</v>
      </c>
    </row>
    <row r="2932" spans="1:22" x14ac:dyDescent="0.2">
      <c r="A2932" t="s">
        <v>3324</v>
      </c>
      <c r="B2932" t="s">
        <v>45</v>
      </c>
      <c r="C2932" t="s">
        <v>76</v>
      </c>
      <c r="D2932" t="s">
        <v>77</v>
      </c>
      <c r="E2932" s="1" t="s">
        <v>85</v>
      </c>
      <c r="F2932" t="s">
        <v>86</v>
      </c>
      <c r="G2932">
        <v>26</v>
      </c>
      <c r="H2932">
        <v>0</v>
      </c>
      <c r="I2932">
        <v>72497</v>
      </c>
      <c r="J2932">
        <v>65</v>
      </c>
      <c r="K2932">
        <v>46</v>
      </c>
      <c r="L2932">
        <v>72497</v>
      </c>
      <c r="M2932">
        <v>0</v>
      </c>
      <c r="N2932">
        <v>1</v>
      </c>
      <c r="O2932" s="1" t="s">
        <v>4908</v>
      </c>
      <c r="P2932">
        <v>0</v>
      </c>
      <c r="Q2932">
        <v>0</v>
      </c>
      <c r="R2932">
        <v>0</v>
      </c>
      <c r="S2932">
        <v>0</v>
      </c>
      <c r="T2932">
        <v>50.032637979999997</v>
      </c>
      <c r="U2932">
        <f t="shared" si="90"/>
        <v>0</v>
      </c>
      <c r="V2932">
        <f t="shared" si="91"/>
        <v>0</v>
      </c>
    </row>
    <row r="2933" spans="1:22" x14ac:dyDescent="0.2">
      <c r="A2933" t="s">
        <v>3367</v>
      </c>
      <c r="B2933" t="s">
        <v>46</v>
      </c>
      <c r="C2933" t="s">
        <v>76</v>
      </c>
      <c r="D2933" t="s">
        <v>77</v>
      </c>
      <c r="E2933">
        <v>10</v>
      </c>
      <c r="F2933" t="s">
        <v>119</v>
      </c>
      <c r="G2933">
        <v>47</v>
      </c>
      <c r="H2933">
        <v>1244558</v>
      </c>
      <c r="I2933">
        <v>0</v>
      </c>
      <c r="J2933">
        <v>50</v>
      </c>
      <c r="K2933">
        <v>37</v>
      </c>
      <c r="L2933">
        <v>-1244558</v>
      </c>
      <c r="M2933">
        <v>1</v>
      </c>
      <c r="N2933">
        <v>0</v>
      </c>
      <c r="O2933" s="1" t="s">
        <v>4909</v>
      </c>
      <c r="P2933">
        <v>0</v>
      </c>
      <c r="Q2933">
        <v>0</v>
      </c>
      <c r="R2933">
        <v>0</v>
      </c>
      <c r="S2933">
        <v>0</v>
      </c>
      <c r="T2933">
        <v>100.43846910000001</v>
      </c>
      <c r="U2933">
        <f t="shared" si="90"/>
        <v>0</v>
      </c>
      <c r="V2933">
        <f t="shared" si="91"/>
        <v>0</v>
      </c>
    </row>
    <row r="2934" spans="1:22" x14ac:dyDescent="0.2">
      <c r="A2934" t="s">
        <v>3367</v>
      </c>
      <c r="B2934" t="s">
        <v>46</v>
      </c>
      <c r="C2934" t="s">
        <v>76</v>
      </c>
      <c r="D2934" t="s">
        <v>77</v>
      </c>
      <c r="E2934" s="1" t="s">
        <v>155</v>
      </c>
      <c r="F2934" t="s">
        <v>156</v>
      </c>
      <c r="G2934" s="1" t="s">
        <v>110</v>
      </c>
      <c r="H2934">
        <v>810275</v>
      </c>
      <c r="I2934">
        <v>0</v>
      </c>
      <c r="J2934">
        <v>62</v>
      </c>
      <c r="K2934">
        <v>77</v>
      </c>
      <c r="L2934">
        <v>-810275</v>
      </c>
      <c r="M2934">
        <v>1</v>
      </c>
      <c r="N2934">
        <v>0</v>
      </c>
      <c r="O2934" s="1" t="s">
        <v>4910</v>
      </c>
      <c r="P2934">
        <v>0</v>
      </c>
      <c r="Q2934">
        <v>0</v>
      </c>
      <c r="R2934">
        <v>0</v>
      </c>
      <c r="S2934">
        <v>0</v>
      </c>
      <c r="T2934">
        <v>100.43846910000001</v>
      </c>
      <c r="U2934">
        <f t="shared" si="90"/>
        <v>0</v>
      </c>
      <c r="V2934">
        <f t="shared" si="91"/>
        <v>0</v>
      </c>
    </row>
    <row r="2935" spans="1:22" x14ac:dyDescent="0.2">
      <c r="A2935" t="s">
        <v>3367</v>
      </c>
      <c r="B2935" t="s">
        <v>46</v>
      </c>
      <c r="C2935" t="s">
        <v>76</v>
      </c>
      <c r="D2935" t="s">
        <v>77</v>
      </c>
      <c r="E2935" s="1" t="s">
        <v>82</v>
      </c>
      <c r="F2935" t="s">
        <v>83</v>
      </c>
      <c r="G2935">
        <v>13</v>
      </c>
      <c r="H2935">
        <v>16107</v>
      </c>
      <c r="I2935">
        <v>0</v>
      </c>
      <c r="J2935">
        <v>37</v>
      </c>
      <c r="K2935">
        <v>59</v>
      </c>
      <c r="L2935">
        <v>-16107</v>
      </c>
      <c r="M2935">
        <v>1</v>
      </c>
      <c r="N2935">
        <v>0</v>
      </c>
      <c r="O2935" s="1" t="s">
        <v>4911</v>
      </c>
      <c r="P2935">
        <v>0</v>
      </c>
      <c r="Q2935">
        <v>0</v>
      </c>
      <c r="R2935">
        <v>0</v>
      </c>
      <c r="S2935">
        <v>0</v>
      </c>
      <c r="T2935">
        <v>100.43846910000001</v>
      </c>
      <c r="U2935">
        <f t="shared" si="90"/>
        <v>0</v>
      </c>
      <c r="V2935">
        <f t="shared" si="91"/>
        <v>0</v>
      </c>
    </row>
    <row r="2936" spans="1:22" x14ac:dyDescent="0.2">
      <c r="A2936" t="s">
        <v>3367</v>
      </c>
      <c r="B2936" t="s">
        <v>46</v>
      </c>
      <c r="C2936" t="s">
        <v>76</v>
      </c>
      <c r="D2936" t="s">
        <v>77</v>
      </c>
      <c r="E2936">
        <v>15</v>
      </c>
      <c r="F2936" t="s">
        <v>88</v>
      </c>
      <c r="G2936">
        <v>79</v>
      </c>
      <c r="H2936">
        <v>227466</v>
      </c>
      <c r="I2936">
        <v>600</v>
      </c>
      <c r="J2936">
        <v>38</v>
      </c>
      <c r="K2936">
        <v>50</v>
      </c>
      <c r="L2936">
        <v>-226866</v>
      </c>
      <c r="M2936" s="1" t="s">
        <v>4912</v>
      </c>
      <c r="N2936">
        <v>2.6308173949646102E-3</v>
      </c>
      <c r="O2936" s="1" t="s">
        <v>4913</v>
      </c>
      <c r="P2936">
        <v>0</v>
      </c>
      <c r="Q2936">
        <v>0</v>
      </c>
      <c r="R2936">
        <v>0</v>
      </c>
      <c r="S2936">
        <v>0</v>
      </c>
      <c r="T2936">
        <v>100.43846910000001</v>
      </c>
      <c r="U2936">
        <f t="shared" si="90"/>
        <v>0</v>
      </c>
      <c r="V2936">
        <f t="shared" si="91"/>
        <v>0</v>
      </c>
    </row>
    <row r="2937" spans="1:22" x14ac:dyDescent="0.2">
      <c r="A2937" t="s">
        <v>3367</v>
      </c>
      <c r="B2937" t="s">
        <v>46</v>
      </c>
      <c r="C2937" t="s">
        <v>76</v>
      </c>
      <c r="D2937" t="s">
        <v>77</v>
      </c>
      <c r="E2937" s="1" t="s">
        <v>155</v>
      </c>
      <c r="F2937" t="s">
        <v>156</v>
      </c>
      <c r="G2937" s="1" t="s">
        <v>85</v>
      </c>
      <c r="H2937">
        <v>6297</v>
      </c>
      <c r="I2937">
        <v>523774</v>
      </c>
      <c r="J2937">
        <v>62</v>
      </c>
      <c r="K2937">
        <v>26</v>
      </c>
      <c r="L2937">
        <v>517477</v>
      </c>
      <c r="M2937">
        <v>1.18795406653071E-2</v>
      </c>
      <c r="N2937">
        <v>0.98812045933469295</v>
      </c>
      <c r="O2937" s="1" t="s">
        <v>4914</v>
      </c>
      <c r="P2937">
        <v>0</v>
      </c>
      <c r="Q2937">
        <v>0</v>
      </c>
      <c r="R2937">
        <v>0</v>
      </c>
      <c r="S2937">
        <v>0</v>
      </c>
      <c r="T2937">
        <v>100.43846910000001</v>
      </c>
      <c r="U2937">
        <f t="shared" si="90"/>
        <v>0</v>
      </c>
      <c r="V2937">
        <f t="shared" si="91"/>
        <v>0</v>
      </c>
    </row>
    <row r="2938" spans="1:22" x14ac:dyDescent="0.2">
      <c r="A2938" t="s">
        <v>3543</v>
      </c>
      <c r="B2938" t="s">
        <v>47</v>
      </c>
      <c r="C2938" t="s">
        <v>76</v>
      </c>
      <c r="D2938" t="s">
        <v>77</v>
      </c>
      <c r="E2938" s="1" t="s">
        <v>89</v>
      </c>
      <c r="F2938" t="s">
        <v>90</v>
      </c>
      <c r="G2938">
        <v>36</v>
      </c>
      <c r="H2938">
        <v>19460</v>
      </c>
      <c r="I2938">
        <v>28917</v>
      </c>
      <c r="J2938">
        <v>55</v>
      </c>
      <c r="K2938">
        <v>22</v>
      </c>
      <c r="L2938">
        <v>9457</v>
      </c>
      <c r="M2938" s="1" t="s">
        <v>4915</v>
      </c>
      <c r="N2938">
        <v>0.59774272898278102</v>
      </c>
      <c r="O2938" s="1" t="s">
        <v>4916</v>
      </c>
      <c r="P2938">
        <v>0</v>
      </c>
      <c r="Q2938">
        <v>0</v>
      </c>
      <c r="R2938">
        <v>0</v>
      </c>
      <c r="S2938">
        <v>0</v>
      </c>
      <c r="T2938">
        <v>45.410769389999999</v>
      </c>
      <c r="U2938">
        <f t="shared" si="90"/>
        <v>0</v>
      </c>
      <c r="V2938">
        <f t="shared" si="91"/>
        <v>0</v>
      </c>
    </row>
    <row r="2939" spans="1:22" x14ac:dyDescent="0.2">
      <c r="A2939" t="s">
        <v>3543</v>
      </c>
      <c r="B2939" t="s">
        <v>47</v>
      </c>
      <c r="C2939" t="s">
        <v>76</v>
      </c>
      <c r="D2939" t="s">
        <v>77</v>
      </c>
      <c r="E2939">
        <v>11</v>
      </c>
      <c r="F2939" t="s">
        <v>127</v>
      </c>
      <c r="G2939">
        <v>57</v>
      </c>
      <c r="H2939">
        <v>10187</v>
      </c>
      <c r="I2939">
        <v>0</v>
      </c>
      <c r="J2939">
        <v>51</v>
      </c>
      <c r="K2939">
        <v>78</v>
      </c>
      <c r="L2939">
        <v>-10187</v>
      </c>
      <c r="M2939">
        <v>1</v>
      </c>
      <c r="N2939">
        <v>0</v>
      </c>
      <c r="O2939" s="1" t="s">
        <v>4917</v>
      </c>
      <c r="P2939">
        <v>0</v>
      </c>
      <c r="Q2939">
        <v>0</v>
      </c>
      <c r="R2939">
        <v>0</v>
      </c>
      <c r="S2939">
        <v>0</v>
      </c>
      <c r="T2939">
        <v>45.410769389999999</v>
      </c>
      <c r="U2939">
        <f t="shared" si="90"/>
        <v>0</v>
      </c>
      <c r="V2939">
        <f t="shared" si="91"/>
        <v>0</v>
      </c>
    </row>
    <row r="2940" spans="1:22" x14ac:dyDescent="0.2">
      <c r="A2940" t="s">
        <v>3543</v>
      </c>
      <c r="B2940" t="s">
        <v>47</v>
      </c>
      <c r="C2940" t="s">
        <v>76</v>
      </c>
      <c r="D2940" t="s">
        <v>77</v>
      </c>
      <c r="E2940">
        <v>11</v>
      </c>
      <c r="F2940" t="s">
        <v>127</v>
      </c>
      <c r="G2940">
        <v>52</v>
      </c>
      <c r="H2940">
        <v>286</v>
      </c>
      <c r="I2940">
        <v>1535</v>
      </c>
      <c r="J2940">
        <v>69</v>
      </c>
      <c r="K2940">
        <v>58</v>
      </c>
      <c r="L2940">
        <v>1249</v>
      </c>
      <c r="M2940">
        <v>0.15705656232839099</v>
      </c>
      <c r="N2940">
        <v>0.84294343767160895</v>
      </c>
      <c r="O2940" s="1" t="s">
        <v>4918</v>
      </c>
      <c r="P2940">
        <v>0</v>
      </c>
      <c r="Q2940">
        <v>0</v>
      </c>
      <c r="R2940">
        <v>0</v>
      </c>
      <c r="S2940">
        <v>0</v>
      </c>
      <c r="T2940">
        <v>45.410769389999999</v>
      </c>
      <c r="U2940">
        <f t="shared" si="90"/>
        <v>0</v>
      </c>
      <c r="V2940">
        <f t="shared" si="91"/>
        <v>0</v>
      </c>
    </row>
    <row r="2941" spans="1:22" x14ac:dyDescent="0.2">
      <c r="A2941" t="s">
        <v>3728</v>
      </c>
      <c r="B2941" t="s">
        <v>48</v>
      </c>
      <c r="C2941" t="s">
        <v>76</v>
      </c>
      <c r="D2941" t="s">
        <v>77</v>
      </c>
      <c r="E2941">
        <v>15</v>
      </c>
      <c r="F2941" t="s">
        <v>88</v>
      </c>
      <c r="G2941">
        <v>78</v>
      </c>
      <c r="H2941">
        <v>8699719</v>
      </c>
      <c r="I2941">
        <v>0</v>
      </c>
      <c r="J2941">
        <v>23</v>
      </c>
      <c r="K2941">
        <v>44</v>
      </c>
      <c r="L2941">
        <v>-8699719</v>
      </c>
      <c r="M2941">
        <v>1</v>
      </c>
      <c r="N2941">
        <v>0</v>
      </c>
      <c r="O2941">
        <v>5.6510937956986002E-3</v>
      </c>
      <c r="P2941">
        <v>0</v>
      </c>
      <c r="Q2941">
        <v>0</v>
      </c>
      <c r="R2941">
        <v>0</v>
      </c>
      <c r="S2941">
        <v>0</v>
      </c>
      <c r="T2941">
        <v>7.1877201389999996</v>
      </c>
      <c r="U2941">
        <f t="shared" si="90"/>
        <v>0</v>
      </c>
      <c r="V2941">
        <f t="shared" si="91"/>
        <v>0</v>
      </c>
    </row>
    <row r="2942" spans="1:22" x14ac:dyDescent="0.2">
      <c r="A2942" t="s">
        <v>3728</v>
      </c>
      <c r="B2942" t="s">
        <v>48</v>
      </c>
      <c r="C2942" t="s">
        <v>76</v>
      </c>
      <c r="D2942" t="s">
        <v>77</v>
      </c>
      <c r="E2942" s="1" t="s">
        <v>89</v>
      </c>
      <c r="F2942" t="s">
        <v>90</v>
      </c>
      <c r="G2942">
        <v>31</v>
      </c>
      <c r="H2942">
        <v>13643025</v>
      </c>
      <c r="I2942">
        <v>0</v>
      </c>
      <c r="J2942">
        <v>98</v>
      </c>
      <c r="K2942">
        <v>51</v>
      </c>
      <c r="L2942">
        <v>-13643025</v>
      </c>
      <c r="M2942">
        <v>1</v>
      </c>
      <c r="N2942">
        <v>0</v>
      </c>
      <c r="O2942">
        <v>8.8621269183591991E-3</v>
      </c>
      <c r="P2942">
        <v>0</v>
      </c>
      <c r="Q2942">
        <v>0</v>
      </c>
      <c r="R2942">
        <v>0</v>
      </c>
      <c r="S2942">
        <v>0</v>
      </c>
      <c r="T2942">
        <v>7.1877201389999996</v>
      </c>
      <c r="U2942">
        <f t="shared" si="90"/>
        <v>0</v>
      </c>
      <c r="V2942">
        <f t="shared" si="91"/>
        <v>0</v>
      </c>
    </row>
    <row r="2943" spans="1:22" x14ac:dyDescent="0.2">
      <c r="A2943" t="s">
        <v>3728</v>
      </c>
      <c r="B2943" t="s">
        <v>48</v>
      </c>
      <c r="C2943" t="s">
        <v>76</v>
      </c>
      <c r="D2943" t="s">
        <v>77</v>
      </c>
      <c r="E2943">
        <v>14</v>
      </c>
      <c r="F2943" t="s">
        <v>261</v>
      </c>
      <c r="G2943">
        <v>71</v>
      </c>
      <c r="H2943">
        <v>4088396</v>
      </c>
      <c r="I2943">
        <v>68261</v>
      </c>
      <c r="J2943">
        <v>38</v>
      </c>
      <c r="K2943">
        <v>53</v>
      </c>
      <c r="L2943">
        <v>-4020135</v>
      </c>
      <c r="M2943" s="1" t="s">
        <v>4919</v>
      </c>
      <c r="N2943" s="1" t="s">
        <v>4920</v>
      </c>
      <c r="O2943">
        <v>2.70004796517533E-3</v>
      </c>
      <c r="P2943">
        <v>0</v>
      </c>
      <c r="Q2943">
        <v>0</v>
      </c>
      <c r="R2943">
        <v>0</v>
      </c>
      <c r="S2943">
        <v>0</v>
      </c>
      <c r="T2943">
        <v>7.1877201389999996</v>
      </c>
      <c r="U2943">
        <f t="shared" si="90"/>
        <v>0</v>
      </c>
      <c r="V2943">
        <f t="shared" si="91"/>
        <v>0</v>
      </c>
    </row>
    <row r="2944" spans="1:22" x14ac:dyDescent="0.2">
      <c r="A2944" t="s">
        <v>3728</v>
      </c>
      <c r="B2944" t="s">
        <v>48</v>
      </c>
      <c r="C2944" t="s">
        <v>76</v>
      </c>
      <c r="D2944" t="s">
        <v>77</v>
      </c>
      <c r="E2944" s="1" t="s">
        <v>163</v>
      </c>
      <c r="F2944" t="s">
        <v>224</v>
      </c>
      <c r="G2944">
        <v>42</v>
      </c>
      <c r="H2944">
        <v>2024</v>
      </c>
      <c r="I2944">
        <v>66</v>
      </c>
      <c r="J2944">
        <v>92</v>
      </c>
      <c r="K2944">
        <v>93</v>
      </c>
      <c r="L2944">
        <v>-1958</v>
      </c>
      <c r="M2944">
        <v>0.96842105263157896</v>
      </c>
      <c r="N2944" s="1" t="s">
        <v>4921</v>
      </c>
      <c r="O2944" s="1" t="s">
        <v>4922</v>
      </c>
      <c r="P2944">
        <v>0</v>
      </c>
      <c r="Q2944">
        <v>0</v>
      </c>
      <c r="R2944">
        <v>0</v>
      </c>
      <c r="S2944">
        <v>0</v>
      </c>
      <c r="T2944">
        <v>7.1877201389999996</v>
      </c>
      <c r="U2944">
        <f t="shared" si="90"/>
        <v>0</v>
      </c>
      <c r="V2944">
        <f t="shared" si="91"/>
        <v>0</v>
      </c>
    </row>
    <row r="2945" spans="1:22" x14ac:dyDescent="0.2">
      <c r="A2945" t="s">
        <v>3728</v>
      </c>
      <c r="B2945" t="s">
        <v>48</v>
      </c>
      <c r="C2945" t="s">
        <v>76</v>
      </c>
      <c r="D2945" t="s">
        <v>77</v>
      </c>
      <c r="E2945">
        <v>13</v>
      </c>
      <c r="F2945" t="s">
        <v>91</v>
      </c>
      <c r="G2945">
        <v>70</v>
      </c>
      <c r="H2945">
        <v>1032</v>
      </c>
      <c r="I2945">
        <v>56639</v>
      </c>
      <c r="J2945">
        <v>121</v>
      </c>
      <c r="K2945">
        <v>61</v>
      </c>
      <c r="L2945">
        <v>55607</v>
      </c>
      <c r="M2945" s="1" t="s">
        <v>4923</v>
      </c>
      <c r="N2945" s="1" t="s">
        <v>4924</v>
      </c>
      <c r="O2945" s="1" t="s">
        <v>4925</v>
      </c>
      <c r="P2945">
        <v>0</v>
      </c>
      <c r="Q2945">
        <v>0</v>
      </c>
      <c r="R2945">
        <v>0</v>
      </c>
      <c r="S2945">
        <v>0</v>
      </c>
      <c r="T2945">
        <v>7.1877201389999996</v>
      </c>
      <c r="U2945">
        <f t="shared" si="90"/>
        <v>0</v>
      </c>
      <c r="V2945">
        <f t="shared" si="91"/>
        <v>0</v>
      </c>
    </row>
    <row r="2946" spans="1:22" x14ac:dyDescent="0.2">
      <c r="A2946" t="s">
        <v>3728</v>
      </c>
      <c r="B2946" t="s">
        <v>48</v>
      </c>
      <c r="C2946" t="s">
        <v>76</v>
      </c>
      <c r="D2946" t="s">
        <v>77</v>
      </c>
      <c r="E2946">
        <v>18</v>
      </c>
      <c r="F2946" t="s">
        <v>147</v>
      </c>
      <c r="G2946">
        <v>92</v>
      </c>
      <c r="H2946">
        <v>163</v>
      </c>
      <c r="I2946">
        <v>0</v>
      </c>
      <c r="J2946">
        <v>91</v>
      </c>
      <c r="K2946">
        <v>66</v>
      </c>
      <c r="L2946">
        <v>-163</v>
      </c>
      <c r="M2946">
        <v>1</v>
      </c>
      <c r="N2946">
        <v>0</v>
      </c>
      <c r="O2946" s="1" t="s">
        <v>4926</v>
      </c>
      <c r="P2946">
        <v>0</v>
      </c>
      <c r="Q2946">
        <v>0</v>
      </c>
      <c r="R2946">
        <v>0</v>
      </c>
      <c r="S2946">
        <v>0</v>
      </c>
      <c r="T2946">
        <v>7.1877201389999996</v>
      </c>
      <c r="U2946">
        <f t="shared" si="90"/>
        <v>0</v>
      </c>
      <c r="V2946">
        <f t="shared" si="91"/>
        <v>0</v>
      </c>
    </row>
    <row r="2947" spans="1:22" x14ac:dyDescent="0.2">
      <c r="A2947" t="s">
        <v>3728</v>
      </c>
      <c r="B2947" t="s">
        <v>48</v>
      </c>
      <c r="C2947" t="s">
        <v>76</v>
      </c>
      <c r="D2947" t="s">
        <v>77</v>
      </c>
      <c r="E2947" s="1" t="s">
        <v>89</v>
      </c>
      <c r="F2947" t="s">
        <v>90</v>
      </c>
      <c r="G2947">
        <v>35</v>
      </c>
      <c r="H2947">
        <v>76</v>
      </c>
      <c r="I2947">
        <v>0</v>
      </c>
      <c r="J2947">
        <v>88</v>
      </c>
      <c r="K2947">
        <v>73</v>
      </c>
      <c r="L2947">
        <v>-76</v>
      </c>
      <c r="M2947">
        <v>1</v>
      </c>
      <c r="N2947">
        <v>0</v>
      </c>
      <c r="O2947" s="1" t="s">
        <v>4927</v>
      </c>
      <c r="P2947">
        <v>0</v>
      </c>
      <c r="Q2947">
        <v>0</v>
      </c>
      <c r="R2947">
        <v>0</v>
      </c>
      <c r="S2947">
        <v>0</v>
      </c>
      <c r="T2947">
        <v>7.1877201389999996</v>
      </c>
      <c r="U2947">
        <f t="shared" ref="U2947:U3010" si="92">IF(OR(P2947=1,Q2947=1),1,0)</f>
        <v>0</v>
      </c>
      <c r="V2947">
        <f t="shared" ref="V2947:V3010" si="93">IF(OR(R2947=1,S2947=1),1,0)</f>
        <v>0</v>
      </c>
    </row>
    <row r="2948" spans="1:22" x14ac:dyDescent="0.2">
      <c r="A2948" t="s">
        <v>3728</v>
      </c>
      <c r="B2948" t="s">
        <v>48</v>
      </c>
      <c r="C2948" t="s">
        <v>76</v>
      </c>
      <c r="D2948" t="s">
        <v>77</v>
      </c>
      <c r="E2948">
        <v>11</v>
      </c>
      <c r="F2948" t="s">
        <v>127</v>
      </c>
      <c r="G2948">
        <v>57</v>
      </c>
      <c r="H2948">
        <v>0</v>
      </c>
      <c r="I2948">
        <v>10</v>
      </c>
      <c r="J2948">
        <v>94</v>
      </c>
      <c r="K2948">
        <v>76</v>
      </c>
      <c r="L2948">
        <v>10</v>
      </c>
      <c r="M2948">
        <v>0</v>
      </c>
      <c r="N2948">
        <v>1</v>
      </c>
      <c r="O2948" s="1" t="s">
        <v>4928</v>
      </c>
      <c r="P2948">
        <v>0</v>
      </c>
      <c r="Q2948">
        <v>0</v>
      </c>
      <c r="R2948">
        <v>0</v>
      </c>
      <c r="S2948">
        <v>0</v>
      </c>
      <c r="T2948">
        <v>7.1877201389999996</v>
      </c>
      <c r="U2948">
        <f t="shared" si="92"/>
        <v>0</v>
      </c>
      <c r="V2948">
        <f t="shared" si="93"/>
        <v>0</v>
      </c>
    </row>
    <row r="2949" spans="1:22" x14ac:dyDescent="0.2">
      <c r="A2949" t="s">
        <v>3728</v>
      </c>
      <c r="B2949" t="s">
        <v>48</v>
      </c>
      <c r="C2949" t="s">
        <v>76</v>
      </c>
      <c r="D2949" t="s">
        <v>77</v>
      </c>
      <c r="E2949">
        <v>11</v>
      </c>
      <c r="F2949" t="s">
        <v>127</v>
      </c>
      <c r="G2949">
        <v>52</v>
      </c>
      <c r="H2949">
        <v>0</v>
      </c>
      <c r="I2949">
        <v>322</v>
      </c>
      <c r="J2949">
        <v>81</v>
      </c>
      <c r="K2949">
        <v>61</v>
      </c>
      <c r="L2949">
        <v>322</v>
      </c>
      <c r="M2949">
        <v>0</v>
      </c>
      <c r="N2949">
        <v>1</v>
      </c>
      <c r="O2949" s="1" t="s">
        <v>4929</v>
      </c>
      <c r="P2949">
        <v>0</v>
      </c>
      <c r="Q2949">
        <v>0</v>
      </c>
      <c r="R2949">
        <v>0</v>
      </c>
      <c r="S2949">
        <v>0</v>
      </c>
      <c r="T2949">
        <v>7.1877201389999996</v>
      </c>
      <c r="U2949">
        <f t="shared" si="92"/>
        <v>0</v>
      </c>
      <c r="V2949">
        <f t="shared" si="93"/>
        <v>0</v>
      </c>
    </row>
    <row r="2950" spans="1:22" x14ac:dyDescent="0.2">
      <c r="A2950" t="s">
        <v>3728</v>
      </c>
      <c r="B2950" t="s">
        <v>48</v>
      </c>
      <c r="C2950" t="s">
        <v>76</v>
      </c>
      <c r="D2950" t="s">
        <v>77</v>
      </c>
      <c r="E2950">
        <v>11</v>
      </c>
      <c r="F2950" t="s">
        <v>127</v>
      </c>
      <c r="G2950">
        <v>55</v>
      </c>
      <c r="H2950">
        <v>46</v>
      </c>
      <c r="I2950">
        <v>257669</v>
      </c>
      <c r="J2950">
        <v>71</v>
      </c>
      <c r="K2950">
        <v>45</v>
      </c>
      <c r="L2950">
        <v>257623</v>
      </c>
      <c r="M2950" s="1" t="s">
        <v>4930</v>
      </c>
      <c r="N2950" s="1" t="s">
        <v>4931</v>
      </c>
      <c r="O2950" s="1" t="s">
        <v>4932</v>
      </c>
      <c r="P2950">
        <v>0</v>
      </c>
      <c r="Q2950">
        <v>0</v>
      </c>
      <c r="R2950">
        <v>0</v>
      </c>
      <c r="S2950">
        <v>0</v>
      </c>
      <c r="T2950">
        <v>7.1877201389999996</v>
      </c>
      <c r="U2950">
        <f t="shared" si="92"/>
        <v>0</v>
      </c>
      <c r="V2950">
        <f t="shared" si="93"/>
        <v>0</v>
      </c>
    </row>
    <row r="2951" spans="1:22" x14ac:dyDescent="0.2">
      <c r="A2951" t="s">
        <v>3845</v>
      </c>
      <c r="B2951" t="s">
        <v>49</v>
      </c>
      <c r="C2951" t="s">
        <v>76</v>
      </c>
      <c r="D2951" t="s">
        <v>77</v>
      </c>
      <c r="E2951">
        <v>15</v>
      </c>
      <c r="F2951" t="s">
        <v>88</v>
      </c>
      <c r="G2951">
        <v>79</v>
      </c>
      <c r="H2951">
        <v>1626234</v>
      </c>
      <c r="I2951">
        <v>0</v>
      </c>
      <c r="J2951">
        <v>16</v>
      </c>
      <c r="K2951">
        <v>54</v>
      </c>
      <c r="L2951">
        <v>-1626234</v>
      </c>
      <c r="M2951">
        <v>1</v>
      </c>
      <c r="N2951">
        <v>0</v>
      </c>
      <c r="O2951" s="1" t="s">
        <v>4933</v>
      </c>
      <c r="P2951">
        <v>0</v>
      </c>
      <c r="Q2951">
        <v>0</v>
      </c>
      <c r="R2951">
        <v>0</v>
      </c>
      <c r="S2951">
        <v>0</v>
      </c>
      <c r="T2951">
        <v>12.720721579999999</v>
      </c>
      <c r="U2951">
        <f t="shared" si="92"/>
        <v>0</v>
      </c>
      <c r="V2951">
        <f t="shared" si="93"/>
        <v>0</v>
      </c>
    </row>
    <row r="2952" spans="1:22" x14ac:dyDescent="0.2">
      <c r="A2952" t="s">
        <v>3845</v>
      </c>
      <c r="B2952" t="s">
        <v>49</v>
      </c>
      <c r="C2952" t="s">
        <v>76</v>
      </c>
      <c r="D2952" t="s">
        <v>77</v>
      </c>
      <c r="E2952" s="1" t="s">
        <v>138</v>
      </c>
      <c r="F2952" t="s">
        <v>139</v>
      </c>
      <c r="G2952">
        <v>18</v>
      </c>
      <c r="H2952">
        <v>2341668</v>
      </c>
      <c r="I2952">
        <v>0</v>
      </c>
      <c r="J2952">
        <v>41</v>
      </c>
      <c r="K2952">
        <v>82</v>
      </c>
      <c r="L2952">
        <v>-2341668</v>
      </c>
      <c r="M2952">
        <v>1</v>
      </c>
      <c r="N2952">
        <v>0</v>
      </c>
      <c r="O2952">
        <v>1.03400753846704E-3</v>
      </c>
      <c r="P2952">
        <v>0</v>
      </c>
      <c r="Q2952">
        <v>0</v>
      </c>
      <c r="R2952">
        <v>0</v>
      </c>
      <c r="S2952">
        <v>0</v>
      </c>
      <c r="T2952">
        <v>12.720721579999999</v>
      </c>
      <c r="U2952">
        <f t="shared" si="92"/>
        <v>0</v>
      </c>
      <c r="V2952">
        <f t="shared" si="93"/>
        <v>0</v>
      </c>
    </row>
    <row r="2953" spans="1:22" x14ac:dyDescent="0.2">
      <c r="A2953" t="s">
        <v>3845</v>
      </c>
      <c r="B2953" t="s">
        <v>49</v>
      </c>
      <c r="C2953" t="s">
        <v>76</v>
      </c>
      <c r="D2953" t="s">
        <v>77</v>
      </c>
      <c r="E2953" s="1" t="s">
        <v>138</v>
      </c>
      <c r="F2953" t="s">
        <v>139</v>
      </c>
      <c r="G2953">
        <v>23</v>
      </c>
      <c r="H2953">
        <v>385489</v>
      </c>
      <c r="I2953">
        <v>0</v>
      </c>
      <c r="J2953">
        <v>59</v>
      </c>
      <c r="K2953">
        <v>61</v>
      </c>
      <c r="L2953">
        <v>-385489</v>
      </c>
      <c r="M2953">
        <v>1</v>
      </c>
      <c r="N2953">
        <v>0</v>
      </c>
      <c r="O2953" s="1" t="s">
        <v>4934</v>
      </c>
      <c r="P2953">
        <v>0</v>
      </c>
      <c r="Q2953">
        <v>0</v>
      </c>
      <c r="R2953">
        <v>0</v>
      </c>
      <c r="S2953">
        <v>0</v>
      </c>
      <c r="T2953">
        <v>12.720721579999999</v>
      </c>
      <c r="U2953">
        <f t="shared" si="92"/>
        <v>0</v>
      </c>
      <c r="V2953">
        <f t="shared" si="93"/>
        <v>0</v>
      </c>
    </row>
    <row r="2954" spans="1:22" x14ac:dyDescent="0.2">
      <c r="A2954" t="s">
        <v>3845</v>
      </c>
      <c r="B2954" t="s">
        <v>49</v>
      </c>
      <c r="C2954" t="s">
        <v>76</v>
      </c>
      <c r="D2954" t="s">
        <v>77</v>
      </c>
      <c r="E2954" s="1" t="s">
        <v>82</v>
      </c>
      <c r="F2954" t="s">
        <v>83</v>
      </c>
      <c r="G2954">
        <v>12</v>
      </c>
      <c r="H2954">
        <v>27583</v>
      </c>
      <c r="I2954">
        <v>0</v>
      </c>
      <c r="J2954">
        <v>76</v>
      </c>
      <c r="K2954">
        <v>98</v>
      </c>
      <c r="L2954">
        <v>-27583</v>
      </c>
      <c r="M2954">
        <v>1</v>
      </c>
      <c r="N2954">
        <v>0</v>
      </c>
      <c r="O2954" s="1" t="s">
        <v>4935</v>
      </c>
      <c r="P2954">
        <v>0</v>
      </c>
      <c r="Q2954">
        <v>0</v>
      </c>
      <c r="R2954">
        <v>0</v>
      </c>
      <c r="S2954">
        <v>0</v>
      </c>
      <c r="T2954">
        <v>12.720721579999999</v>
      </c>
      <c r="U2954">
        <f t="shared" si="92"/>
        <v>0</v>
      </c>
      <c r="V2954">
        <f t="shared" si="93"/>
        <v>0</v>
      </c>
    </row>
    <row r="2955" spans="1:22" x14ac:dyDescent="0.2">
      <c r="A2955" t="s">
        <v>3845</v>
      </c>
      <c r="B2955" t="s">
        <v>49</v>
      </c>
      <c r="C2955" t="s">
        <v>76</v>
      </c>
      <c r="D2955" t="s">
        <v>77</v>
      </c>
      <c r="E2955" s="1" t="s">
        <v>163</v>
      </c>
      <c r="F2955" t="s">
        <v>224</v>
      </c>
      <c r="G2955">
        <v>41</v>
      </c>
      <c r="H2955">
        <v>110383</v>
      </c>
      <c r="I2955">
        <v>0</v>
      </c>
      <c r="J2955">
        <v>39</v>
      </c>
      <c r="K2955">
        <v>70</v>
      </c>
      <c r="L2955">
        <v>-110383</v>
      </c>
      <c r="M2955">
        <v>1</v>
      </c>
      <c r="N2955">
        <v>0</v>
      </c>
      <c r="O2955" s="1" t="s">
        <v>4936</v>
      </c>
      <c r="P2955">
        <v>0</v>
      </c>
      <c r="Q2955">
        <v>0</v>
      </c>
      <c r="R2955">
        <v>0</v>
      </c>
      <c r="S2955">
        <v>0</v>
      </c>
      <c r="T2955">
        <v>12.720721579999999</v>
      </c>
      <c r="U2955">
        <f t="shared" si="92"/>
        <v>0</v>
      </c>
      <c r="V2955">
        <f t="shared" si="93"/>
        <v>0</v>
      </c>
    </row>
    <row r="2956" spans="1:22" x14ac:dyDescent="0.2">
      <c r="A2956" t="s">
        <v>3845</v>
      </c>
      <c r="B2956" t="s">
        <v>49</v>
      </c>
      <c r="C2956" t="s">
        <v>76</v>
      </c>
      <c r="D2956" t="s">
        <v>77</v>
      </c>
      <c r="E2956" s="1" t="s">
        <v>82</v>
      </c>
      <c r="F2956" t="s">
        <v>83</v>
      </c>
      <c r="G2956">
        <v>11</v>
      </c>
      <c r="H2956">
        <v>7074</v>
      </c>
      <c r="I2956">
        <v>0</v>
      </c>
      <c r="J2956">
        <v>92</v>
      </c>
      <c r="K2956">
        <v>71</v>
      </c>
      <c r="L2956">
        <v>-7074</v>
      </c>
      <c r="M2956">
        <v>1</v>
      </c>
      <c r="N2956">
        <v>0</v>
      </c>
      <c r="O2956" s="1" t="s">
        <v>4937</v>
      </c>
      <c r="P2956">
        <v>0</v>
      </c>
      <c r="Q2956">
        <v>0</v>
      </c>
      <c r="R2956">
        <v>0</v>
      </c>
      <c r="S2956">
        <v>0</v>
      </c>
      <c r="T2956">
        <v>12.720721579999999</v>
      </c>
      <c r="U2956">
        <f t="shared" si="92"/>
        <v>0</v>
      </c>
      <c r="V2956">
        <f t="shared" si="93"/>
        <v>0</v>
      </c>
    </row>
    <row r="2957" spans="1:22" x14ac:dyDescent="0.2">
      <c r="A2957" t="s">
        <v>3845</v>
      </c>
      <c r="B2957" t="s">
        <v>49</v>
      </c>
      <c r="C2957" t="s">
        <v>76</v>
      </c>
      <c r="D2957" t="s">
        <v>77</v>
      </c>
      <c r="E2957">
        <v>20</v>
      </c>
      <c r="F2957" t="s">
        <v>104</v>
      </c>
      <c r="G2957">
        <v>96</v>
      </c>
      <c r="H2957">
        <v>469</v>
      </c>
      <c r="I2957">
        <v>17</v>
      </c>
      <c r="J2957">
        <v>110</v>
      </c>
      <c r="K2957">
        <v>86</v>
      </c>
      <c r="L2957">
        <v>-452</v>
      </c>
      <c r="M2957" s="1" t="s">
        <v>4938</v>
      </c>
      <c r="N2957">
        <v>3.4979423868312702E-2</v>
      </c>
      <c r="O2957" s="1" t="s">
        <v>4939</v>
      </c>
      <c r="P2957">
        <v>0</v>
      </c>
      <c r="Q2957">
        <v>0</v>
      </c>
      <c r="R2957">
        <v>0</v>
      </c>
      <c r="S2957">
        <v>0</v>
      </c>
      <c r="T2957">
        <v>12.720721579999999</v>
      </c>
      <c r="U2957">
        <f t="shared" si="92"/>
        <v>0</v>
      </c>
      <c r="V2957">
        <f t="shared" si="93"/>
        <v>0</v>
      </c>
    </row>
    <row r="2958" spans="1:22" x14ac:dyDescent="0.2">
      <c r="A2958" t="s">
        <v>3845</v>
      </c>
      <c r="B2958" t="s">
        <v>49</v>
      </c>
      <c r="C2958" t="s">
        <v>76</v>
      </c>
      <c r="D2958" t="s">
        <v>77</v>
      </c>
      <c r="E2958" s="1" t="s">
        <v>163</v>
      </c>
      <c r="F2958" t="s">
        <v>224</v>
      </c>
      <c r="G2958">
        <v>42</v>
      </c>
      <c r="H2958">
        <v>18</v>
      </c>
      <c r="I2958">
        <v>15858</v>
      </c>
      <c r="J2958">
        <v>122</v>
      </c>
      <c r="K2958">
        <v>64</v>
      </c>
      <c r="L2958">
        <v>15840</v>
      </c>
      <c r="M2958">
        <v>1.13378684807256E-3</v>
      </c>
      <c r="N2958" s="1" t="s">
        <v>4940</v>
      </c>
      <c r="O2958" s="1" t="s">
        <v>4941</v>
      </c>
      <c r="P2958">
        <v>0</v>
      </c>
      <c r="Q2958">
        <v>0</v>
      </c>
      <c r="R2958">
        <v>0</v>
      </c>
      <c r="S2958">
        <v>0</v>
      </c>
      <c r="T2958">
        <v>12.720721579999999</v>
      </c>
      <c r="U2958">
        <f t="shared" si="92"/>
        <v>0</v>
      </c>
      <c r="V2958">
        <f t="shared" si="93"/>
        <v>0</v>
      </c>
    </row>
    <row r="2959" spans="1:22" x14ac:dyDescent="0.2">
      <c r="A2959" t="s">
        <v>3845</v>
      </c>
      <c r="B2959" t="s">
        <v>49</v>
      </c>
      <c r="C2959" t="s">
        <v>76</v>
      </c>
      <c r="D2959" t="s">
        <v>77</v>
      </c>
      <c r="E2959">
        <v>17</v>
      </c>
      <c r="F2959" t="s">
        <v>97</v>
      </c>
      <c r="G2959">
        <v>88</v>
      </c>
      <c r="H2959">
        <v>0</v>
      </c>
      <c r="I2959">
        <v>50</v>
      </c>
      <c r="J2959">
        <v>105</v>
      </c>
      <c r="K2959">
        <v>86</v>
      </c>
      <c r="L2959">
        <v>50</v>
      </c>
      <c r="M2959">
        <v>0</v>
      </c>
      <c r="N2959">
        <v>1</v>
      </c>
      <c r="O2959" s="1" t="s">
        <v>4942</v>
      </c>
      <c r="P2959">
        <v>0</v>
      </c>
      <c r="Q2959">
        <v>0</v>
      </c>
      <c r="R2959">
        <v>0</v>
      </c>
      <c r="S2959">
        <v>0</v>
      </c>
      <c r="T2959">
        <v>12.720721579999999</v>
      </c>
      <c r="U2959">
        <f t="shared" si="92"/>
        <v>0</v>
      </c>
      <c r="V2959">
        <f t="shared" si="93"/>
        <v>0</v>
      </c>
    </row>
    <row r="2960" spans="1:22" x14ac:dyDescent="0.2">
      <c r="A2960" t="s">
        <v>3845</v>
      </c>
      <c r="B2960" t="s">
        <v>49</v>
      </c>
      <c r="C2960" t="s">
        <v>76</v>
      </c>
      <c r="D2960" t="s">
        <v>77</v>
      </c>
      <c r="E2960" s="1" t="s">
        <v>138</v>
      </c>
      <c r="F2960" t="s">
        <v>139</v>
      </c>
      <c r="G2960">
        <v>20</v>
      </c>
      <c r="H2960">
        <v>0</v>
      </c>
      <c r="I2960">
        <v>58538</v>
      </c>
      <c r="J2960">
        <v>88</v>
      </c>
      <c r="K2960">
        <v>79</v>
      </c>
      <c r="L2960">
        <v>58538</v>
      </c>
      <c r="M2960">
        <v>0</v>
      </c>
      <c r="N2960">
        <v>1</v>
      </c>
      <c r="O2960" s="1" t="s">
        <v>4943</v>
      </c>
      <c r="P2960">
        <v>0</v>
      </c>
      <c r="Q2960">
        <v>0</v>
      </c>
      <c r="R2960">
        <v>0</v>
      </c>
      <c r="S2960">
        <v>0</v>
      </c>
      <c r="T2960">
        <v>12.720721579999999</v>
      </c>
      <c r="U2960">
        <f t="shared" si="92"/>
        <v>0</v>
      </c>
      <c r="V2960">
        <f t="shared" si="93"/>
        <v>0</v>
      </c>
    </row>
    <row r="2961" spans="1:22" x14ac:dyDescent="0.2">
      <c r="A2961" t="s">
        <v>3845</v>
      </c>
      <c r="B2961" t="s">
        <v>49</v>
      </c>
      <c r="C2961" t="s">
        <v>76</v>
      </c>
      <c r="D2961" t="s">
        <v>77</v>
      </c>
      <c r="E2961" s="1" t="s">
        <v>138</v>
      </c>
      <c r="F2961" t="s">
        <v>139</v>
      </c>
      <c r="G2961">
        <v>16</v>
      </c>
      <c r="H2961">
        <v>0</v>
      </c>
      <c r="I2961">
        <v>1650</v>
      </c>
      <c r="J2961">
        <v>83</v>
      </c>
      <c r="K2961">
        <v>65</v>
      </c>
      <c r="L2961">
        <v>1650</v>
      </c>
      <c r="M2961">
        <v>0</v>
      </c>
      <c r="N2961">
        <v>1</v>
      </c>
      <c r="O2961" s="1" t="s">
        <v>4944</v>
      </c>
      <c r="P2961">
        <v>0</v>
      </c>
      <c r="Q2961">
        <v>0</v>
      </c>
      <c r="R2961">
        <v>0</v>
      </c>
      <c r="S2961">
        <v>0</v>
      </c>
      <c r="T2961">
        <v>12.720721579999999</v>
      </c>
      <c r="U2961">
        <f t="shared" si="92"/>
        <v>0</v>
      </c>
      <c r="V2961">
        <f t="shared" si="93"/>
        <v>0</v>
      </c>
    </row>
    <row r="2962" spans="1:22" x14ac:dyDescent="0.2">
      <c r="A2962" t="s">
        <v>3845</v>
      </c>
      <c r="B2962" t="s">
        <v>49</v>
      </c>
      <c r="C2962" t="s">
        <v>76</v>
      </c>
      <c r="D2962" t="s">
        <v>77</v>
      </c>
      <c r="E2962">
        <v>11</v>
      </c>
      <c r="F2962" t="s">
        <v>127</v>
      </c>
      <c r="G2962">
        <v>55</v>
      </c>
      <c r="H2962">
        <v>0</v>
      </c>
      <c r="I2962">
        <v>15394</v>
      </c>
      <c r="J2962">
        <v>72</v>
      </c>
      <c r="K2962">
        <v>52</v>
      </c>
      <c r="L2962">
        <v>15394</v>
      </c>
      <c r="M2962">
        <v>0</v>
      </c>
      <c r="N2962">
        <v>1</v>
      </c>
      <c r="O2962" s="1" t="s">
        <v>4945</v>
      </c>
      <c r="P2962">
        <v>0</v>
      </c>
      <c r="Q2962">
        <v>0</v>
      </c>
      <c r="R2962">
        <v>0</v>
      </c>
      <c r="S2962">
        <v>0</v>
      </c>
      <c r="T2962">
        <v>12.720721579999999</v>
      </c>
      <c r="U2962">
        <f t="shared" si="92"/>
        <v>0</v>
      </c>
      <c r="V2962">
        <f t="shared" si="93"/>
        <v>0</v>
      </c>
    </row>
    <row r="2963" spans="1:22" x14ac:dyDescent="0.2">
      <c r="A2963" t="s">
        <v>4118</v>
      </c>
      <c r="B2963" t="s">
        <v>51</v>
      </c>
      <c r="C2963" t="s">
        <v>76</v>
      </c>
      <c r="D2963" t="s">
        <v>77</v>
      </c>
      <c r="E2963">
        <v>11</v>
      </c>
      <c r="F2963" t="s">
        <v>127</v>
      </c>
      <c r="G2963">
        <v>54</v>
      </c>
      <c r="H2963">
        <v>60071</v>
      </c>
      <c r="I2963">
        <v>0</v>
      </c>
      <c r="J2963">
        <v>47</v>
      </c>
      <c r="K2963">
        <v>68</v>
      </c>
      <c r="L2963">
        <v>-60071</v>
      </c>
      <c r="M2963">
        <v>1</v>
      </c>
      <c r="N2963">
        <v>0</v>
      </c>
      <c r="O2963" s="1" t="s">
        <v>4946</v>
      </c>
      <c r="P2963">
        <v>0</v>
      </c>
      <c r="Q2963">
        <v>0</v>
      </c>
      <c r="R2963">
        <v>0</v>
      </c>
      <c r="S2963">
        <v>0</v>
      </c>
      <c r="T2963">
        <v>36.805438330000001</v>
      </c>
      <c r="U2963">
        <f t="shared" si="92"/>
        <v>0</v>
      </c>
      <c r="V2963">
        <f t="shared" si="93"/>
        <v>0</v>
      </c>
    </row>
    <row r="2964" spans="1:22" x14ac:dyDescent="0.2">
      <c r="A2964" t="s">
        <v>4118</v>
      </c>
      <c r="B2964" t="s">
        <v>51</v>
      </c>
      <c r="C2964" t="s">
        <v>76</v>
      </c>
      <c r="D2964" t="s">
        <v>77</v>
      </c>
      <c r="E2964">
        <v>15</v>
      </c>
      <c r="F2964" t="s">
        <v>88</v>
      </c>
      <c r="G2964">
        <v>82</v>
      </c>
      <c r="H2964">
        <v>284277</v>
      </c>
      <c r="I2964">
        <v>4552</v>
      </c>
      <c r="J2964">
        <v>80</v>
      </c>
      <c r="K2964">
        <v>78</v>
      </c>
      <c r="L2964">
        <v>-279725</v>
      </c>
      <c r="M2964" s="1" t="s">
        <v>4947</v>
      </c>
      <c r="N2964" s="1" t="s">
        <v>4948</v>
      </c>
      <c r="O2964" s="1" t="s">
        <v>4949</v>
      </c>
      <c r="P2964">
        <v>0</v>
      </c>
      <c r="Q2964">
        <v>0</v>
      </c>
      <c r="R2964">
        <v>0</v>
      </c>
      <c r="S2964">
        <v>0</v>
      </c>
      <c r="T2964">
        <v>36.805438330000001</v>
      </c>
      <c r="U2964">
        <f t="shared" si="92"/>
        <v>0</v>
      </c>
      <c r="V2964">
        <f t="shared" si="93"/>
        <v>0</v>
      </c>
    </row>
    <row r="2965" spans="1:22" x14ac:dyDescent="0.2">
      <c r="A2965" t="s">
        <v>4118</v>
      </c>
      <c r="B2965" t="s">
        <v>51</v>
      </c>
      <c r="C2965" t="s">
        <v>76</v>
      </c>
      <c r="D2965" t="s">
        <v>77</v>
      </c>
      <c r="E2965">
        <v>13</v>
      </c>
      <c r="F2965" t="s">
        <v>91</v>
      </c>
      <c r="G2965">
        <v>70</v>
      </c>
      <c r="H2965">
        <v>6579</v>
      </c>
      <c r="I2965">
        <v>0</v>
      </c>
      <c r="J2965">
        <v>106</v>
      </c>
      <c r="K2965">
        <v>88</v>
      </c>
      <c r="L2965">
        <v>-6579</v>
      </c>
      <c r="M2965">
        <v>1</v>
      </c>
      <c r="N2965">
        <v>0</v>
      </c>
      <c r="O2965" s="1" t="s">
        <v>4950</v>
      </c>
      <c r="P2965">
        <v>0</v>
      </c>
      <c r="Q2965">
        <v>0</v>
      </c>
      <c r="R2965">
        <v>0</v>
      </c>
      <c r="S2965">
        <v>0</v>
      </c>
      <c r="T2965">
        <v>36.805438330000001</v>
      </c>
      <c r="U2965">
        <f t="shared" si="92"/>
        <v>0</v>
      </c>
      <c r="V2965">
        <f t="shared" si="93"/>
        <v>0</v>
      </c>
    </row>
    <row r="2966" spans="1:22" x14ac:dyDescent="0.2">
      <c r="A2966" t="s">
        <v>4118</v>
      </c>
      <c r="B2966" t="s">
        <v>51</v>
      </c>
      <c r="C2966" t="s">
        <v>76</v>
      </c>
      <c r="D2966" t="s">
        <v>77</v>
      </c>
      <c r="E2966" s="1" t="s">
        <v>85</v>
      </c>
      <c r="F2966" t="s">
        <v>86</v>
      </c>
      <c r="G2966">
        <v>25</v>
      </c>
      <c r="H2966">
        <v>138901</v>
      </c>
      <c r="I2966">
        <v>298</v>
      </c>
      <c r="J2966">
        <v>90</v>
      </c>
      <c r="K2966">
        <v>85</v>
      </c>
      <c r="L2966">
        <v>-138603</v>
      </c>
      <c r="M2966">
        <v>0.99785918002284502</v>
      </c>
      <c r="N2966">
        <v>2.1408199771550001E-3</v>
      </c>
      <c r="O2966" s="1" t="s">
        <v>4951</v>
      </c>
      <c r="P2966">
        <v>0</v>
      </c>
      <c r="Q2966">
        <v>0</v>
      </c>
      <c r="R2966">
        <v>0</v>
      </c>
      <c r="S2966">
        <v>0</v>
      </c>
      <c r="T2966">
        <v>36.805438330000001</v>
      </c>
      <c r="U2966">
        <f t="shared" si="92"/>
        <v>0</v>
      </c>
      <c r="V2966">
        <f t="shared" si="93"/>
        <v>0</v>
      </c>
    </row>
    <row r="2967" spans="1:22" x14ac:dyDescent="0.2">
      <c r="A2967" t="s">
        <v>4118</v>
      </c>
      <c r="B2967" t="s">
        <v>51</v>
      </c>
      <c r="C2967" t="s">
        <v>76</v>
      </c>
      <c r="D2967" t="s">
        <v>77</v>
      </c>
      <c r="E2967" s="1" t="s">
        <v>99</v>
      </c>
      <c r="F2967" t="s">
        <v>100</v>
      </c>
      <c r="G2967">
        <v>40</v>
      </c>
      <c r="H2967">
        <v>411755</v>
      </c>
      <c r="I2967">
        <v>40970</v>
      </c>
      <c r="J2967">
        <v>93</v>
      </c>
      <c r="K2967">
        <v>76</v>
      </c>
      <c r="L2967">
        <v>-370785</v>
      </c>
      <c r="M2967" s="1" t="s">
        <v>4952</v>
      </c>
      <c r="N2967">
        <v>9.0496438235131704E-2</v>
      </c>
      <c r="O2967">
        <v>1.0488903226921801E-3</v>
      </c>
      <c r="P2967">
        <v>0</v>
      </c>
      <c r="Q2967">
        <v>0</v>
      </c>
      <c r="R2967">
        <v>0</v>
      </c>
      <c r="S2967">
        <v>0</v>
      </c>
      <c r="T2967">
        <v>36.805438330000001</v>
      </c>
      <c r="U2967">
        <f t="shared" si="92"/>
        <v>0</v>
      </c>
      <c r="V2967">
        <f t="shared" si="93"/>
        <v>0</v>
      </c>
    </row>
    <row r="2968" spans="1:22" x14ac:dyDescent="0.2">
      <c r="A2968" t="s">
        <v>4118</v>
      </c>
      <c r="B2968" t="s">
        <v>51</v>
      </c>
      <c r="C2968" t="s">
        <v>76</v>
      </c>
      <c r="D2968" t="s">
        <v>77</v>
      </c>
      <c r="E2968">
        <v>12</v>
      </c>
      <c r="F2968" t="s">
        <v>194</v>
      </c>
      <c r="G2968">
        <v>67</v>
      </c>
      <c r="H2968">
        <v>528</v>
      </c>
      <c r="I2968">
        <v>0</v>
      </c>
      <c r="J2968">
        <v>62</v>
      </c>
      <c r="K2968">
        <v>62</v>
      </c>
      <c r="L2968">
        <v>-528</v>
      </c>
      <c r="M2968">
        <v>1</v>
      </c>
      <c r="N2968">
        <v>0</v>
      </c>
      <c r="O2968" s="1" t="s">
        <v>4953</v>
      </c>
      <c r="P2968">
        <v>0</v>
      </c>
      <c r="Q2968">
        <v>0</v>
      </c>
      <c r="R2968">
        <v>0</v>
      </c>
      <c r="S2968">
        <v>0</v>
      </c>
      <c r="T2968">
        <v>36.805438330000001</v>
      </c>
      <c r="U2968">
        <f t="shared" si="92"/>
        <v>0</v>
      </c>
      <c r="V2968">
        <f t="shared" si="93"/>
        <v>0</v>
      </c>
    </row>
    <row r="2969" spans="1:22" x14ac:dyDescent="0.2">
      <c r="A2969" t="s">
        <v>4118</v>
      </c>
      <c r="B2969" t="s">
        <v>51</v>
      </c>
      <c r="C2969" t="s">
        <v>76</v>
      </c>
      <c r="D2969" t="s">
        <v>77</v>
      </c>
      <c r="E2969">
        <v>15</v>
      </c>
      <c r="F2969" t="s">
        <v>88</v>
      </c>
      <c r="G2969">
        <v>73</v>
      </c>
      <c r="H2969">
        <v>161335</v>
      </c>
      <c r="I2969">
        <v>59382</v>
      </c>
      <c r="J2969">
        <v>106</v>
      </c>
      <c r="K2969">
        <v>77</v>
      </c>
      <c r="L2969">
        <v>-101953</v>
      </c>
      <c r="M2969">
        <v>0.73095864840497105</v>
      </c>
      <c r="N2969" s="1" t="s">
        <v>4954</v>
      </c>
      <c r="O2969" s="1" t="s">
        <v>4955</v>
      </c>
      <c r="P2969">
        <v>0</v>
      </c>
      <c r="Q2969">
        <v>0</v>
      </c>
      <c r="R2969">
        <v>0</v>
      </c>
      <c r="S2969">
        <v>0</v>
      </c>
      <c r="T2969">
        <v>36.805438330000001</v>
      </c>
      <c r="U2969">
        <f t="shared" si="92"/>
        <v>0</v>
      </c>
      <c r="V2969">
        <f t="shared" si="93"/>
        <v>0</v>
      </c>
    </row>
    <row r="2970" spans="1:22" x14ac:dyDescent="0.2">
      <c r="A2970" t="s">
        <v>4118</v>
      </c>
      <c r="B2970" t="s">
        <v>51</v>
      </c>
      <c r="C2970" t="s">
        <v>76</v>
      </c>
      <c r="D2970" t="s">
        <v>77</v>
      </c>
      <c r="E2970" s="1" t="s">
        <v>99</v>
      </c>
      <c r="F2970" t="s">
        <v>100</v>
      </c>
      <c r="G2970">
        <v>39</v>
      </c>
      <c r="H2970">
        <v>443059</v>
      </c>
      <c r="I2970">
        <v>0</v>
      </c>
      <c r="J2970">
        <v>102</v>
      </c>
      <c r="K2970">
        <v>109</v>
      </c>
      <c r="L2970">
        <v>-443059</v>
      </c>
      <c r="M2970">
        <v>1</v>
      </c>
      <c r="N2970">
        <v>0</v>
      </c>
      <c r="O2970">
        <v>1.02649577001861E-3</v>
      </c>
      <c r="P2970">
        <v>0</v>
      </c>
      <c r="Q2970">
        <v>0</v>
      </c>
      <c r="R2970">
        <v>0</v>
      </c>
      <c r="S2970">
        <v>0</v>
      </c>
      <c r="T2970">
        <v>36.805438330000001</v>
      </c>
      <c r="U2970">
        <f t="shared" si="92"/>
        <v>0</v>
      </c>
      <c r="V2970">
        <f t="shared" si="93"/>
        <v>0</v>
      </c>
    </row>
    <row r="2971" spans="1:22" x14ac:dyDescent="0.2">
      <c r="A2971" t="s">
        <v>4118</v>
      </c>
      <c r="B2971" t="s">
        <v>51</v>
      </c>
      <c r="C2971" t="s">
        <v>76</v>
      </c>
      <c r="D2971" t="s">
        <v>77</v>
      </c>
      <c r="E2971">
        <v>17</v>
      </c>
      <c r="F2971" t="s">
        <v>97</v>
      </c>
      <c r="G2971">
        <v>89</v>
      </c>
      <c r="H2971">
        <v>186</v>
      </c>
      <c r="I2971">
        <v>0</v>
      </c>
      <c r="J2971">
        <v>83</v>
      </c>
      <c r="K2971">
        <v>68</v>
      </c>
      <c r="L2971">
        <v>-186</v>
      </c>
      <c r="M2971">
        <v>1</v>
      </c>
      <c r="N2971">
        <v>0</v>
      </c>
      <c r="O2971" s="1" t="s">
        <v>4956</v>
      </c>
      <c r="P2971">
        <v>0</v>
      </c>
      <c r="Q2971">
        <v>0</v>
      </c>
      <c r="R2971">
        <v>0</v>
      </c>
      <c r="S2971">
        <v>0</v>
      </c>
      <c r="T2971">
        <v>36.805438330000001</v>
      </c>
      <c r="U2971">
        <f t="shared" si="92"/>
        <v>0</v>
      </c>
      <c r="V2971">
        <f t="shared" si="93"/>
        <v>0</v>
      </c>
    </row>
    <row r="2972" spans="1:22" x14ac:dyDescent="0.2">
      <c r="A2972" t="s">
        <v>4118</v>
      </c>
      <c r="B2972" t="s">
        <v>51</v>
      </c>
      <c r="C2972" t="s">
        <v>76</v>
      </c>
      <c r="D2972" t="s">
        <v>77</v>
      </c>
      <c r="E2972">
        <v>11</v>
      </c>
      <c r="F2972" t="s">
        <v>127</v>
      </c>
      <c r="G2972">
        <v>61</v>
      </c>
      <c r="H2972">
        <v>205</v>
      </c>
      <c r="I2972">
        <v>0</v>
      </c>
      <c r="J2972">
        <v>121</v>
      </c>
      <c r="K2972">
        <v>104</v>
      </c>
      <c r="L2972">
        <v>-205</v>
      </c>
      <c r="M2972">
        <v>1</v>
      </c>
      <c r="N2972">
        <v>0</v>
      </c>
      <c r="O2972" s="1" t="s">
        <v>4957</v>
      </c>
      <c r="P2972">
        <v>0</v>
      </c>
      <c r="Q2972">
        <v>0</v>
      </c>
      <c r="R2972">
        <v>0</v>
      </c>
      <c r="S2972">
        <v>0</v>
      </c>
      <c r="T2972">
        <v>36.805438330000001</v>
      </c>
      <c r="U2972">
        <f t="shared" si="92"/>
        <v>0</v>
      </c>
      <c r="V2972">
        <f t="shared" si="93"/>
        <v>0</v>
      </c>
    </row>
    <row r="2973" spans="1:22" x14ac:dyDescent="0.2">
      <c r="A2973" t="s">
        <v>4118</v>
      </c>
      <c r="B2973" t="s">
        <v>51</v>
      </c>
      <c r="C2973" t="s">
        <v>76</v>
      </c>
      <c r="D2973" t="s">
        <v>77</v>
      </c>
      <c r="E2973">
        <v>15</v>
      </c>
      <c r="F2973" t="s">
        <v>88</v>
      </c>
      <c r="G2973">
        <v>74</v>
      </c>
      <c r="H2973">
        <v>284</v>
      </c>
      <c r="I2973">
        <v>0</v>
      </c>
      <c r="J2973">
        <v>97</v>
      </c>
      <c r="K2973">
        <v>84</v>
      </c>
      <c r="L2973">
        <v>-284</v>
      </c>
      <c r="M2973">
        <v>1</v>
      </c>
      <c r="N2973">
        <v>0</v>
      </c>
      <c r="O2973" s="1" t="s">
        <v>4958</v>
      </c>
      <c r="P2973">
        <v>0</v>
      </c>
      <c r="Q2973">
        <v>0</v>
      </c>
      <c r="R2973">
        <v>0</v>
      </c>
      <c r="S2973">
        <v>0</v>
      </c>
      <c r="T2973">
        <v>36.805438330000001</v>
      </c>
      <c r="U2973">
        <f t="shared" si="92"/>
        <v>0</v>
      </c>
      <c r="V2973">
        <f t="shared" si="93"/>
        <v>0</v>
      </c>
    </row>
    <row r="2974" spans="1:22" x14ac:dyDescent="0.2">
      <c r="A2974" t="s">
        <v>4118</v>
      </c>
      <c r="B2974" t="s">
        <v>51</v>
      </c>
      <c r="C2974" t="s">
        <v>76</v>
      </c>
      <c r="D2974" t="s">
        <v>77</v>
      </c>
      <c r="E2974" s="1" t="s">
        <v>155</v>
      </c>
      <c r="F2974" t="s">
        <v>156</v>
      </c>
      <c r="G2974" s="1" t="s">
        <v>155</v>
      </c>
      <c r="H2974">
        <v>10</v>
      </c>
      <c r="I2974">
        <v>0</v>
      </c>
      <c r="J2974">
        <v>87</v>
      </c>
      <c r="K2974">
        <v>76</v>
      </c>
      <c r="L2974">
        <v>-10</v>
      </c>
      <c r="M2974">
        <v>1</v>
      </c>
      <c r="N2974">
        <v>0</v>
      </c>
      <c r="O2974" s="1" t="s">
        <v>4959</v>
      </c>
      <c r="P2974">
        <v>0</v>
      </c>
      <c r="Q2974">
        <v>0</v>
      </c>
      <c r="R2974">
        <v>0</v>
      </c>
      <c r="S2974">
        <v>0</v>
      </c>
      <c r="T2974">
        <v>36.805438330000001</v>
      </c>
      <c r="U2974">
        <f t="shared" si="92"/>
        <v>0</v>
      </c>
      <c r="V2974">
        <f t="shared" si="93"/>
        <v>0</v>
      </c>
    </row>
    <row r="2975" spans="1:22" x14ac:dyDescent="0.2">
      <c r="A2975" t="s">
        <v>4118</v>
      </c>
      <c r="B2975" t="s">
        <v>51</v>
      </c>
      <c r="C2975" t="s">
        <v>76</v>
      </c>
      <c r="D2975" t="s">
        <v>77</v>
      </c>
      <c r="E2975" s="1" t="s">
        <v>89</v>
      </c>
      <c r="F2975" t="s">
        <v>90</v>
      </c>
      <c r="G2975">
        <v>38</v>
      </c>
      <c r="H2975">
        <v>10749</v>
      </c>
      <c r="I2975">
        <v>0</v>
      </c>
      <c r="J2975">
        <v>119</v>
      </c>
      <c r="K2975">
        <v>87</v>
      </c>
      <c r="L2975">
        <v>-10749</v>
      </c>
      <c r="M2975">
        <v>1</v>
      </c>
      <c r="N2975">
        <v>0</v>
      </c>
      <c r="O2975" s="1" t="s">
        <v>4960</v>
      </c>
      <c r="P2975">
        <v>0</v>
      </c>
      <c r="Q2975">
        <v>0</v>
      </c>
      <c r="R2975">
        <v>0</v>
      </c>
      <c r="S2975">
        <v>0</v>
      </c>
      <c r="T2975">
        <v>36.805438330000001</v>
      </c>
      <c r="U2975">
        <f t="shared" si="92"/>
        <v>0</v>
      </c>
      <c r="V2975">
        <f t="shared" si="93"/>
        <v>0</v>
      </c>
    </row>
    <row r="2976" spans="1:22" x14ac:dyDescent="0.2">
      <c r="A2976" t="s">
        <v>4961</v>
      </c>
      <c r="B2976" t="s">
        <v>57</v>
      </c>
      <c r="C2976" t="s">
        <v>76</v>
      </c>
      <c r="D2976" t="s">
        <v>77</v>
      </c>
      <c r="E2976" s="1" t="s">
        <v>85</v>
      </c>
      <c r="F2976" t="s">
        <v>86</v>
      </c>
      <c r="G2976">
        <v>27</v>
      </c>
      <c r="H2976">
        <v>1573544688</v>
      </c>
      <c r="I2976">
        <v>2038609112</v>
      </c>
      <c r="J2976">
        <v>49</v>
      </c>
      <c r="K2976">
        <v>2</v>
      </c>
      <c r="L2976">
        <v>465064424</v>
      </c>
      <c r="M2976" s="1" t="s">
        <v>4962</v>
      </c>
      <c r="N2976">
        <v>0.56437494771125196</v>
      </c>
      <c r="O2976" s="1" t="s">
        <v>4963</v>
      </c>
      <c r="P2976">
        <v>0</v>
      </c>
      <c r="Q2976">
        <v>1</v>
      </c>
      <c r="R2976">
        <v>0</v>
      </c>
      <c r="S2976">
        <v>1</v>
      </c>
      <c r="T2976">
        <v>224.8741019</v>
      </c>
      <c r="U2976">
        <f t="shared" si="92"/>
        <v>1</v>
      </c>
      <c r="V2976">
        <f t="shared" si="93"/>
        <v>1</v>
      </c>
    </row>
    <row r="2977" spans="1:22" x14ac:dyDescent="0.2">
      <c r="A2977" t="s">
        <v>4961</v>
      </c>
      <c r="B2977" t="s">
        <v>57</v>
      </c>
      <c r="C2977" t="s">
        <v>76</v>
      </c>
      <c r="D2977" t="s">
        <v>77</v>
      </c>
      <c r="E2977" s="1" t="s">
        <v>93</v>
      </c>
      <c r="F2977" t="s">
        <v>94</v>
      </c>
      <c r="G2977">
        <v>44</v>
      </c>
      <c r="H2977">
        <v>2035478950</v>
      </c>
      <c r="I2977">
        <v>36698</v>
      </c>
      <c r="J2977">
        <v>6</v>
      </c>
      <c r="K2977">
        <v>71</v>
      </c>
      <c r="L2977">
        <v>-2035442252</v>
      </c>
      <c r="M2977" s="1" t="s">
        <v>4964</v>
      </c>
      <c r="N2977" s="1" t="s">
        <v>4965</v>
      </c>
      <c r="O2977">
        <v>9.7753588933103902E-2</v>
      </c>
      <c r="P2977">
        <v>0</v>
      </c>
      <c r="Q2977">
        <v>0</v>
      </c>
      <c r="R2977">
        <v>1</v>
      </c>
      <c r="S2977">
        <v>0</v>
      </c>
      <c r="T2977">
        <v>224.8741019</v>
      </c>
      <c r="U2977">
        <f t="shared" si="92"/>
        <v>0</v>
      </c>
      <c r="V2977">
        <f t="shared" si="93"/>
        <v>1</v>
      </c>
    </row>
    <row r="2978" spans="1:22" x14ac:dyDescent="0.2">
      <c r="A2978" t="s">
        <v>4961</v>
      </c>
      <c r="B2978" t="s">
        <v>57</v>
      </c>
      <c r="C2978" t="s">
        <v>76</v>
      </c>
      <c r="D2978" t="s">
        <v>77</v>
      </c>
      <c r="E2978" s="1" t="s">
        <v>110</v>
      </c>
      <c r="F2978" t="s">
        <v>111</v>
      </c>
      <c r="G2978">
        <v>15</v>
      </c>
      <c r="H2978">
        <v>693031661</v>
      </c>
      <c r="I2978">
        <v>88537</v>
      </c>
      <c r="J2978">
        <v>6</v>
      </c>
      <c r="K2978">
        <v>59</v>
      </c>
      <c r="L2978">
        <v>-692943124</v>
      </c>
      <c r="M2978" s="1" t="s">
        <v>4966</v>
      </c>
      <c r="N2978" s="1" t="s">
        <v>4967</v>
      </c>
      <c r="O2978">
        <v>3.3286399435492602E-2</v>
      </c>
      <c r="P2978">
        <v>0</v>
      </c>
      <c r="Q2978">
        <v>0</v>
      </c>
      <c r="R2978">
        <v>1</v>
      </c>
      <c r="S2978">
        <v>0</v>
      </c>
      <c r="T2978">
        <v>224.8741019</v>
      </c>
      <c r="U2978">
        <f t="shared" si="92"/>
        <v>0</v>
      </c>
      <c r="V2978">
        <f t="shared" si="93"/>
        <v>1</v>
      </c>
    </row>
    <row r="2979" spans="1:22" x14ac:dyDescent="0.2">
      <c r="A2979" t="s">
        <v>4961</v>
      </c>
      <c r="B2979" t="s">
        <v>57</v>
      </c>
      <c r="C2979" t="s">
        <v>76</v>
      </c>
      <c r="D2979" t="s">
        <v>77</v>
      </c>
      <c r="E2979">
        <v>15</v>
      </c>
      <c r="F2979" t="s">
        <v>88</v>
      </c>
      <c r="G2979">
        <v>72</v>
      </c>
      <c r="H2979">
        <v>2259565577</v>
      </c>
      <c r="I2979">
        <v>2340047</v>
      </c>
      <c r="J2979">
        <v>13</v>
      </c>
      <c r="K2979">
        <v>47</v>
      </c>
      <c r="L2979">
        <v>-2257225530</v>
      </c>
      <c r="M2979">
        <v>0.99896545329956699</v>
      </c>
      <c r="N2979">
        <v>1.03454670043297E-3</v>
      </c>
      <c r="O2979" s="1" t="s">
        <v>4968</v>
      </c>
      <c r="P2979">
        <v>0</v>
      </c>
      <c r="Q2979">
        <v>0</v>
      </c>
      <c r="R2979">
        <v>0</v>
      </c>
      <c r="S2979">
        <v>0</v>
      </c>
      <c r="T2979">
        <v>224.8741019</v>
      </c>
      <c r="U2979">
        <f t="shared" si="92"/>
        <v>0</v>
      </c>
      <c r="V2979">
        <f t="shared" si="93"/>
        <v>0</v>
      </c>
    </row>
    <row r="2980" spans="1:22" x14ac:dyDescent="0.2">
      <c r="A2980" t="s">
        <v>4961</v>
      </c>
      <c r="B2980" t="s">
        <v>57</v>
      </c>
      <c r="C2980" t="s">
        <v>76</v>
      </c>
      <c r="D2980" t="s">
        <v>77</v>
      </c>
      <c r="E2980">
        <v>16</v>
      </c>
      <c r="F2980" t="s">
        <v>95</v>
      </c>
      <c r="G2980">
        <v>84</v>
      </c>
      <c r="H2980">
        <v>1437474818</v>
      </c>
      <c r="I2980">
        <v>27272734</v>
      </c>
      <c r="J2980">
        <v>4</v>
      </c>
      <c r="K2980">
        <v>57</v>
      </c>
      <c r="L2980">
        <v>-1410202084</v>
      </c>
      <c r="M2980" s="1" t="s">
        <v>4969</v>
      </c>
      <c r="N2980" s="1" t="s">
        <v>4970</v>
      </c>
      <c r="O2980">
        <v>7.03430259696919E-2</v>
      </c>
      <c r="P2980">
        <v>1</v>
      </c>
      <c r="Q2980">
        <v>0</v>
      </c>
      <c r="R2980">
        <v>1</v>
      </c>
      <c r="S2980">
        <v>0</v>
      </c>
      <c r="T2980">
        <v>224.8741019</v>
      </c>
      <c r="U2980">
        <f t="shared" si="92"/>
        <v>1</v>
      </c>
      <c r="V2980">
        <f t="shared" si="93"/>
        <v>1</v>
      </c>
    </row>
    <row r="2981" spans="1:22" x14ac:dyDescent="0.2">
      <c r="A2981" t="s">
        <v>4961</v>
      </c>
      <c r="B2981" t="s">
        <v>57</v>
      </c>
      <c r="C2981" t="s">
        <v>76</v>
      </c>
      <c r="D2981" t="s">
        <v>77</v>
      </c>
      <c r="E2981" s="1" t="s">
        <v>89</v>
      </c>
      <c r="F2981" t="s">
        <v>90</v>
      </c>
      <c r="G2981">
        <v>30</v>
      </c>
      <c r="H2981">
        <v>345037875</v>
      </c>
      <c r="I2981">
        <v>2117313</v>
      </c>
      <c r="J2981">
        <v>3</v>
      </c>
      <c r="K2981">
        <v>54</v>
      </c>
      <c r="L2981">
        <v>-342920562</v>
      </c>
      <c r="M2981" s="1" t="s">
        <v>4971</v>
      </c>
      <c r="N2981">
        <v>6.0990389116696696E-3</v>
      </c>
      <c r="O2981">
        <v>1.6671778267629601E-2</v>
      </c>
      <c r="P2981">
        <v>1</v>
      </c>
      <c r="Q2981">
        <v>0</v>
      </c>
      <c r="R2981">
        <v>1</v>
      </c>
      <c r="S2981">
        <v>0</v>
      </c>
      <c r="T2981">
        <v>224.8741019</v>
      </c>
      <c r="U2981">
        <f t="shared" si="92"/>
        <v>1</v>
      </c>
      <c r="V2981">
        <f t="shared" si="93"/>
        <v>1</v>
      </c>
    </row>
    <row r="2982" spans="1:22" x14ac:dyDescent="0.2">
      <c r="A2982" t="s">
        <v>4961</v>
      </c>
      <c r="B2982" t="s">
        <v>57</v>
      </c>
      <c r="C2982" t="s">
        <v>76</v>
      </c>
      <c r="D2982" t="s">
        <v>77</v>
      </c>
      <c r="E2982">
        <v>14</v>
      </c>
      <c r="F2982" t="s">
        <v>261</v>
      </c>
      <c r="G2982">
        <v>71</v>
      </c>
      <c r="H2982">
        <v>104787386</v>
      </c>
      <c r="I2982">
        <v>567980244</v>
      </c>
      <c r="J2982">
        <v>22</v>
      </c>
      <c r="K2982">
        <v>1</v>
      </c>
      <c r="L2982">
        <v>463192858</v>
      </c>
      <c r="M2982" s="1" t="s">
        <v>4972</v>
      </c>
      <c r="N2982" s="1" t="s">
        <v>4973</v>
      </c>
      <c r="O2982">
        <v>3.2308987855306601E-2</v>
      </c>
      <c r="P2982">
        <v>0</v>
      </c>
      <c r="Q2982">
        <v>1</v>
      </c>
      <c r="R2982">
        <v>0</v>
      </c>
      <c r="S2982">
        <v>1</v>
      </c>
      <c r="T2982">
        <v>224.8741019</v>
      </c>
      <c r="U2982">
        <f t="shared" si="92"/>
        <v>1</v>
      </c>
      <c r="V2982">
        <f t="shared" si="93"/>
        <v>1</v>
      </c>
    </row>
    <row r="2983" spans="1:22" x14ac:dyDescent="0.2">
      <c r="A2983" t="s">
        <v>4961</v>
      </c>
      <c r="B2983" t="s">
        <v>57</v>
      </c>
      <c r="C2983" t="s">
        <v>76</v>
      </c>
      <c r="D2983" t="s">
        <v>77</v>
      </c>
      <c r="E2983">
        <v>15</v>
      </c>
      <c r="F2983" t="s">
        <v>88</v>
      </c>
      <c r="G2983">
        <v>73</v>
      </c>
      <c r="H2983">
        <v>587232779</v>
      </c>
      <c r="I2983">
        <v>4516298</v>
      </c>
      <c r="J2983">
        <v>5</v>
      </c>
      <c r="K2983">
        <v>56</v>
      </c>
      <c r="L2983">
        <v>-582716481</v>
      </c>
      <c r="M2983" s="1" t="s">
        <v>4974</v>
      </c>
      <c r="N2983">
        <v>7.6321166784008299E-3</v>
      </c>
      <c r="O2983">
        <v>2.84181534450192E-2</v>
      </c>
      <c r="P2983">
        <v>1</v>
      </c>
      <c r="Q2983">
        <v>0</v>
      </c>
      <c r="R2983">
        <v>1</v>
      </c>
      <c r="S2983">
        <v>0</v>
      </c>
      <c r="T2983">
        <v>224.8741019</v>
      </c>
      <c r="U2983">
        <f t="shared" si="92"/>
        <v>1</v>
      </c>
      <c r="V2983">
        <f t="shared" si="93"/>
        <v>1</v>
      </c>
    </row>
    <row r="2984" spans="1:22" x14ac:dyDescent="0.2">
      <c r="A2984" t="s">
        <v>4961</v>
      </c>
      <c r="B2984" t="s">
        <v>57</v>
      </c>
      <c r="C2984" t="s">
        <v>76</v>
      </c>
      <c r="D2984" t="s">
        <v>77</v>
      </c>
      <c r="E2984">
        <v>10</v>
      </c>
      <c r="F2984" t="s">
        <v>119</v>
      </c>
      <c r="G2984">
        <v>48</v>
      </c>
      <c r="H2984">
        <v>456313889</v>
      </c>
      <c r="I2984">
        <v>161743</v>
      </c>
      <c r="J2984">
        <v>8</v>
      </c>
      <c r="K2984">
        <v>64</v>
      </c>
      <c r="L2984">
        <v>-456152146</v>
      </c>
      <c r="M2984">
        <v>0.99964567002341098</v>
      </c>
      <c r="N2984" s="1" t="s">
        <v>4975</v>
      </c>
      <c r="O2984" s="1" t="s">
        <v>4976</v>
      </c>
      <c r="P2984">
        <v>0</v>
      </c>
      <c r="Q2984">
        <v>0</v>
      </c>
      <c r="R2984">
        <v>1</v>
      </c>
      <c r="S2984">
        <v>0</v>
      </c>
      <c r="T2984">
        <v>224.8741019</v>
      </c>
      <c r="U2984">
        <f t="shared" si="92"/>
        <v>0</v>
      </c>
      <c r="V2984">
        <f t="shared" si="93"/>
        <v>1</v>
      </c>
    </row>
    <row r="2985" spans="1:22" x14ac:dyDescent="0.2">
      <c r="A2985" t="s">
        <v>4961</v>
      </c>
      <c r="B2985" t="s">
        <v>57</v>
      </c>
      <c r="C2985" t="s">
        <v>76</v>
      </c>
      <c r="D2985" t="s">
        <v>77</v>
      </c>
      <c r="E2985">
        <v>15</v>
      </c>
      <c r="F2985" t="s">
        <v>88</v>
      </c>
      <c r="G2985">
        <v>76</v>
      </c>
      <c r="H2985">
        <v>337156479</v>
      </c>
      <c r="I2985">
        <v>2391447</v>
      </c>
      <c r="J2985">
        <v>22</v>
      </c>
      <c r="K2985">
        <v>48</v>
      </c>
      <c r="L2985">
        <v>-334765032</v>
      </c>
      <c r="M2985" s="1" t="s">
        <v>4977</v>
      </c>
      <c r="N2985">
        <v>7.0430322699128996E-3</v>
      </c>
      <c r="O2985" s="1" t="s">
        <v>4978</v>
      </c>
      <c r="P2985">
        <v>0</v>
      </c>
      <c r="Q2985">
        <v>0</v>
      </c>
      <c r="R2985">
        <v>0</v>
      </c>
      <c r="S2985">
        <v>0</v>
      </c>
      <c r="T2985">
        <v>224.8741019</v>
      </c>
      <c r="U2985">
        <f t="shared" si="92"/>
        <v>0</v>
      </c>
      <c r="V2985">
        <f t="shared" si="93"/>
        <v>0</v>
      </c>
    </row>
    <row r="2986" spans="1:22" x14ac:dyDescent="0.2">
      <c r="A2986" t="s">
        <v>4961</v>
      </c>
      <c r="B2986" t="s">
        <v>57</v>
      </c>
      <c r="C2986" t="s">
        <v>76</v>
      </c>
      <c r="D2986" t="s">
        <v>77</v>
      </c>
      <c r="E2986" s="1" t="s">
        <v>138</v>
      </c>
      <c r="F2986" t="s">
        <v>139</v>
      </c>
      <c r="G2986">
        <v>17</v>
      </c>
      <c r="H2986">
        <v>310738734</v>
      </c>
      <c r="I2986">
        <v>477249</v>
      </c>
      <c r="J2986">
        <v>2</v>
      </c>
      <c r="K2986">
        <v>55</v>
      </c>
      <c r="L2986">
        <v>-310261485</v>
      </c>
      <c r="M2986" s="1" t="s">
        <v>4979</v>
      </c>
      <c r="N2986">
        <v>1.5334977188494799E-3</v>
      </c>
      <c r="O2986" s="1" t="s">
        <v>4980</v>
      </c>
      <c r="P2986">
        <v>1</v>
      </c>
      <c r="Q2986">
        <v>0</v>
      </c>
      <c r="R2986">
        <v>1</v>
      </c>
      <c r="S2986">
        <v>0</v>
      </c>
      <c r="T2986">
        <v>224.8741019</v>
      </c>
      <c r="U2986">
        <f t="shared" si="92"/>
        <v>1</v>
      </c>
      <c r="V2986">
        <f t="shared" si="93"/>
        <v>1</v>
      </c>
    </row>
    <row r="2987" spans="1:22" x14ac:dyDescent="0.2">
      <c r="A2987" t="s">
        <v>4961</v>
      </c>
      <c r="B2987" t="s">
        <v>57</v>
      </c>
      <c r="C2987" t="s">
        <v>76</v>
      </c>
      <c r="D2987" t="s">
        <v>77</v>
      </c>
      <c r="E2987" s="1" t="s">
        <v>138</v>
      </c>
      <c r="F2987" t="s">
        <v>139</v>
      </c>
      <c r="G2987">
        <v>23</v>
      </c>
      <c r="H2987">
        <v>113545871</v>
      </c>
      <c r="I2987">
        <v>0</v>
      </c>
      <c r="J2987">
        <v>17</v>
      </c>
      <c r="K2987">
        <v>61</v>
      </c>
      <c r="L2987">
        <v>-113545871</v>
      </c>
      <c r="M2987">
        <v>1</v>
      </c>
      <c r="N2987">
        <v>0</v>
      </c>
      <c r="O2987">
        <v>5.4529260974687599E-3</v>
      </c>
      <c r="P2987">
        <v>0</v>
      </c>
      <c r="Q2987">
        <v>0</v>
      </c>
      <c r="R2987">
        <v>0</v>
      </c>
      <c r="S2987">
        <v>0</v>
      </c>
      <c r="T2987">
        <v>224.8741019</v>
      </c>
      <c r="U2987">
        <f t="shared" si="92"/>
        <v>0</v>
      </c>
      <c r="V2987">
        <f t="shared" si="93"/>
        <v>0</v>
      </c>
    </row>
    <row r="2988" spans="1:22" x14ac:dyDescent="0.2">
      <c r="A2988" t="s">
        <v>4961</v>
      </c>
      <c r="B2988" t="s">
        <v>57</v>
      </c>
      <c r="C2988" t="s">
        <v>76</v>
      </c>
      <c r="D2988" t="s">
        <v>77</v>
      </c>
      <c r="E2988" s="1" t="s">
        <v>99</v>
      </c>
      <c r="F2988" t="s">
        <v>100</v>
      </c>
      <c r="G2988">
        <v>40</v>
      </c>
      <c r="H2988">
        <v>143536898</v>
      </c>
      <c r="I2988">
        <v>2103815</v>
      </c>
      <c r="J2988">
        <v>25</v>
      </c>
      <c r="K2988">
        <v>55</v>
      </c>
      <c r="L2988">
        <v>-141433083</v>
      </c>
      <c r="M2988" s="1" t="s">
        <v>4981</v>
      </c>
      <c r="N2988" s="1" t="s">
        <v>4982</v>
      </c>
      <c r="O2988">
        <v>6.9942485603167199E-3</v>
      </c>
      <c r="P2988">
        <v>0</v>
      </c>
      <c r="Q2988">
        <v>0</v>
      </c>
      <c r="R2988">
        <v>0</v>
      </c>
      <c r="S2988">
        <v>0</v>
      </c>
      <c r="T2988">
        <v>224.8741019</v>
      </c>
      <c r="U2988">
        <f t="shared" si="92"/>
        <v>0</v>
      </c>
      <c r="V2988">
        <f t="shared" si="93"/>
        <v>0</v>
      </c>
    </row>
    <row r="2989" spans="1:22" x14ac:dyDescent="0.2">
      <c r="A2989" t="s">
        <v>4961</v>
      </c>
      <c r="B2989" t="s">
        <v>57</v>
      </c>
      <c r="C2989" t="s">
        <v>76</v>
      </c>
      <c r="D2989" t="s">
        <v>77</v>
      </c>
      <c r="E2989" s="1" t="s">
        <v>85</v>
      </c>
      <c r="F2989" t="s">
        <v>86</v>
      </c>
      <c r="G2989">
        <v>25</v>
      </c>
      <c r="H2989">
        <v>69461116</v>
      </c>
      <c r="I2989">
        <v>2119749</v>
      </c>
      <c r="J2989">
        <v>18</v>
      </c>
      <c r="K2989">
        <v>41</v>
      </c>
      <c r="L2989">
        <v>-67341367</v>
      </c>
      <c r="M2989" s="1" t="s">
        <v>4983</v>
      </c>
      <c r="N2989">
        <v>2.9613347086543299E-2</v>
      </c>
      <c r="O2989">
        <v>3.43759894922016E-3</v>
      </c>
      <c r="P2989">
        <v>0</v>
      </c>
      <c r="Q2989">
        <v>0</v>
      </c>
      <c r="R2989">
        <v>0</v>
      </c>
      <c r="S2989">
        <v>0</v>
      </c>
      <c r="T2989">
        <v>224.8741019</v>
      </c>
      <c r="U2989">
        <f t="shared" si="92"/>
        <v>0</v>
      </c>
      <c r="V2989">
        <f t="shared" si="93"/>
        <v>0</v>
      </c>
    </row>
    <row r="2990" spans="1:22" x14ac:dyDescent="0.2">
      <c r="A2990" t="s">
        <v>4961</v>
      </c>
      <c r="B2990" t="s">
        <v>57</v>
      </c>
      <c r="C2990" t="s">
        <v>76</v>
      </c>
      <c r="D2990" t="s">
        <v>77</v>
      </c>
      <c r="E2990">
        <v>16</v>
      </c>
      <c r="F2990" t="s">
        <v>95</v>
      </c>
      <c r="G2990">
        <v>85</v>
      </c>
      <c r="H2990">
        <v>408262514</v>
      </c>
      <c r="I2990">
        <v>104537011</v>
      </c>
      <c r="J2990">
        <v>8</v>
      </c>
      <c r="K2990">
        <v>45</v>
      </c>
      <c r="L2990">
        <v>-303725503</v>
      </c>
      <c r="M2990">
        <v>0.79614448550825001</v>
      </c>
      <c r="N2990" s="1" t="s">
        <v>4984</v>
      </c>
      <c r="O2990" s="1" t="s">
        <v>4985</v>
      </c>
      <c r="P2990">
        <v>0</v>
      </c>
      <c r="Q2990">
        <v>0</v>
      </c>
      <c r="R2990">
        <v>1</v>
      </c>
      <c r="S2990">
        <v>0</v>
      </c>
      <c r="T2990">
        <v>224.8741019</v>
      </c>
      <c r="U2990">
        <f t="shared" si="92"/>
        <v>0</v>
      </c>
      <c r="V2990">
        <f t="shared" si="93"/>
        <v>1</v>
      </c>
    </row>
    <row r="2991" spans="1:22" x14ac:dyDescent="0.2">
      <c r="A2991" t="s">
        <v>4961</v>
      </c>
      <c r="B2991" t="s">
        <v>57</v>
      </c>
      <c r="C2991" t="s">
        <v>76</v>
      </c>
      <c r="D2991" t="s">
        <v>77</v>
      </c>
      <c r="E2991">
        <v>13</v>
      </c>
      <c r="F2991" t="s">
        <v>91</v>
      </c>
      <c r="G2991">
        <v>70</v>
      </c>
      <c r="H2991">
        <v>118822174</v>
      </c>
      <c r="I2991">
        <v>763529</v>
      </c>
      <c r="J2991">
        <v>8</v>
      </c>
      <c r="K2991">
        <v>47</v>
      </c>
      <c r="L2991">
        <v>-118058645</v>
      </c>
      <c r="M2991" s="1" t="s">
        <v>4986</v>
      </c>
      <c r="N2991">
        <v>6.3847849771807496E-3</v>
      </c>
      <c r="O2991">
        <v>5.7429829462741899E-3</v>
      </c>
      <c r="P2991">
        <v>0</v>
      </c>
      <c r="Q2991">
        <v>0</v>
      </c>
      <c r="R2991">
        <v>1</v>
      </c>
      <c r="S2991">
        <v>0</v>
      </c>
      <c r="T2991">
        <v>224.8741019</v>
      </c>
      <c r="U2991">
        <f t="shared" si="92"/>
        <v>0</v>
      </c>
      <c r="V2991">
        <f t="shared" si="93"/>
        <v>1</v>
      </c>
    </row>
    <row r="2992" spans="1:22" x14ac:dyDescent="0.2">
      <c r="A2992" t="s">
        <v>4961</v>
      </c>
      <c r="B2992" t="s">
        <v>57</v>
      </c>
      <c r="C2992" t="s">
        <v>76</v>
      </c>
      <c r="D2992" t="s">
        <v>77</v>
      </c>
      <c r="E2992" s="1" t="s">
        <v>138</v>
      </c>
      <c r="F2992" t="s">
        <v>139</v>
      </c>
      <c r="G2992">
        <v>19</v>
      </c>
      <c r="H2992">
        <v>143127404</v>
      </c>
      <c r="I2992">
        <v>2165279</v>
      </c>
      <c r="J2992">
        <v>5</v>
      </c>
      <c r="K2992">
        <v>46</v>
      </c>
      <c r="L2992">
        <v>-140962125</v>
      </c>
      <c r="M2992" s="1" t="s">
        <v>4987</v>
      </c>
      <c r="N2992" s="1" t="s">
        <v>4988</v>
      </c>
      <c r="O2992">
        <v>6.97753477008386E-3</v>
      </c>
      <c r="P2992">
        <v>1</v>
      </c>
      <c r="Q2992">
        <v>0</v>
      </c>
      <c r="R2992">
        <v>1</v>
      </c>
      <c r="S2992">
        <v>0</v>
      </c>
      <c r="T2992">
        <v>224.8741019</v>
      </c>
      <c r="U2992">
        <f t="shared" si="92"/>
        <v>1</v>
      </c>
      <c r="V2992">
        <f t="shared" si="93"/>
        <v>1</v>
      </c>
    </row>
    <row r="2993" spans="1:22" x14ac:dyDescent="0.2">
      <c r="A2993" t="s">
        <v>4961</v>
      </c>
      <c r="B2993" t="s">
        <v>57</v>
      </c>
      <c r="C2993" t="s">
        <v>76</v>
      </c>
      <c r="D2993" t="s">
        <v>77</v>
      </c>
      <c r="E2993">
        <v>17</v>
      </c>
      <c r="F2993" t="s">
        <v>97</v>
      </c>
      <c r="G2993">
        <v>86</v>
      </c>
      <c r="H2993">
        <v>167514649</v>
      </c>
      <c r="I2993">
        <v>21516740</v>
      </c>
      <c r="J2993">
        <v>5</v>
      </c>
      <c r="K2993">
        <v>13</v>
      </c>
      <c r="L2993">
        <v>-145997909</v>
      </c>
      <c r="M2993" s="1" t="s">
        <v>4989</v>
      </c>
      <c r="N2993" s="1" t="s">
        <v>4990</v>
      </c>
      <c r="O2993">
        <v>9.0780420744570305E-3</v>
      </c>
      <c r="P2993">
        <v>1</v>
      </c>
      <c r="Q2993">
        <v>0</v>
      </c>
      <c r="R2993">
        <v>1</v>
      </c>
      <c r="S2993">
        <v>0</v>
      </c>
      <c r="T2993">
        <v>224.8741019</v>
      </c>
      <c r="U2993">
        <f t="shared" si="92"/>
        <v>1</v>
      </c>
      <c r="V2993">
        <f t="shared" si="93"/>
        <v>1</v>
      </c>
    </row>
    <row r="2994" spans="1:22" x14ac:dyDescent="0.2">
      <c r="A2994" t="s">
        <v>4961</v>
      </c>
      <c r="B2994" t="s">
        <v>57</v>
      </c>
      <c r="C2994" t="s">
        <v>76</v>
      </c>
      <c r="D2994" t="s">
        <v>77</v>
      </c>
      <c r="E2994">
        <v>15</v>
      </c>
      <c r="F2994" t="s">
        <v>88</v>
      </c>
      <c r="G2994">
        <v>78</v>
      </c>
      <c r="H2994">
        <v>13944434</v>
      </c>
      <c r="I2994">
        <v>31217</v>
      </c>
      <c r="J2994">
        <v>14</v>
      </c>
      <c r="K2994">
        <v>22</v>
      </c>
      <c r="L2994">
        <v>-13913217</v>
      </c>
      <c r="M2994" s="1" t="s">
        <v>4991</v>
      </c>
      <c r="N2994">
        <v>2.2336705460089101E-3</v>
      </c>
      <c r="O2994" s="1" t="s">
        <v>4992</v>
      </c>
      <c r="P2994">
        <v>0</v>
      </c>
      <c r="Q2994">
        <v>0</v>
      </c>
      <c r="R2994">
        <v>0</v>
      </c>
      <c r="S2994">
        <v>0</v>
      </c>
      <c r="T2994">
        <v>224.8741019</v>
      </c>
      <c r="U2994">
        <f t="shared" si="92"/>
        <v>0</v>
      </c>
      <c r="V2994">
        <f t="shared" si="93"/>
        <v>0</v>
      </c>
    </row>
    <row r="2995" spans="1:22" x14ac:dyDescent="0.2">
      <c r="A2995" t="s">
        <v>4961</v>
      </c>
      <c r="B2995" t="s">
        <v>57</v>
      </c>
      <c r="C2995" t="s">
        <v>76</v>
      </c>
      <c r="D2995" t="s">
        <v>77</v>
      </c>
      <c r="E2995">
        <v>17</v>
      </c>
      <c r="F2995" t="s">
        <v>97</v>
      </c>
      <c r="G2995">
        <v>87</v>
      </c>
      <c r="H2995">
        <v>426690597</v>
      </c>
      <c r="I2995">
        <v>112243805</v>
      </c>
      <c r="J2995">
        <v>5</v>
      </c>
      <c r="K2995">
        <v>33</v>
      </c>
      <c r="L2995">
        <v>-314446792</v>
      </c>
      <c r="M2995" s="1" t="s">
        <v>4993</v>
      </c>
      <c r="N2995" s="1" t="s">
        <v>4994</v>
      </c>
      <c r="O2995" s="1" t="s">
        <v>4995</v>
      </c>
      <c r="P2995">
        <v>1</v>
      </c>
      <c r="Q2995">
        <v>0</v>
      </c>
      <c r="R2995">
        <v>1</v>
      </c>
      <c r="S2995">
        <v>0</v>
      </c>
      <c r="T2995">
        <v>224.8741019</v>
      </c>
      <c r="U2995">
        <f t="shared" si="92"/>
        <v>1</v>
      </c>
      <c r="V2995">
        <f t="shared" si="93"/>
        <v>1</v>
      </c>
    </row>
    <row r="2996" spans="1:22" x14ac:dyDescent="0.2">
      <c r="A2996" t="s">
        <v>4961</v>
      </c>
      <c r="B2996" t="s">
        <v>57</v>
      </c>
      <c r="C2996" t="s">
        <v>76</v>
      </c>
      <c r="D2996" t="s">
        <v>77</v>
      </c>
      <c r="E2996" s="1" t="s">
        <v>89</v>
      </c>
      <c r="F2996" t="s">
        <v>90</v>
      </c>
      <c r="G2996">
        <v>34</v>
      </c>
      <c r="H2996">
        <v>84792309</v>
      </c>
      <c r="I2996">
        <v>493810</v>
      </c>
      <c r="J2996">
        <v>5</v>
      </c>
      <c r="K2996">
        <v>51</v>
      </c>
      <c r="L2996">
        <v>-84298499</v>
      </c>
      <c r="M2996" s="1" t="s">
        <v>4996</v>
      </c>
      <c r="N2996">
        <v>5.7900395256583297E-3</v>
      </c>
      <c r="O2996">
        <v>4.0957799693740202E-3</v>
      </c>
      <c r="P2996">
        <v>1</v>
      </c>
      <c r="Q2996">
        <v>0</v>
      </c>
      <c r="R2996">
        <v>1</v>
      </c>
      <c r="S2996">
        <v>0</v>
      </c>
      <c r="T2996">
        <v>224.8741019</v>
      </c>
      <c r="U2996">
        <f t="shared" si="92"/>
        <v>1</v>
      </c>
      <c r="V2996">
        <f t="shared" si="93"/>
        <v>1</v>
      </c>
    </row>
    <row r="2997" spans="1:22" x14ac:dyDescent="0.2">
      <c r="A2997" t="s">
        <v>4961</v>
      </c>
      <c r="B2997" t="s">
        <v>57</v>
      </c>
      <c r="C2997" t="s">
        <v>76</v>
      </c>
      <c r="D2997" t="s">
        <v>77</v>
      </c>
      <c r="E2997" s="1" t="s">
        <v>138</v>
      </c>
      <c r="F2997" t="s">
        <v>139</v>
      </c>
      <c r="G2997">
        <v>18</v>
      </c>
      <c r="H2997">
        <v>141594838</v>
      </c>
      <c r="I2997">
        <v>5934409</v>
      </c>
      <c r="J2997">
        <v>7</v>
      </c>
      <c r="K2997">
        <v>33</v>
      </c>
      <c r="L2997">
        <v>-135660429</v>
      </c>
      <c r="M2997" s="1" t="s">
        <v>4997</v>
      </c>
      <c r="N2997">
        <v>4.0225305291499203E-2</v>
      </c>
      <c r="O2997">
        <v>7.0849435036366504E-3</v>
      </c>
      <c r="P2997">
        <v>0</v>
      </c>
      <c r="Q2997">
        <v>0</v>
      </c>
      <c r="R2997">
        <v>1</v>
      </c>
      <c r="S2997">
        <v>0</v>
      </c>
      <c r="T2997">
        <v>224.8741019</v>
      </c>
      <c r="U2997">
        <f t="shared" si="92"/>
        <v>0</v>
      </c>
      <c r="V2997">
        <f t="shared" si="93"/>
        <v>1</v>
      </c>
    </row>
    <row r="2998" spans="1:22" x14ac:dyDescent="0.2">
      <c r="A2998" t="s">
        <v>4961</v>
      </c>
      <c r="B2998" t="s">
        <v>57</v>
      </c>
      <c r="C2998" t="s">
        <v>76</v>
      </c>
      <c r="D2998" t="s">
        <v>77</v>
      </c>
      <c r="E2998">
        <v>11</v>
      </c>
      <c r="F2998" t="s">
        <v>127</v>
      </c>
      <c r="G2998">
        <v>55</v>
      </c>
      <c r="H2998">
        <v>18811509</v>
      </c>
      <c r="I2998">
        <v>45045274</v>
      </c>
      <c r="J2998">
        <v>5</v>
      </c>
      <c r="K2998">
        <v>10</v>
      </c>
      <c r="L2998">
        <v>26233765</v>
      </c>
      <c r="M2998" s="1" t="s">
        <v>4998</v>
      </c>
      <c r="N2998" s="1" t="s">
        <v>4999</v>
      </c>
      <c r="O2998">
        <v>3.0666576904509299E-3</v>
      </c>
      <c r="P2998">
        <v>1</v>
      </c>
      <c r="Q2998">
        <v>0</v>
      </c>
      <c r="R2998">
        <v>1</v>
      </c>
      <c r="S2998">
        <v>1</v>
      </c>
      <c r="T2998">
        <v>224.8741019</v>
      </c>
      <c r="U2998">
        <f t="shared" si="92"/>
        <v>1</v>
      </c>
      <c r="V2998">
        <f t="shared" si="93"/>
        <v>1</v>
      </c>
    </row>
    <row r="2999" spans="1:22" x14ac:dyDescent="0.2">
      <c r="A2999" t="s">
        <v>4961</v>
      </c>
      <c r="B2999" t="s">
        <v>57</v>
      </c>
      <c r="C2999" t="s">
        <v>76</v>
      </c>
      <c r="D2999" t="s">
        <v>77</v>
      </c>
      <c r="E2999" s="1" t="s">
        <v>89</v>
      </c>
      <c r="F2999" t="s">
        <v>90</v>
      </c>
      <c r="G2999">
        <v>38</v>
      </c>
      <c r="H2999">
        <v>147835924</v>
      </c>
      <c r="I2999">
        <v>49246</v>
      </c>
      <c r="J2999">
        <v>6</v>
      </c>
      <c r="K2999">
        <v>72</v>
      </c>
      <c r="L2999">
        <v>-147786678</v>
      </c>
      <c r="M2999" s="1" t="s">
        <v>5000</v>
      </c>
      <c r="N2999" s="1" t="s">
        <v>5001</v>
      </c>
      <c r="O2999">
        <v>7.1020363472451102E-3</v>
      </c>
      <c r="P2999">
        <v>0</v>
      </c>
      <c r="Q2999">
        <v>0</v>
      </c>
      <c r="R2999">
        <v>1</v>
      </c>
      <c r="S2999">
        <v>0</v>
      </c>
      <c r="T2999">
        <v>224.8741019</v>
      </c>
      <c r="U2999">
        <f t="shared" si="92"/>
        <v>0</v>
      </c>
      <c r="V2999">
        <f t="shared" si="93"/>
        <v>1</v>
      </c>
    </row>
    <row r="3000" spans="1:22" x14ac:dyDescent="0.2">
      <c r="A3000" t="s">
        <v>4961</v>
      </c>
      <c r="B3000" t="s">
        <v>57</v>
      </c>
      <c r="C3000" t="s">
        <v>76</v>
      </c>
      <c r="D3000" t="s">
        <v>77</v>
      </c>
      <c r="E3000" s="1" t="s">
        <v>138</v>
      </c>
      <c r="F3000" t="s">
        <v>139</v>
      </c>
      <c r="G3000">
        <v>21</v>
      </c>
      <c r="H3000">
        <v>148783345</v>
      </c>
      <c r="I3000">
        <v>989197</v>
      </c>
      <c r="J3000">
        <v>3</v>
      </c>
      <c r="K3000">
        <v>60</v>
      </c>
      <c r="L3000">
        <v>-147794148</v>
      </c>
      <c r="M3000" s="1" t="s">
        <v>5002</v>
      </c>
      <c r="N3000">
        <v>6.6046618878912999E-3</v>
      </c>
      <c r="O3000">
        <v>7.1926754866853499E-3</v>
      </c>
      <c r="P3000">
        <v>1</v>
      </c>
      <c r="Q3000">
        <v>0</v>
      </c>
      <c r="R3000">
        <v>1</v>
      </c>
      <c r="S3000">
        <v>0</v>
      </c>
      <c r="T3000">
        <v>224.8741019</v>
      </c>
      <c r="U3000">
        <f t="shared" si="92"/>
        <v>1</v>
      </c>
      <c r="V3000">
        <f t="shared" si="93"/>
        <v>1</v>
      </c>
    </row>
    <row r="3001" spans="1:22" x14ac:dyDescent="0.2">
      <c r="A3001" t="s">
        <v>4961</v>
      </c>
      <c r="B3001" t="s">
        <v>57</v>
      </c>
      <c r="C3001" t="s">
        <v>76</v>
      </c>
      <c r="D3001" t="s">
        <v>77</v>
      </c>
      <c r="E3001" s="1" t="s">
        <v>82</v>
      </c>
      <c r="F3001" t="s">
        <v>83</v>
      </c>
      <c r="G3001">
        <v>11</v>
      </c>
      <c r="H3001">
        <v>55529830</v>
      </c>
      <c r="I3001">
        <v>448335</v>
      </c>
      <c r="J3001">
        <v>9</v>
      </c>
      <c r="K3001">
        <v>31</v>
      </c>
      <c r="L3001">
        <v>-55081495</v>
      </c>
      <c r="M3001" s="1" t="s">
        <v>5003</v>
      </c>
      <c r="N3001">
        <v>8.0091049787001708E-3</v>
      </c>
      <c r="O3001">
        <v>2.68829499592206E-3</v>
      </c>
      <c r="P3001">
        <v>0</v>
      </c>
      <c r="Q3001">
        <v>0</v>
      </c>
      <c r="R3001">
        <v>1</v>
      </c>
      <c r="S3001">
        <v>0</v>
      </c>
      <c r="T3001">
        <v>224.8741019</v>
      </c>
      <c r="U3001">
        <f t="shared" si="92"/>
        <v>0</v>
      </c>
      <c r="V3001">
        <f t="shared" si="93"/>
        <v>1</v>
      </c>
    </row>
    <row r="3002" spans="1:22" x14ac:dyDescent="0.2">
      <c r="A3002" t="s">
        <v>4961</v>
      </c>
      <c r="B3002" t="s">
        <v>57</v>
      </c>
      <c r="C3002" t="s">
        <v>76</v>
      </c>
      <c r="D3002" t="s">
        <v>77</v>
      </c>
      <c r="E3002" s="1" t="s">
        <v>89</v>
      </c>
      <c r="F3002" t="s">
        <v>90</v>
      </c>
      <c r="G3002">
        <v>36</v>
      </c>
      <c r="H3002">
        <v>55141295</v>
      </c>
      <c r="I3002">
        <v>0</v>
      </c>
      <c r="J3002">
        <v>3</v>
      </c>
      <c r="K3002">
        <v>37</v>
      </c>
      <c r="L3002">
        <v>-55141295</v>
      </c>
      <c r="M3002">
        <v>1</v>
      </c>
      <c r="N3002">
        <v>0</v>
      </c>
      <c r="O3002">
        <v>2.6481051570226102E-3</v>
      </c>
      <c r="P3002">
        <v>1</v>
      </c>
      <c r="Q3002">
        <v>0</v>
      </c>
      <c r="R3002">
        <v>1</v>
      </c>
      <c r="S3002">
        <v>0</v>
      </c>
      <c r="T3002">
        <v>224.8741019</v>
      </c>
      <c r="U3002">
        <f t="shared" si="92"/>
        <v>1</v>
      </c>
      <c r="V3002">
        <f t="shared" si="93"/>
        <v>1</v>
      </c>
    </row>
    <row r="3003" spans="1:22" x14ac:dyDescent="0.2">
      <c r="A3003" t="s">
        <v>4961</v>
      </c>
      <c r="B3003" t="s">
        <v>57</v>
      </c>
      <c r="C3003" t="s">
        <v>76</v>
      </c>
      <c r="D3003" t="s">
        <v>77</v>
      </c>
      <c r="E3003" s="1" t="s">
        <v>138</v>
      </c>
      <c r="F3003" t="s">
        <v>139</v>
      </c>
      <c r="G3003">
        <v>22</v>
      </c>
      <c r="H3003">
        <v>29215583</v>
      </c>
      <c r="I3003">
        <v>29003671</v>
      </c>
      <c r="J3003">
        <v>18</v>
      </c>
      <c r="K3003">
        <v>33</v>
      </c>
      <c r="L3003">
        <v>-211912</v>
      </c>
      <c r="M3003" s="1" t="s">
        <v>5004</v>
      </c>
      <c r="N3003" s="1" t="s">
        <v>5005</v>
      </c>
      <c r="O3003">
        <v>2.7959210380425199E-3</v>
      </c>
      <c r="P3003">
        <v>0</v>
      </c>
      <c r="Q3003">
        <v>0</v>
      </c>
      <c r="R3003">
        <v>0</v>
      </c>
      <c r="S3003">
        <v>0</v>
      </c>
      <c r="T3003">
        <v>224.8741019</v>
      </c>
      <c r="U3003">
        <f t="shared" si="92"/>
        <v>0</v>
      </c>
      <c r="V3003">
        <f t="shared" si="93"/>
        <v>0</v>
      </c>
    </row>
    <row r="3004" spans="1:22" x14ac:dyDescent="0.2">
      <c r="A3004" t="s">
        <v>4961</v>
      </c>
      <c r="B3004" t="s">
        <v>57</v>
      </c>
      <c r="C3004" t="s">
        <v>76</v>
      </c>
      <c r="D3004" t="s">
        <v>77</v>
      </c>
      <c r="E3004" s="1" t="s">
        <v>89</v>
      </c>
      <c r="F3004" t="s">
        <v>90</v>
      </c>
      <c r="G3004">
        <v>33</v>
      </c>
      <c r="H3004">
        <v>134512447</v>
      </c>
      <c r="I3004">
        <v>82304</v>
      </c>
      <c r="J3004">
        <v>4</v>
      </c>
      <c r="K3004">
        <v>70</v>
      </c>
      <c r="L3004">
        <v>-134430143</v>
      </c>
      <c r="M3004" s="1" t="s">
        <v>5006</v>
      </c>
      <c r="N3004" s="1" t="s">
        <v>5007</v>
      </c>
      <c r="O3004">
        <v>6.4637773601667102E-3</v>
      </c>
      <c r="P3004">
        <v>1</v>
      </c>
      <c r="Q3004">
        <v>0</v>
      </c>
      <c r="R3004">
        <v>1</v>
      </c>
      <c r="S3004">
        <v>0</v>
      </c>
      <c r="T3004">
        <v>224.8741019</v>
      </c>
      <c r="U3004">
        <f t="shared" si="92"/>
        <v>1</v>
      </c>
      <c r="V3004">
        <f t="shared" si="93"/>
        <v>1</v>
      </c>
    </row>
    <row r="3005" spans="1:22" x14ac:dyDescent="0.2">
      <c r="A3005" t="s">
        <v>4961</v>
      </c>
      <c r="B3005" t="s">
        <v>57</v>
      </c>
      <c r="C3005" t="s">
        <v>76</v>
      </c>
      <c r="D3005" t="s">
        <v>77</v>
      </c>
      <c r="E3005" s="1" t="s">
        <v>99</v>
      </c>
      <c r="F3005" t="s">
        <v>100</v>
      </c>
      <c r="G3005">
        <v>39</v>
      </c>
      <c r="H3005">
        <v>367180808</v>
      </c>
      <c r="I3005">
        <v>484040198</v>
      </c>
      <c r="J3005">
        <v>9</v>
      </c>
      <c r="K3005">
        <v>16</v>
      </c>
      <c r="L3005">
        <v>116859390</v>
      </c>
      <c r="M3005" s="1" t="s">
        <v>5008</v>
      </c>
      <c r="N3005" s="1" t="s">
        <v>5009</v>
      </c>
      <c r="O3005">
        <v>4.0879031509045503E-2</v>
      </c>
      <c r="P3005">
        <v>0</v>
      </c>
      <c r="Q3005">
        <v>0</v>
      </c>
      <c r="R3005">
        <v>1</v>
      </c>
      <c r="S3005">
        <v>0</v>
      </c>
      <c r="T3005">
        <v>224.8741019</v>
      </c>
      <c r="U3005">
        <f t="shared" si="92"/>
        <v>0</v>
      </c>
      <c r="V3005">
        <f t="shared" si="93"/>
        <v>1</v>
      </c>
    </row>
    <row r="3006" spans="1:22" x14ac:dyDescent="0.2">
      <c r="A3006" t="s">
        <v>4961</v>
      </c>
      <c r="B3006" t="s">
        <v>57</v>
      </c>
      <c r="C3006" t="s">
        <v>76</v>
      </c>
      <c r="D3006" t="s">
        <v>77</v>
      </c>
      <c r="E3006">
        <v>13</v>
      </c>
      <c r="F3006" t="s">
        <v>91</v>
      </c>
      <c r="G3006">
        <v>68</v>
      </c>
      <c r="H3006">
        <v>59658545</v>
      </c>
      <c r="I3006">
        <v>286902</v>
      </c>
      <c r="J3006">
        <v>9</v>
      </c>
      <c r="K3006">
        <v>55</v>
      </c>
      <c r="L3006">
        <v>-59371643</v>
      </c>
      <c r="M3006">
        <v>0.99521394844215605</v>
      </c>
      <c r="N3006">
        <v>4.7860515578439103E-3</v>
      </c>
      <c r="O3006">
        <v>2.8788197183385899E-3</v>
      </c>
      <c r="P3006">
        <v>0</v>
      </c>
      <c r="Q3006">
        <v>0</v>
      </c>
      <c r="R3006">
        <v>1</v>
      </c>
      <c r="S3006">
        <v>0</v>
      </c>
      <c r="T3006">
        <v>224.8741019</v>
      </c>
      <c r="U3006">
        <f t="shared" si="92"/>
        <v>0</v>
      </c>
      <c r="V3006">
        <f t="shared" si="93"/>
        <v>1</v>
      </c>
    </row>
    <row r="3007" spans="1:22" x14ac:dyDescent="0.2">
      <c r="A3007" t="s">
        <v>4961</v>
      </c>
      <c r="B3007" t="s">
        <v>57</v>
      </c>
      <c r="C3007" t="s">
        <v>76</v>
      </c>
      <c r="D3007" t="s">
        <v>77</v>
      </c>
      <c r="E3007">
        <v>13</v>
      </c>
      <c r="F3007" t="s">
        <v>91</v>
      </c>
      <c r="G3007">
        <v>69</v>
      </c>
      <c r="H3007">
        <v>56312965</v>
      </c>
      <c r="I3007">
        <v>804044</v>
      </c>
      <c r="J3007">
        <v>4</v>
      </c>
      <c r="K3007">
        <v>46</v>
      </c>
      <c r="L3007">
        <v>-55508921</v>
      </c>
      <c r="M3007" s="1" t="s">
        <v>5010</v>
      </c>
      <c r="N3007" s="1" t="s">
        <v>5011</v>
      </c>
      <c r="O3007">
        <v>2.74298683203952E-3</v>
      </c>
      <c r="P3007">
        <v>1</v>
      </c>
      <c r="Q3007">
        <v>0</v>
      </c>
      <c r="R3007">
        <v>1</v>
      </c>
      <c r="S3007">
        <v>0</v>
      </c>
      <c r="T3007">
        <v>224.8741019</v>
      </c>
      <c r="U3007">
        <f t="shared" si="92"/>
        <v>1</v>
      </c>
      <c r="V3007">
        <f t="shared" si="93"/>
        <v>1</v>
      </c>
    </row>
    <row r="3008" spans="1:22" x14ac:dyDescent="0.2">
      <c r="A3008" t="s">
        <v>4961</v>
      </c>
      <c r="B3008" t="s">
        <v>57</v>
      </c>
      <c r="C3008" t="s">
        <v>76</v>
      </c>
      <c r="D3008" t="s">
        <v>77</v>
      </c>
      <c r="E3008" s="1" t="s">
        <v>89</v>
      </c>
      <c r="F3008" t="s">
        <v>90</v>
      </c>
      <c r="G3008">
        <v>29</v>
      </c>
      <c r="H3008">
        <v>132251755</v>
      </c>
      <c r="I3008">
        <v>10722578</v>
      </c>
      <c r="J3008">
        <v>23</v>
      </c>
      <c r="K3008">
        <v>41</v>
      </c>
      <c r="L3008">
        <v>-121529177</v>
      </c>
      <c r="M3008" s="1" t="s">
        <v>5012</v>
      </c>
      <c r="N3008">
        <v>7.4996524026448796E-2</v>
      </c>
      <c r="O3008">
        <v>6.8661983462515296E-3</v>
      </c>
      <c r="P3008">
        <v>0</v>
      </c>
      <c r="Q3008">
        <v>0</v>
      </c>
      <c r="R3008">
        <v>0</v>
      </c>
      <c r="S3008">
        <v>0</v>
      </c>
      <c r="T3008">
        <v>224.8741019</v>
      </c>
      <c r="U3008">
        <f t="shared" si="92"/>
        <v>0</v>
      </c>
      <c r="V3008">
        <f t="shared" si="93"/>
        <v>0</v>
      </c>
    </row>
    <row r="3009" spans="1:22" x14ac:dyDescent="0.2">
      <c r="A3009" t="s">
        <v>4961</v>
      </c>
      <c r="B3009" t="s">
        <v>57</v>
      </c>
      <c r="C3009" t="s">
        <v>76</v>
      </c>
      <c r="D3009" t="s">
        <v>77</v>
      </c>
      <c r="E3009">
        <v>18</v>
      </c>
      <c r="F3009" t="s">
        <v>147</v>
      </c>
      <c r="G3009">
        <v>90</v>
      </c>
      <c r="H3009">
        <v>122474614</v>
      </c>
      <c r="I3009">
        <v>283182</v>
      </c>
      <c r="J3009">
        <v>7</v>
      </c>
      <c r="K3009">
        <v>79</v>
      </c>
      <c r="L3009">
        <v>-122191432</v>
      </c>
      <c r="M3009" s="1" t="s">
        <v>5013</v>
      </c>
      <c r="N3009">
        <v>2.3068351601881099E-3</v>
      </c>
      <c r="O3009">
        <v>5.8953195178373897E-3</v>
      </c>
      <c r="P3009">
        <v>0</v>
      </c>
      <c r="Q3009">
        <v>0</v>
      </c>
      <c r="R3009">
        <v>1</v>
      </c>
      <c r="S3009">
        <v>0</v>
      </c>
      <c r="T3009">
        <v>224.8741019</v>
      </c>
      <c r="U3009">
        <f t="shared" si="92"/>
        <v>0</v>
      </c>
      <c r="V3009">
        <f t="shared" si="93"/>
        <v>1</v>
      </c>
    </row>
    <row r="3010" spans="1:22" x14ac:dyDescent="0.2">
      <c r="A3010" t="s">
        <v>4961</v>
      </c>
      <c r="B3010" t="s">
        <v>57</v>
      </c>
      <c r="C3010" t="s">
        <v>76</v>
      </c>
      <c r="D3010" t="s">
        <v>77</v>
      </c>
      <c r="E3010">
        <v>15</v>
      </c>
      <c r="F3010" t="s">
        <v>88</v>
      </c>
      <c r="G3010">
        <v>82</v>
      </c>
      <c r="H3010">
        <v>28990808</v>
      </c>
      <c r="I3010">
        <v>57026</v>
      </c>
      <c r="J3010">
        <v>6</v>
      </c>
      <c r="K3010">
        <v>67</v>
      </c>
      <c r="L3010">
        <v>-28933782</v>
      </c>
      <c r="M3010" s="1" t="s">
        <v>5014</v>
      </c>
      <c r="N3010">
        <v>1.9631756364347098E-3</v>
      </c>
      <c r="O3010">
        <v>1.3949929724308501E-3</v>
      </c>
      <c r="P3010">
        <v>0</v>
      </c>
      <c r="Q3010">
        <v>0</v>
      </c>
      <c r="R3010">
        <v>1</v>
      </c>
      <c r="S3010">
        <v>0</v>
      </c>
      <c r="T3010">
        <v>224.8741019</v>
      </c>
      <c r="U3010">
        <f t="shared" si="92"/>
        <v>0</v>
      </c>
      <c r="V3010">
        <f t="shared" si="93"/>
        <v>1</v>
      </c>
    </row>
    <row r="3011" spans="1:22" x14ac:dyDescent="0.2">
      <c r="A3011" t="s">
        <v>4961</v>
      </c>
      <c r="B3011" t="s">
        <v>57</v>
      </c>
      <c r="C3011" t="s">
        <v>76</v>
      </c>
      <c r="D3011" t="s">
        <v>77</v>
      </c>
      <c r="E3011">
        <v>10</v>
      </c>
      <c r="F3011" t="s">
        <v>119</v>
      </c>
      <c r="G3011">
        <v>47</v>
      </c>
      <c r="H3011">
        <v>47201635</v>
      </c>
      <c r="I3011">
        <v>10806729</v>
      </c>
      <c r="J3011">
        <v>14</v>
      </c>
      <c r="K3011">
        <v>9</v>
      </c>
      <c r="L3011">
        <v>-36394906</v>
      </c>
      <c r="M3011" s="1" t="s">
        <v>5015</v>
      </c>
      <c r="N3011" s="1" t="s">
        <v>5016</v>
      </c>
      <c r="O3011">
        <v>2.7857932581896098E-3</v>
      </c>
      <c r="P3011">
        <v>0</v>
      </c>
      <c r="Q3011">
        <v>0</v>
      </c>
      <c r="R3011">
        <v>0</v>
      </c>
      <c r="S3011">
        <v>1</v>
      </c>
      <c r="T3011">
        <v>224.8741019</v>
      </c>
      <c r="U3011">
        <f t="shared" ref="U3011:U3074" si="94">IF(OR(P3011=1,Q3011=1),1,0)</f>
        <v>0</v>
      </c>
      <c r="V3011">
        <f t="shared" ref="V3011:V3074" si="95">IF(OR(R3011=1,S3011=1),1,0)</f>
        <v>1</v>
      </c>
    </row>
    <row r="3012" spans="1:22" x14ac:dyDescent="0.2">
      <c r="A3012" t="s">
        <v>4961</v>
      </c>
      <c r="B3012" t="s">
        <v>57</v>
      </c>
      <c r="C3012" t="s">
        <v>76</v>
      </c>
      <c r="D3012" t="s">
        <v>77</v>
      </c>
      <c r="E3012" s="1" t="s">
        <v>89</v>
      </c>
      <c r="F3012" t="s">
        <v>90</v>
      </c>
      <c r="G3012">
        <v>28</v>
      </c>
      <c r="H3012">
        <v>66757713</v>
      </c>
      <c r="I3012">
        <v>20129033</v>
      </c>
      <c r="J3012">
        <v>37</v>
      </c>
      <c r="K3012">
        <v>30</v>
      </c>
      <c r="L3012">
        <v>-46628680</v>
      </c>
      <c r="M3012">
        <v>0.76833022380651705</v>
      </c>
      <c r="N3012" s="1" t="s">
        <v>5017</v>
      </c>
      <c r="O3012">
        <v>4.1726484689834304E-3</v>
      </c>
      <c r="P3012">
        <v>0</v>
      </c>
      <c r="Q3012">
        <v>0</v>
      </c>
      <c r="R3012">
        <v>0</v>
      </c>
      <c r="S3012">
        <v>0</v>
      </c>
      <c r="T3012">
        <v>224.8741019</v>
      </c>
      <c r="U3012">
        <f t="shared" si="94"/>
        <v>0</v>
      </c>
      <c r="V3012">
        <f t="shared" si="95"/>
        <v>0</v>
      </c>
    </row>
    <row r="3013" spans="1:22" x14ac:dyDescent="0.2">
      <c r="A3013" t="s">
        <v>4961</v>
      </c>
      <c r="B3013" t="s">
        <v>57</v>
      </c>
      <c r="C3013" t="s">
        <v>76</v>
      </c>
      <c r="D3013" t="s">
        <v>77</v>
      </c>
      <c r="E3013">
        <v>15</v>
      </c>
      <c r="F3013" t="s">
        <v>88</v>
      </c>
      <c r="G3013">
        <v>74</v>
      </c>
      <c r="H3013">
        <v>14269699</v>
      </c>
      <c r="I3013">
        <v>94412620</v>
      </c>
      <c r="J3013">
        <v>40</v>
      </c>
      <c r="K3013">
        <v>11</v>
      </c>
      <c r="L3013">
        <v>80142921</v>
      </c>
      <c r="M3013" s="1" t="s">
        <v>5018</v>
      </c>
      <c r="N3013" s="1" t="s">
        <v>5019</v>
      </c>
      <c r="O3013">
        <v>5.2193589109772696E-3</v>
      </c>
      <c r="P3013">
        <v>0</v>
      </c>
      <c r="Q3013">
        <v>0</v>
      </c>
      <c r="R3013">
        <v>0</v>
      </c>
      <c r="S3013">
        <v>0</v>
      </c>
      <c r="T3013">
        <v>224.8741019</v>
      </c>
      <c r="U3013">
        <f t="shared" si="94"/>
        <v>0</v>
      </c>
      <c r="V3013">
        <f t="shared" si="95"/>
        <v>0</v>
      </c>
    </row>
    <row r="3014" spans="1:22" x14ac:dyDescent="0.2">
      <c r="A3014" t="s">
        <v>4961</v>
      </c>
      <c r="B3014" t="s">
        <v>57</v>
      </c>
      <c r="C3014" t="s">
        <v>76</v>
      </c>
      <c r="D3014" t="s">
        <v>77</v>
      </c>
      <c r="E3014" s="1" t="s">
        <v>89</v>
      </c>
      <c r="F3014" t="s">
        <v>90</v>
      </c>
      <c r="G3014">
        <v>32</v>
      </c>
      <c r="H3014">
        <v>70548241</v>
      </c>
      <c r="I3014">
        <v>367922</v>
      </c>
      <c r="J3014">
        <v>4</v>
      </c>
      <c r="K3014">
        <v>63</v>
      </c>
      <c r="L3014">
        <v>-70180319</v>
      </c>
      <c r="M3014">
        <v>0.99481187384602299</v>
      </c>
      <c r="N3014">
        <v>5.1881261539770502E-3</v>
      </c>
      <c r="O3014">
        <v>3.4056773051223399E-3</v>
      </c>
      <c r="P3014">
        <v>1</v>
      </c>
      <c r="Q3014">
        <v>0</v>
      </c>
      <c r="R3014">
        <v>1</v>
      </c>
      <c r="S3014">
        <v>0</v>
      </c>
      <c r="T3014">
        <v>224.8741019</v>
      </c>
      <c r="U3014">
        <f t="shared" si="94"/>
        <v>1</v>
      </c>
      <c r="V3014">
        <f t="shared" si="95"/>
        <v>1</v>
      </c>
    </row>
    <row r="3015" spans="1:22" x14ac:dyDescent="0.2">
      <c r="A3015" t="s">
        <v>4961</v>
      </c>
      <c r="B3015" t="s">
        <v>57</v>
      </c>
      <c r="C3015" t="s">
        <v>76</v>
      </c>
      <c r="D3015" t="s">
        <v>77</v>
      </c>
      <c r="E3015">
        <v>15</v>
      </c>
      <c r="F3015" t="s">
        <v>88</v>
      </c>
      <c r="G3015">
        <v>83</v>
      </c>
      <c r="H3015">
        <v>28997473</v>
      </c>
      <c r="I3015">
        <v>348312</v>
      </c>
      <c r="J3015">
        <v>7</v>
      </c>
      <c r="K3015">
        <v>55</v>
      </c>
      <c r="L3015">
        <v>-28649161</v>
      </c>
      <c r="M3015" s="1" t="s">
        <v>5020</v>
      </c>
      <c r="N3015" s="1" t="s">
        <v>5021</v>
      </c>
      <c r="O3015">
        <v>1.4093017691256E-3</v>
      </c>
      <c r="P3015">
        <v>0</v>
      </c>
      <c r="Q3015">
        <v>0</v>
      </c>
      <c r="R3015">
        <v>1</v>
      </c>
      <c r="S3015">
        <v>0</v>
      </c>
      <c r="T3015">
        <v>224.8741019</v>
      </c>
      <c r="U3015">
        <f t="shared" si="94"/>
        <v>0</v>
      </c>
      <c r="V3015">
        <f t="shared" si="95"/>
        <v>1</v>
      </c>
    </row>
    <row r="3016" spans="1:22" x14ac:dyDescent="0.2">
      <c r="A3016" t="s">
        <v>4961</v>
      </c>
      <c r="B3016" t="s">
        <v>57</v>
      </c>
      <c r="C3016" t="s">
        <v>76</v>
      </c>
      <c r="D3016" t="s">
        <v>77</v>
      </c>
      <c r="E3016">
        <v>20</v>
      </c>
      <c r="F3016" t="s">
        <v>104</v>
      </c>
      <c r="G3016">
        <v>96</v>
      </c>
      <c r="H3016">
        <v>37754122</v>
      </c>
      <c r="I3016">
        <v>5264689</v>
      </c>
      <c r="J3016">
        <v>6</v>
      </c>
      <c r="K3016">
        <v>37</v>
      </c>
      <c r="L3016">
        <v>-32489433</v>
      </c>
      <c r="M3016" s="1" t="s">
        <v>5022</v>
      </c>
      <c r="N3016" s="1" t="s">
        <v>5023</v>
      </c>
      <c r="O3016">
        <v>2.0659350720377699E-3</v>
      </c>
      <c r="P3016">
        <v>0</v>
      </c>
      <c r="Q3016">
        <v>0</v>
      </c>
      <c r="R3016">
        <v>1</v>
      </c>
      <c r="S3016">
        <v>0</v>
      </c>
      <c r="T3016">
        <v>224.8741019</v>
      </c>
      <c r="U3016">
        <f t="shared" si="94"/>
        <v>0</v>
      </c>
      <c r="V3016">
        <f t="shared" si="95"/>
        <v>1</v>
      </c>
    </row>
    <row r="3017" spans="1:22" x14ac:dyDescent="0.2">
      <c r="A3017" t="s">
        <v>4961</v>
      </c>
      <c r="B3017" t="s">
        <v>57</v>
      </c>
      <c r="C3017" t="s">
        <v>76</v>
      </c>
      <c r="D3017" t="s">
        <v>77</v>
      </c>
      <c r="E3017" s="1" t="s">
        <v>138</v>
      </c>
      <c r="F3017" t="s">
        <v>139</v>
      </c>
      <c r="G3017">
        <v>20</v>
      </c>
      <c r="H3017">
        <v>54073468</v>
      </c>
      <c r="I3017">
        <v>61571183</v>
      </c>
      <c r="J3017">
        <v>4</v>
      </c>
      <c r="K3017">
        <v>22</v>
      </c>
      <c r="L3017">
        <v>7497715</v>
      </c>
      <c r="M3017" s="1" t="s">
        <v>5024</v>
      </c>
      <c r="N3017" s="1" t="s">
        <v>5025</v>
      </c>
      <c r="O3017">
        <v>5.5537178931902098E-3</v>
      </c>
      <c r="P3017">
        <v>1</v>
      </c>
      <c r="Q3017">
        <v>0</v>
      </c>
      <c r="R3017">
        <v>1</v>
      </c>
      <c r="S3017">
        <v>0</v>
      </c>
      <c r="T3017">
        <v>224.8741019</v>
      </c>
      <c r="U3017">
        <f t="shared" si="94"/>
        <v>1</v>
      </c>
      <c r="V3017">
        <f t="shared" si="95"/>
        <v>1</v>
      </c>
    </row>
    <row r="3018" spans="1:22" x14ac:dyDescent="0.2">
      <c r="A3018" t="s">
        <v>4961</v>
      </c>
      <c r="B3018" t="s">
        <v>57</v>
      </c>
      <c r="C3018" t="s">
        <v>76</v>
      </c>
      <c r="D3018" t="s">
        <v>77</v>
      </c>
      <c r="E3018">
        <v>20</v>
      </c>
      <c r="F3018" t="s">
        <v>104</v>
      </c>
      <c r="G3018">
        <v>94</v>
      </c>
      <c r="H3018">
        <v>67770519</v>
      </c>
      <c r="I3018">
        <v>711333</v>
      </c>
      <c r="J3018">
        <v>7</v>
      </c>
      <c r="K3018">
        <v>57</v>
      </c>
      <c r="L3018">
        <v>-67059186</v>
      </c>
      <c r="M3018" s="1" t="s">
        <v>5026</v>
      </c>
      <c r="N3018" s="1" t="s">
        <v>5027</v>
      </c>
      <c r="O3018">
        <v>3.2887719710547E-3</v>
      </c>
      <c r="P3018">
        <v>0</v>
      </c>
      <c r="Q3018">
        <v>0</v>
      </c>
      <c r="R3018">
        <v>1</v>
      </c>
      <c r="S3018">
        <v>0</v>
      </c>
      <c r="T3018">
        <v>224.8741019</v>
      </c>
      <c r="U3018">
        <f t="shared" si="94"/>
        <v>0</v>
      </c>
      <c r="V3018">
        <f t="shared" si="95"/>
        <v>1</v>
      </c>
    </row>
    <row r="3019" spans="1:22" x14ac:dyDescent="0.2">
      <c r="A3019" t="s">
        <v>4961</v>
      </c>
      <c r="B3019" t="s">
        <v>57</v>
      </c>
      <c r="C3019" t="s">
        <v>76</v>
      </c>
      <c r="D3019" t="s">
        <v>77</v>
      </c>
      <c r="E3019">
        <v>17</v>
      </c>
      <c r="F3019" t="s">
        <v>97</v>
      </c>
      <c r="G3019">
        <v>89</v>
      </c>
      <c r="H3019">
        <v>5510322</v>
      </c>
      <c r="I3019">
        <v>0</v>
      </c>
      <c r="J3019">
        <v>17</v>
      </c>
      <c r="K3019">
        <v>68</v>
      </c>
      <c r="L3019">
        <v>-5510322</v>
      </c>
      <c r="M3019">
        <v>1</v>
      </c>
      <c r="N3019">
        <v>0</v>
      </c>
      <c r="O3019" s="1" t="s">
        <v>5028</v>
      </c>
      <c r="P3019">
        <v>0</v>
      </c>
      <c r="Q3019">
        <v>0</v>
      </c>
      <c r="R3019">
        <v>0</v>
      </c>
      <c r="S3019">
        <v>0</v>
      </c>
      <c r="T3019">
        <v>224.8741019</v>
      </c>
      <c r="U3019">
        <f t="shared" si="94"/>
        <v>0</v>
      </c>
      <c r="V3019">
        <f t="shared" si="95"/>
        <v>0</v>
      </c>
    </row>
    <row r="3020" spans="1:22" x14ac:dyDescent="0.2">
      <c r="A3020" t="s">
        <v>4961</v>
      </c>
      <c r="B3020" t="s">
        <v>57</v>
      </c>
      <c r="C3020" t="s">
        <v>76</v>
      </c>
      <c r="D3020" t="s">
        <v>77</v>
      </c>
      <c r="E3020" s="1" t="s">
        <v>82</v>
      </c>
      <c r="F3020" t="s">
        <v>83</v>
      </c>
      <c r="G3020" s="1" t="s">
        <v>99</v>
      </c>
      <c r="H3020">
        <v>19478961</v>
      </c>
      <c r="I3020">
        <v>213217037</v>
      </c>
      <c r="J3020">
        <v>20</v>
      </c>
      <c r="K3020">
        <v>8</v>
      </c>
      <c r="L3020">
        <v>193738076</v>
      </c>
      <c r="M3020">
        <v>8.3709909785384395E-2</v>
      </c>
      <c r="N3020" s="1" t="s">
        <v>5029</v>
      </c>
      <c r="O3020" s="1" t="s">
        <v>5030</v>
      </c>
      <c r="P3020">
        <v>0</v>
      </c>
      <c r="Q3020">
        <v>0</v>
      </c>
      <c r="R3020">
        <v>0</v>
      </c>
      <c r="S3020">
        <v>1</v>
      </c>
      <c r="T3020">
        <v>224.8741019</v>
      </c>
      <c r="U3020">
        <f t="shared" si="94"/>
        <v>0</v>
      </c>
      <c r="V3020">
        <f t="shared" si="95"/>
        <v>1</v>
      </c>
    </row>
    <row r="3021" spans="1:22" x14ac:dyDescent="0.2">
      <c r="A3021" t="s">
        <v>4961</v>
      </c>
      <c r="B3021" t="s">
        <v>57</v>
      </c>
      <c r="C3021" t="s">
        <v>76</v>
      </c>
      <c r="D3021" t="s">
        <v>77</v>
      </c>
      <c r="E3021" s="1" t="s">
        <v>82</v>
      </c>
      <c r="F3021" t="s">
        <v>83</v>
      </c>
      <c r="G3021">
        <v>12</v>
      </c>
      <c r="H3021">
        <v>10854970</v>
      </c>
      <c r="I3021">
        <v>5808797</v>
      </c>
      <c r="J3021">
        <v>25</v>
      </c>
      <c r="K3021">
        <v>33</v>
      </c>
      <c r="L3021">
        <v>-5046173</v>
      </c>
      <c r="M3021">
        <v>0.65141153257843798</v>
      </c>
      <c r="N3021">
        <v>0.34858846742156202</v>
      </c>
      <c r="O3021" s="1" t="s">
        <v>5031</v>
      </c>
      <c r="P3021">
        <v>0</v>
      </c>
      <c r="Q3021">
        <v>0</v>
      </c>
      <c r="R3021">
        <v>0</v>
      </c>
      <c r="S3021">
        <v>0</v>
      </c>
      <c r="T3021">
        <v>224.8741019</v>
      </c>
      <c r="U3021">
        <f t="shared" si="94"/>
        <v>0</v>
      </c>
      <c r="V3021">
        <f t="shared" si="95"/>
        <v>0</v>
      </c>
    </row>
    <row r="3022" spans="1:22" x14ac:dyDescent="0.2">
      <c r="A3022" t="s">
        <v>4961</v>
      </c>
      <c r="B3022" t="s">
        <v>57</v>
      </c>
      <c r="C3022" t="s">
        <v>76</v>
      </c>
      <c r="D3022" t="s">
        <v>77</v>
      </c>
      <c r="E3022">
        <v>11</v>
      </c>
      <c r="F3022" t="s">
        <v>127</v>
      </c>
      <c r="G3022">
        <v>56</v>
      </c>
      <c r="H3022">
        <v>34002562</v>
      </c>
      <c r="I3022">
        <v>67533770</v>
      </c>
      <c r="J3022">
        <v>5</v>
      </c>
      <c r="K3022">
        <v>12</v>
      </c>
      <c r="L3022">
        <v>33531208</v>
      </c>
      <c r="M3022" s="1" t="s">
        <v>5032</v>
      </c>
      <c r="N3022" s="1" t="s">
        <v>5033</v>
      </c>
      <c r="O3022">
        <v>4.8761800823567802E-3</v>
      </c>
      <c r="P3022">
        <v>1</v>
      </c>
      <c r="Q3022">
        <v>0</v>
      </c>
      <c r="R3022">
        <v>1</v>
      </c>
      <c r="S3022">
        <v>0</v>
      </c>
      <c r="T3022">
        <v>224.8741019</v>
      </c>
      <c r="U3022">
        <f t="shared" si="94"/>
        <v>1</v>
      </c>
      <c r="V3022">
        <f t="shared" si="95"/>
        <v>1</v>
      </c>
    </row>
    <row r="3023" spans="1:22" x14ac:dyDescent="0.2">
      <c r="A3023" t="s">
        <v>4961</v>
      </c>
      <c r="B3023" t="s">
        <v>57</v>
      </c>
      <c r="C3023" t="s">
        <v>76</v>
      </c>
      <c r="D3023" t="s">
        <v>77</v>
      </c>
      <c r="E3023" s="1" t="s">
        <v>155</v>
      </c>
      <c r="F3023" t="s">
        <v>156</v>
      </c>
      <c r="G3023" s="1" t="s">
        <v>138</v>
      </c>
      <c r="H3023">
        <v>27139893</v>
      </c>
      <c r="I3023">
        <v>336006</v>
      </c>
      <c r="J3023">
        <v>8</v>
      </c>
      <c r="K3023">
        <v>49</v>
      </c>
      <c r="L3023">
        <v>-26803887</v>
      </c>
      <c r="M3023" s="1" t="s">
        <v>5034</v>
      </c>
      <c r="N3023" s="1" t="s">
        <v>5035</v>
      </c>
      <c r="O3023">
        <v>1.3195023772243999E-3</v>
      </c>
      <c r="P3023">
        <v>0</v>
      </c>
      <c r="Q3023">
        <v>0</v>
      </c>
      <c r="R3023">
        <v>1</v>
      </c>
      <c r="S3023">
        <v>0</v>
      </c>
      <c r="T3023">
        <v>224.8741019</v>
      </c>
      <c r="U3023">
        <f t="shared" si="94"/>
        <v>0</v>
      </c>
      <c r="V3023">
        <f t="shared" si="95"/>
        <v>1</v>
      </c>
    </row>
    <row r="3024" spans="1:22" x14ac:dyDescent="0.2">
      <c r="A3024" t="s">
        <v>4961</v>
      </c>
      <c r="B3024" t="s">
        <v>57</v>
      </c>
      <c r="C3024" t="s">
        <v>76</v>
      </c>
      <c r="D3024" t="s">
        <v>77</v>
      </c>
      <c r="E3024" s="1" t="s">
        <v>89</v>
      </c>
      <c r="F3024" t="s">
        <v>90</v>
      </c>
      <c r="G3024">
        <v>35</v>
      </c>
      <c r="H3024">
        <v>11713398</v>
      </c>
      <c r="I3024">
        <v>559</v>
      </c>
      <c r="J3024">
        <v>3</v>
      </c>
      <c r="K3024">
        <v>68</v>
      </c>
      <c r="L3024">
        <v>-11712839</v>
      </c>
      <c r="M3024" s="1" t="s">
        <v>5036</v>
      </c>
      <c r="N3024" s="1" t="s">
        <v>5037</v>
      </c>
      <c r="O3024" s="1" t="s">
        <v>5038</v>
      </c>
      <c r="P3024">
        <v>1</v>
      </c>
      <c r="Q3024">
        <v>0</v>
      </c>
      <c r="R3024">
        <v>1</v>
      </c>
      <c r="S3024">
        <v>0</v>
      </c>
      <c r="T3024">
        <v>224.8741019</v>
      </c>
      <c r="U3024">
        <f t="shared" si="94"/>
        <v>1</v>
      </c>
      <c r="V3024">
        <f t="shared" si="95"/>
        <v>1</v>
      </c>
    </row>
    <row r="3025" spans="1:22" x14ac:dyDescent="0.2">
      <c r="A3025" t="s">
        <v>4961</v>
      </c>
      <c r="B3025" t="s">
        <v>57</v>
      </c>
      <c r="C3025" t="s">
        <v>76</v>
      </c>
      <c r="D3025" t="s">
        <v>77</v>
      </c>
      <c r="E3025" s="1" t="s">
        <v>82</v>
      </c>
      <c r="F3025" t="s">
        <v>83</v>
      </c>
      <c r="G3025">
        <v>10</v>
      </c>
      <c r="H3025">
        <v>21959515</v>
      </c>
      <c r="I3025">
        <v>0</v>
      </c>
      <c r="J3025">
        <v>79</v>
      </c>
      <c r="K3025">
        <v>65</v>
      </c>
      <c r="L3025">
        <v>-21959515</v>
      </c>
      <c r="M3025">
        <v>1</v>
      </c>
      <c r="N3025">
        <v>0</v>
      </c>
      <c r="O3025">
        <v>1.05458359143025E-3</v>
      </c>
      <c r="P3025">
        <v>0</v>
      </c>
      <c r="Q3025">
        <v>0</v>
      </c>
      <c r="R3025">
        <v>0</v>
      </c>
      <c r="S3025">
        <v>0</v>
      </c>
      <c r="T3025">
        <v>224.8741019</v>
      </c>
      <c r="U3025">
        <f t="shared" si="94"/>
        <v>0</v>
      </c>
      <c r="V3025">
        <f t="shared" si="95"/>
        <v>0</v>
      </c>
    </row>
    <row r="3026" spans="1:22" x14ac:dyDescent="0.2">
      <c r="A3026" t="s">
        <v>4961</v>
      </c>
      <c r="B3026" t="s">
        <v>57</v>
      </c>
      <c r="C3026" t="s">
        <v>76</v>
      </c>
      <c r="D3026" t="s">
        <v>77</v>
      </c>
      <c r="E3026" s="1" t="s">
        <v>155</v>
      </c>
      <c r="F3026" t="s">
        <v>156</v>
      </c>
      <c r="G3026" s="1" t="s">
        <v>155</v>
      </c>
      <c r="H3026">
        <v>11221587</v>
      </c>
      <c r="I3026">
        <v>919568</v>
      </c>
      <c r="J3026">
        <v>5</v>
      </c>
      <c r="K3026">
        <v>29</v>
      </c>
      <c r="L3026">
        <v>-10302019</v>
      </c>
      <c r="M3026" s="1" t="s">
        <v>5039</v>
      </c>
      <c r="N3026">
        <v>7.5739746342090103E-2</v>
      </c>
      <c r="O3026" s="1" t="s">
        <v>5040</v>
      </c>
      <c r="P3026">
        <v>1</v>
      </c>
      <c r="Q3026">
        <v>0</v>
      </c>
      <c r="R3026">
        <v>1</v>
      </c>
      <c r="S3026">
        <v>0</v>
      </c>
      <c r="T3026">
        <v>224.8741019</v>
      </c>
      <c r="U3026">
        <f t="shared" si="94"/>
        <v>1</v>
      </c>
      <c r="V3026">
        <f t="shared" si="95"/>
        <v>1</v>
      </c>
    </row>
    <row r="3027" spans="1:22" x14ac:dyDescent="0.2">
      <c r="A3027" t="s">
        <v>4961</v>
      </c>
      <c r="B3027" t="s">
        <v>57</v>
      </c>
      <c r="C3027" t="s">
        <v>76</v>
      </c>
      <c r="D3027" t="s">
        <v>77</v>
      </c>
      <c r="E3027" s="1" t="s">
        <v>89</v>
      </c>
      <c r="F3027" t="s">
        <v>90</v>
      </c>
      <c r="G3027">
        <v>31</v>
      </c>
      <c r="H3027">
        <v>26600599</v>
      </c>
      <c r="I3027">
        <v>2175183</v>
      </c>
      <c r="J3027">
        <v>80</v>
      </c>
      <c r="K3027">
        <v>19</v>
      </c>
      <c r="L3027">
        <v>-24425416</v>
      </c>
      <c r="M3027" s="1" t="s">
        <v>5041</v>
      </c>
      <c r="N3027">
        <v>7.5590751973308598E-2</v>
      </c>
      <c r="O3027">
        <v>1.3819279491270201E-3</v>
      </c>
      <c r="P3027">
        <v>0</v>
      </c>
      <c r="Q3027">
        <v>0</v>
      </c>
      <c r="R3027">
        <v>0</v>
      </c>
      <c r="S3027">
        <v>0</v>
      </c>
      <c r="T3027">
        <v>224.8741019</v>
      </c>
      <c r="U3027">
        <f t="shared" si="94"/>
        <v>0</v>
      </c>
      <c r="V3027">
        <f t="shared" si="95"/>
        <v>0</v>
      </c>
    </row>
    <row r="3028" spans="1:22" x14ac:dyDescent="0.2">
      <c r="A3028" t="s">
        <v>4961</v>
      </c>
      <c r="B3028" t="s">
        <v>57</v>
      </c>
      <c r="C3028" t="s">
        <v>76</v>
      </c>
      <c r="D3028" t="s">
        <v>77</v>
      </c>
      <c r="E3028" s="1" t="s">
        <v>138</v>
      </c>
      <c r="F3028" t="s">
        <v>139</v>
      </c>
      <c r="G3028">
        <v>24</v>
      </c>
      <c r="H3028">
        <v>10750764</v>
      </c>
      <c r="I3028">
        <v>9434650</v>
      </c>
      <c r="J3028">
        <v>25</v>
      </c>
      <c r="K3028">
        <v>31</v>
      </c>
      <c r="L3028">
        <v>-1316114</v>
      </c>
      <c r="M3028" s="1" t="s">
        <v>5042</v>
      </c>
      <c r="N3028" s="1" t="s">
        <v>5043</v>
      </c>
      <c r="O3028" s="1" t="s">
        <v>5044</v>
      </c>
      <c r="P3028">
        <v>0</v>
      </c>
      <c r="Q3028">
        <v>0</v>
      </c>
      <c r="R3028">
        <v>0</v>
      </c>
      <c r="S3028">
        <v>0</v>
      </c>
      <c r="T3028">
        <v>224.8741019</v>
      </c>
      <c r="U3028">
        <f t="shared" si="94"/>
        <v>0</v>
      </c>
      <c r="V3028">
        <f t="shared" si="95"/>
        <v>0</v>
      </c>
    </row>
    <row r="3029" spans="1:22" x14ac:dyDescent="0.2">
      <c r="A3029" t="s">
        <v>4961</v>
      </c>
      <c r="B3029" t="s">
        <v>57</v>
      </c>
      <c r="C3029" t="s">
        <v>76</v>
      </c>
      <c r="D3029" t="s">
        <v>77</v>
      </c>
      <c r="E3029">
        <v>11</v>
      </c>
      <c r="F3029" t="s">
        <v>127</v>
      </c>
      <c r="G3029">
        <v>59</v>
      </c>
      <c r="H3029">
        <v>15975143</v>
      </c>
      <c r="I3029">
        <v>29620</v>
      </c>
      <c r="J3029">
        <v>5</v>
      </c>
      <c r="K3029">
        <v>54</v>
      </c>
      <c r="L3029">
        <v>-15945523</v>
      </c>
      <c r="M3029" s="1" t="s">
        <v>5045</v>
      </c>
      <c r="N3029">
        <v>1.8506990700205899E-3</v>
      </c>
      <c r="O3029" s="1" t="s">
        <v>5046</v>
      </c>
      <c r="P3029">
        <v>1</v>
      </c>
      <c r="Q3029">
        <v>0</v>
      </c>
      <c r="R3029">
        <v>1</v>
      </c>
      <c r="S3029">
        <v>0</v>
      </c>
      <c r="T3029">
        <v>224.8741019</v>
      </c>
      <c r="U3029">
        <f t="shared" si="94"/>
        <v>1</v>
      </c>
      <c r="V3029">
        <f t="shared" si="95"/>
        <v>1</v>
      </c>
    </row>
    <row r="3030" spans="1:22" x14ac:dyDescent="0.2">
      <c r="A3030" t="s">
        <v>4961</v>
      </c>
      <c r="B3030" t="s">
        <v>57</v>
      </c>
      <c r="C3030" t="s">
        <v>76</v>
      </c>
      <c r="D3030" t="s">
        <v>77</v>
      </c>
      <c r="E3030">
        <v>15</v>
      </c>
      <c r="F3030" t="s">
        <v>88</v>
      </c>
      <c r="G3030">
        <v>80</v>
      </c>
      <c r="H3030">
        <v>5352227</v>
      </c>
      <c r="I3030">
        <v>0</v>
      </c>
      <c r="J3030">
        <v>8</v>
      </c>
      <c r="K3030">
        <v>42</v>
      </c>
      <c r="L3030">
        <v>-5352227</v>
      </c>
      <c r="M3030">
        <v>1</v>
      </c>
      <c r="N3030">
        <v>0</v>
      </c>
      <c r="O3030" s="1" t="s">
        <v>5047</v>
      </c>
      <c r="P3030">
        <v>0</v>
      </c>
      <c r="Q3030">
        <v>0</v>
      </c>
      <c r="R3030">
        <v>1</v>
      </c>
      <c r="S3030">
        <v>0</v>
      </c>
      <c r="T3030">
        <v>224.8741019</v>
      </c>
      <c r="U3030">
        <f t="shared" si="94"/>
        <v>0</v>
      </c>
      <c r="V3030">
        <f t="shared" si="95"/>
        <v>1</v>
      </c>
    </row>
    <row r="3031" spans="1:22" x14ac:dyDescent="0.2">
      <c r="A3031" t="s">
        <v>4961</v>
      </c>
      <c r="B3031" t="s">
        <v>57</v>
      </c>
      <c r="C3031" t="s">
        <v>76</v>
      </c>
      <c r="D3031" t="s">
        <v>77</v>
      </c>
      <c r="E3031" s="1" t="s">
        <v>155</v>
      </c>
      <c r="F3031" t="s">
        <v>156</v>
      </c>
      <c r="G3031" s="1" t="s">
        <v>82</v>
      </c>
      <c r="H3031">
        <v>5445142</v>
      </c>
      <c r="I3031">
        <v>0</v>
      </c>
      <c r="J3031">
        <v>16</v>
      </c>
      <c r="K3031">
        <v>59</v>
      </c>
      <c r="L3031">
        <v>-5445142</v>
      </c>
      <c r="M3031">
        <v>1</v>
      </c>
      <c r="N3031">
        <v>0</v>
      </c>
      <c r="O3031" s="1" t="s">
        <v>5048</v>
      </c>
      <c r="P3031">
        <v>0</v>
      </c>
      <c r="Q3031">
        <v>0</v>
      </c>
      <c r="R3031">
        <v>0</v>
      </c>
      <c r="S3031">
        <v>0</v>
      </c>
      <c r="T3031">
        <v>224.8741019</v>
      </c>
      <c r="U3031">
        <f t="shared" si="94"/>
        <v>0</v>
      </c>
      <c r="V3031">
        <f t="shared" si="95"/>
        <v>0</v>
      </c>
    </row>
    <row r="3032" spans="1:22" x14ac:dyDescent="0.2">
      <c r="A3032" t="s">
        <v>4961</v>
      </c>
      <c r="B3032" t="s">
        <v>57</v>
      </c>
      <c r="C3032" t="s">
        <v>76</v>
      </c>
      <c r="D3032" t="s">
        <v>77</v>
      </c>
      <c r="E3032">
        <v>15</v>
      </c>
      <c r="F3032" t="s">
        <v>88</v>
      </c>
      <c r="G3032">
        <v>81</v>
      </c>
      <c r="H3032">
        <v>1290857</v>
      </c>
      <c r="I3032">
        <v>807088</v>
      </c>
      <c r="J3032">
        <v>36</v>
      </c>
      <c r="K3032">
        <v>30</v>
      </c>
      <c r="L3032">
        <v>-483769</v>
      </c>
      <c r="M3032" s="1" t="s">
        <v>5049</v>
      </c>
      <c r="N3032" s="1" t="s">
        <v>5050</v>
      </c>
      <c r="O3032" s="1" t="s">
        <v>5051</v>
      </c>
      <c r="P3032">
        <v>0</v>
      </c>
      <c r="Q3032">
        <v>0</v>
      </c>
      <c r="R3032">
        <v>0</v>
      </c>
      <c r="S3032">
        <v>0</v>
      </c>
      <c r="T3032">
        <v>224.8741019</v>
      </c>
      <c r="U3032">
        <f t="shared" si="94"/>
        <v>0</v>
      </c>
      <c r="V3032">
        <f t="shared" si="95"/>
        <v>0</v>
      </c>
    </row>
    <row r="3033" spans="1:22" x14ac:dyDescent="0.2">
      <c r="A3033" t="s">
        <v>4961</v>
      </c>
      <c r="B3033" t="s">
        <v>57</v>
      </c>
      <c r="C3033" t="s">
        <v>76</v>
      </c>
      <c r="D3033" t="s">
        <v>77</v>
      </c>
      <c r="E3033">
        <v>10</v>
      </c>
      <c r="F3033" t="s">
        <v>119</v>
      </c>
      <c r="G3033">
        <v>49</v>
      </c>
      <c r="H3033">
        <v>9948436</v>
      </c>
      <c r="I3033">
        <v>89473</v>
      </c>
      <c r="J3033">
        <v>14</v>
      </c>
      <c r="K3033">
        <v>55</v>
      </c>
      <c r="L3033">
        <v>-9858963</v>
      </c>
      <c r="M3033">
        <v>0.99108649022420903</v>
      </c>
      <c r="N3033">
        <v>8.9135097757909506E-3</v>
      </c>
      <c r="O3033" s="1" t="s">
        <v>5052</v>
      </c>
      <c r="P3033">
        <v>0</v>
      </c>
      <c r="Q3033">
        <v>0</v>
      </c>
      <c r="R3033">
        <v>0</v>
      </c>
      <c r="S3033">
        <v>0</v>
      </c>
      <c r="T3033">
        <v>224.8741019</v>
      </c>
      <c r="U3033">
        <f t="shared" si="94"/>
        <v>0</v>
      </c>
      <c r="V3033">
        <f t="shared" si="95"/>
        <v>0</v>
      </c>
    </row>
    <row r="3034" spans="1:22" x14ac:dyDescent="0.2">
      <c r="A3034" t="s">
        <v>4961</v>
      </c>
      <c r="B3034" t="s">
        <v>57</v>
      </c>
      <c r="C3034" t="s">
        <v>76</v>
      </c>
      <c r="D3034" t="s">
        <v>77</v>
      </c>
      <c r="E3034">
        <v>11</v>
      </c>
      <c r="F3034" t="s">
        <v>127</v>
      </c>
      <c r="G3034">
        <v>51</v>
      </c>
      <c r="H3034">
        <v>832246</v>
      </c>
      <c r="I3034">
        <v>3828736</v>
      </c>
      <c r="J3034">
        <v>13</v>
      </c>
      <c r="K3034">
        <v>10</v>
      </c>
      <c r="L3034">
        <v>2996490</v>
      </c>
      <c r="M3034" s="1" t="s">
        <v>5053</v>
      </c>
      <c r="N3034" s="1" t="s">
        <v>5054</v>
      </c>
      <c r="O3034" s="1" t="s">
        <v>5055</v>
      </c>
      <c r="P3034">
        <v>0</v>
      </c>
      <c r="Q3034">
        <v>0</v>
      </c>
      <c r="R3034">
        <v>0</v>
      </c>
      <c r="S3034">
        <v>1</v>
      </c>
      <c r="T3034">
        <v>224.8741019</v>
      </c>
      <c r="U3034">
        <f t="shared" si="94"/>
        <v>0</v>
      </c>
      <c r="V3034">
        <f t="shared" si="95"/>
        <v>1</v>
      </c>
    </row>
    <row r="3035" spans="1:22" x14ac:dyDescent="0.2">
      <c r="A3035" t="s">
        <v>4961</v>
      </c>
      <c r="B3035" t="s">
        <v>57</v>
      </c>
      <c r="C3035" t="s">
        <v>76</v>
      </c>
      <c r="D3035" t="s">
        <v>77</v>
      </c>
      <c r="E3035" s="1" t="s">
        <v>155</v>
      </c>
      <c r="F3035" t="s">
        <v>156</v>
      </c>
      <c r="G3035" s="1" t="s">
        <v>110</v>
      </c>
      <c r="H3035">
        <v>3642595</v>
      </c>
      <c r="I3035">
        <v>42472</v>
      </c>
      <c r="J3035">
        <v>54</v>
      </c>
      <c r="K3035">
        <v>54</v>
      </c>
      <c r="L3035">
        <v>-3600123</v>
      </c>
      <c r="M3035" s="1" t="s">
        <v>5056</v>
      </c>
      <c r="N3035">
        <v>1.15254349513862E-2</v>
      </c>
      <c r="O3035" s="1" t="s">
        <v>5057</v>
      </c>
      <c r="P3035">
        <v>0</v>
      </c>
      <c r="Q3035">
        <v>0</v>
      </c>
      <c r="R3035">
        <v>0</v>
      </c>
      <c r="S3035">
        <v>0</v>
      </c>
      <c r="T3035">
        <v>224.8741019</v>
      </c>
      <c r="U3035">
        <f t="shared" si="94"/>
        <v>0</v>
      </c>
      <c r="V3035">
        <f t="shared" si="95"/>
        <v>0</v>
      </c>
    </row>
    <row r="3036" spans="1:22" x14ac:dyDescent="0.2">
      <c r="A3036" t="s">
        <v>4961</v>
      </c>
      <c r="B3036" t="s">
        <v>57</v>
      </c>
      <c r="C3036" t="s">
        <v>76</v>
      </c>
      <c r="D3036" t="s">
        <v>77</v>
      </c>
      <c r="E3036">
        <v>11</v>
      </c>
      <c r="F3036" t="s">
        <v>127</v>
      </c>
      <c r="G3036">
        <v>60</v>
      </c>
      <c r="H3036">
        <v>1119033</v>
      </c>
      <c r="I3036">
        <v>212053552</v>
      </c>
      <c r="J3036">
        <v>7</v>
      </c>
      <c r="K3036">
        <v>4</v>
      </c>
      <c r="L3036">
        <v>210934519</v>
      </c>
      <c r="M3036">
        <v>5.2494226684918202E-3</v>
      </c>
      <c r="N3036" s="1" t="s">
        <v>5058</v>
      </c>
      <c r="O3036">
        <v>1.02373986986403E-2</v>
      </c>
      <c r="P3036">
        <v>0</v>
      </c>
      <c r="Q3036">
        <v>1</v>
      </c>
      <c r="R3036">
        <v>1</v>
      </c>
      <c r="S3036">
        <v>1</v>
      </c>
      <c r="T3036">
        <v>224.8741019</v>
      </c>
      <c r="U3036">
        <f t="shared" si="94"/>
        <v>1</v>
      </c>
      <c r="V3036">
        <f t="shared" si="95"/>
        <v>1</v>
      </c>
    </row>
    <row r="3037" spans="1:22" x14ac:dyDescent="0.2">
      <c r="A3037" t="s">
        <v>4961</v>
      </c>
      <c r="B3037" t="s">
        <v>57</v>
      </c>
      <c r="C3037" t="s">
        <v>76</v>
      </c>
      <c r="D3037" t="s">
        <v>77</v>
      </c>
      <c r="E3037">
        <v>11</v>
      </c>
      <c r="F3037" t="s">
        <v>127</v>
      </c>
      <c r="G3037">
        <v>63</v>
      </c>
      <c r="H3037">
        <v>4158288</v>
      </c>
      <c r="I3037">
        <v>121606225</v>
      </c>
      <c r="J3037">
        <v>16</v>
      </c>
      <c r="K3037">
        <v>7</v>
      </c>
      <c r="L3037">
        <v>117447937</v>
      </c>
      <c r="M3037">
        <v>3.3064080644116201E-2</v>
      </c>
      <c r="N3037" s="1" t="s">
        <v>5059</v>
      </c>
      <c r="O3037">
        <v>6.03971407355843E-3</v>
      </c>
      <c r="P3037">
        <v>0</v>
      </c>
      <c r="Q3037">
        <v>0</v>
      </c>
      <c r="R3037">
        <v>0</v>
      </c>
      <c r="S3037">
        <v>1</v>
      </c>
      <c r="T3037">
        <v>224.8741019</v>
      </c>
      <c r="U3037">
        <f t="shared" si="94"/>
        <v>0</v>
      </c>
      <c r="V3037">
        <f t="shared" si="95"/>
        <v>1</v>
      </c>
    </row>
    <row r="3038" spans="1:22" x14ac:dyDescent="0.2">
      <c r="A3038" t="s">
        <v>4961</v>
      </c>
      <c r="B3038" t="s">
        <v>57</v>
      </c>
      <c r="C3038" t="s">
        <v>76</v>
      </c>
      <c r="D3038" t="s">
        <v>77</v>
      </c>
      <c r="E3038" s="1" t="s">
        <v>82</v>
      </c>
      <c r="F3038" t="s">
        <v>83</v>
      </c>
      <c r="G3038" s="1" t="s">
        <v>93</v>
      </c>
      <c r="H3038">
        <v>6446259</v>
      </c>
      <c r="I3038">
        <v>7043847</v>
      </c>
      <c r="J3038">
        <v>16</v>
      </c>
      <c r="K3038">
        <v>40</v>
      </c>
      <c r="L3038">
        <v>597588</v>
      </c>
      <c r="M3038" s="1" t="s">
        <v>5060</v>
      </c>
      <c r="N3038" s="1" t="s">
        <v>5061</v>
      </c>
      <c r="O3038" s="1" t="s">
        <v>5062</v>
      </c>
      <c r="P3038">
        <v>0</v>
      </c>
      <c r="Q3038">
        <v>0</v>
      </c>
      <c r="R3038">
        <v>0</v>
      </c>
      <c r="S3038">
        <v>0</v>
      </c>
      <c r="T3038">
        <v>224.8741019</v>
      </c>
      <c r="U3038">
        <f t="shared" si="94"/>
        <v>0</v>
      </c>
      <c r="V3038">
        <f t="shared" si="95"/>
        <v>0</v>
      </c>
    </row>
    <row r="3039" spans="1:22" x14ac:dyDescent="0.2">
      <c r="A3039" t="s">
        <v>4961</v>
      </c>
      <c r="B3039" t="s">
        <v>57</v>
      </c>
      <c r="C3039" t="s">
        <v>76</v>
      </c>
      <c r="D3039" t="s">
        <v>77</v>
      </c>
      <c r="E3039">
        <v>12</v>
      </c>
      <c r="F3039" t="s">
        <v>194</v>
      </c>
      <c r="G3039">
        <v>64</v>
      </c>
      <c r="H3039">
        <v>1566684</v>
      </c>
      <c r="I3039">
        <v>6269101</v>
      </c>
      <c r="J3039">
        <v>22</v>
      </c>
      <c r="K3039">
        <v>40</v>
      </c>
      <c r="L3039">
        <v>4702417</v>
      </c>
      <c r="M3039" s="1" t="s">
        <v>5063</v>
      </c>
      <c r="N3039" s="1" t="s">
        <v>5064</v>
      </c>
      <c r="O3039" s="1" t="s">
        <v>5065</v>
      </c>
      <c r="P3039">
        <v>0</v>
      </c>
      <c r="Q3039">
        <v>0</v>
      </c>
      <c r="R3039">
        <v>0</v>
      </c>
      <c r="S3039">
        <v>0</v>
      </c>
      <c r="T3039">
        <v>224.8741019</v>
      </c>
      <c r="U3039">
        <f t="shared" si="94"/>
        <v>0</v>
      </c>
      <c r="V3039">
        <f t="shared" si="95"/>
        <v>0</v>
      </c>
    </row>
    <row r="3040" spans="1:22" x14ac:dyDescent="0.2">
      <c r="A3040" t="s">
        <v>4961</v>
      </c>
      <c r="B3040" t="s">
        <v>57</v>
      </c>
      <c r="C3040" t="s">
        <v>76</v>
      </c>
      <c r="D3040" t="s">
        <v>77</v>
      </c>
      <c r="E3040">
        <v>11</v>
      </c>
      <c r="F3040" t="s">
        <v>127</v>
      </c>
      <c r="G3040">
        <v>54</v>
      </c>
      <c r="H3040">
        <v>2132565</v>
      </c>
      <c r="I3040">
        <v>356703</v>
      </c>
      <c r="J3040">
        <v>20</v>
      </c>
      <c r="K3040">
        <v>51</v>
      </c>
      <c r="L3040">
        <v>-1775862</v>
      </c>
      <c r="M3040" s="1" t="s">
        <v>5066</v>
      </c>
      <c r="N3040" s="1" t="s">
        <v>5067</v>
      </c>
      <c r="O3040" s="1" t="s">
        <v>5068</v>
      </c>
      <c r="P3040">
        <v>0</v>
      </c>
      <c r="Q3040">
        <v>0</v>
      </c>
      <c r="R3040">
        <v>0</v>
      </c>
      <c r="S3040">
        <v>0</v>
      </c>
      <c r="T3040">
        <v>224.8741019</v>
      </c>
      <c r="U3040">
        <f t="shared" si="94"/>
        <v>0</v>
      </c>
      <c r="V3040">
        <f t="shared" si="95"/>
        <v>0</v>
      </c>
    </row>
    <row r="3041" spans="1:22" x14ac:dyDescent="0.2">
      <c r="A3041" t="s">
        <v>4961</v>
      </c>
      <c r="B3041" t="s">
        <v>57</v>
      </c>
      <c r="C3041" t="s">
        <v>76</v>
      </c>
      <c r="D3041" t="s">
        <v>77</v>
      </c>
      <c r="E3041" s="1" t="s">
        <v>138</v>
      </c>
      <c r="F3041" t="s">
        <v>139</v>
      </c>
      <c r="G3041">
        <v>16</v>
      </c>
      <c r="H3041">
        <v>7869549</v>
      </c>
      <c r="I3041">
        <v>0</v>
      </c>
      <c r="J3041">
        <v>15</v>
      </c>
      <c r="K3041">
        <v>73</v>
      </c>
      <c r="L3041">
        <v>-7869549</v>
      </c>
      <c r="M3041">
        <v>1</v>
      </c>
      <c r="N3041">
        <v>0</v>
      </c>
      <c r="O3041" s="1" t="s">
        <v>5069</v>
      </c>
      <c r="P3041">
        <v>0</v>
      </c>
      <c r="Q3041">
        <v>0</v>
      </c>
      <c r="R3041">
        <v>0</v>
      </c>
      <c r="S3041">
        <v>0</v>
      </c>
      <c r="T3041">
        <v>224.8741019</v>
      </c>
      <c r="U3041">
        <f t="shared" si="94"/>
        <v>0</v>
      </c>
      <c r="V3041">
        <f t="shared" si="95"/>
        <v>0</v>
      </c>
    </row>
    <row r="3042" spans="1:22" x14ac:dyDescent="0.2">
      <c r="A3042" t="s">
        <v>4961</v>
      </c>
      <c r="B3042" t="s">
        <v>57</v>
      </c>
      <c r="C3042" t="s">
        <v>76</v>
      </c>
      <c r="D3042" t="s">
        <v>77</v>
      </c>
      <c r="E3042">
        <v>11</v>
      </c>
      <c r="F3042" t="s">
        <v>127</v>
      </c>
      <c r="G3042">
        <v>58</v>
      </c>
      <c r="H3042">
        <v>207174</v>
      </c>
      <c r="I3042">
        <v>10394898</v>
      </c>
      <c r="J3042">
        <v>9</v>
      </c>
      <c r="K3042">
        <v>8</v>
      </c>
      <c r="L3042">
        <v>10187724</v>
      </c>
      <c r="M3042" s="1" t="s">
        <v>5070</v>
      </c>
      <c r="N3042" s="1" t="s">
        <v>5071</v>
      </c>
      <c r="O3042" s="1" t="s">
        <v>5072</v>
      </c>
      <c r="P3042">
        <v>0</v>
      </c>
      <c r="Q3042">
        <v>0</v>
      </c>
      <c r="R3042">
        <v>1</v>
      </c>
      <c r="S3042">
        <v>1</v>
      </c>
      <c r="T3042">
        <v>224.8741019</v>
      </c>
      <c r="U3042">
        <f t="shared" si="94"/>
        <v>0</v>
      </c>
      <c r="V3042">
        <f t="shared" si="95"/>
        <v>1</v>
      </c>
    </row>
    <row r="3043" spans="1:22" x14ac:dyDescent="0.2">
      <c r="A3043" t="s">
        <v>4961</v>
      </c>
      <c r="B3043" t="s">
        <v>57</v>
      </c>
      <c r="C3043" t="s">
        <v>76</v>
      </c>
      <c r="D3043" t="s">
        <v>77</v>
      </c>
      <c r="E3043" s="1" t="s">
        <v>89</v>
      </c>
      <c r="F3043" t="s">
        <v>90</v>
      </c>
      <c r="G3043">
        <v>37</v>
      </c>
      <c r="H3043">
        <v>690756</v>
      </c>
      <c r="I3043">
        <v>9947</v>
      </c>
      <c r="J3043">
        <v>3</v>
      </c>
      <c r="K3043">
        <v>38</v>
      </c>
      <c r="L3043">
        <v>-680809</v>
      </c>
      <c r="M3043" s="1" t="s">
        <v>5073</v>
      </c>
      <c r="N3043" s="1" t="s">
        <v>5074</v>
      </c>
      <c r="O3043" s="1" t="s">
        <v>5075</v>
      </c>
      <c r="P3043">
        <v>1</v>
      </c>
      <c r="Q3043">
        <v>0</v>
      </c>
      <c r="R3043">
        <v>1</v>
      </c>
      <c r="S3043">
        <v>0</v>
      </c>
      <c r="T3043">
        <v>224.8741019</v>
      </c>
      <c r="U3043">
        <f t="shared" si="94"/>
        <v>1</v>
      </c>
      <c r="V3043">
        <f t="shared" si="95"/>
        <v>1</v>
      </c>
    </row>
    <row r="3044" spans="1:22" x14ac:dyDescent="0.2">
      <c r="A3044" t="s">
        <v>4961</v>
      </c>
      <c r="B3044" t="s">
        <v>57</v>
      </c>
      <c r="C3044" t="s">
        <v>76</v>
      </c>
      <c r="D3044" t="s">
        <v>77</v>
      </c>
      <c r="E3044">
        <v>20</v>
      </c>
      <c r="F3044" t="s">
        <v>104</v>
      </c>
      <c r="G3044">
        <v>95</v>
      </c>
      <c r="H3044">
        <v>2177615</v>
      </c>
      <c r="I3044">
        <v>1144253</v>
      </c>
      <c r="J3044">
        <v>27</v>
      </c>
      <c r="K3044">
        <v>48</v>
      </c>
      <c r="L3044">
        <v>-1033362</v>
      </c>
      <c r="M3044" s="1" t="s">
        <v>5076</v>
      </c>
      <c r="N3044" s="1" t="s">
        <v>5077</v>
      </c>
      <c r="O3044" s="1" t="s">
        <v>5078</v>
      </c>
      <c r="P3044">
        <v>0</v>
      </c>
      <c r="Q3044">
        <v>0</v>
      </c>
      <c r="R3044">
        <v>0</v>
      </c>
      <c r="S3044">
        <v>0</v>
      </c>
      <c r="T3044">
        <v>224.8741019</v>
      </c>
      <c r="U3044">
        <f t="shared" si="94"/>
        <v>0</v>
      </c>
      <c r="V3044">
        <f t="shared" si="95"/>
        <v>0</v>
      </c>
    </row>
    <row r="3045" spans="1:22" x14ac:dyDescent="0.2">
      <c r="A3045" t="s">
        <v>4961</v>
      </c>
      <c r="B3045" t="s">
        <v>57</v>
      </c>
      <c r="C3045" t="s">
        <v>76</v>
      </c>
      <c r="D3045" t="s">
        <v>77</v>
      </c>
      <c r="E3045">
        <v>17</v>
      </c>
      <c r="F3045" t="s">
        <v>97</v>
      </c>
      <c r="G3045">
        <v>88</v>
      </c>
      <c r="H3045">
        <v>1229691</v>
      </c>
      <c r="I3045">
        <v>30884214</v>
      </c>
      <c r="J3045">
        <v>68</v>
      </c>
      <c r="K3045">
        <v>23</v>
      </c>
      <c r="L3045">
        <v>29654523</v>
      </c>
      <c r="M3045">
        <v>3.8291543803221598E-2</v>
      </c>
      <c r="N3045" s="1" t="s">
        <v>5079</v>
      </c>
      <c r="O3045">
        <v>1.54223794422372E-3</v>
      </c>
      <c r="P3045">
        <v>0</v>
      </c>
      <c r="Q3045">
        <v>0</v>
      </c>
      <c r="R3045">
        <v>0</v>
      </c>
      <c r="S3045">
        <v>0</v>
      </c>
      <c r="T3045">
        <v>224.8741019</v>
      </c>
      <c r="U3045">
        <f t="shared" si="94"/>
        <v>0</v>
      </c>
      <c r="V3045">
        <f t="shared" si="95"/>
        <v>0</v>
      </c>
    </row>
    <row r="3046" spans="1:22" x14ac:dyDescent="0.2">
      <c r="A3046" t="s">
        <v>4961</v>
      </c>
      <c r="B3046" t="s">
        <v>57</v>
      </c>
      <c r="C3046" t="s">
        <v>76</v>
      </c>
      <c r="D3046" t="s">
        <v>77</v>
      </c>
      <c r="E3046">
        <v>15</v>
      </c>
      <c r="F3046" t="s">
        <v>88</v>
      </c>
      <c r="G3046">
        <v>75</v>
      </c>
      <c r="H3046">
        <v>701148</v>
      </c>
      <c r="I3046">
        <v>0</v>
      </c>
      <c r="J3046">
        <v>43</v>
      </c>
      <c r="K3046">
        <v>52</v>
      </c>
      <c r="L3046">
        <v>-701148</v>
      </c>
      <c r="M3046">
        <v>1</v>
      </c>
      <c r="N3046">
        <v>0</v>
      </c>
      <c r="O3046" s="1" t="s">
        <v>5080</v>
      </c>
      <c r="P3046">
        <v>0</v>
      </c>
      <c r="Q3046">
        <v>0</v>
      </c>
      <c r="R3046">
        <v>0</v>
      </c>
      <c r="S3046">
        <v>0</v>
      </c>
      <c r="T3046">
        <v>224.8741019</v>
      </c>
      <c r="U3046">
        <f t="shared" si="94"/>
        <v>0</v>
      </c>
      <c r="V3046">
        <f t="shared" si="95"/>
        <v>0</v>
      </c>
    </row>
    <row r="3047" spans="1:22" x14ac:dyDescent="0.2">
      <c r="A3047" t="s">
        <v>4961</v>
      </c>
      <c r="B3047" t="s">
        <v>57</v>
      </c>
      <c r="C3047" t="s">
        <v>76</v>
      </c>
      <c r="D3047" t="s">
        <v>77</v>
      </c>
      <c r="E3047">
        <v>11</v>
      </c>
      <c r="F3047" t="s">
        <v>127</v>
      </c>
      <c r="G3047">
        <v>53</v>
      </c>
      <c r="H3047">
        <v>1617976</v>
      </c>
      <c r="I3047">
        <v>942184</v>
      </c>
      <c r="J3047">
        <v>13</v>
      </c>
      <c r="K3047">
        <v>13</v>
      </c>
      <c r="L3047">
        <v>-675792</v>
      </c>
      <c r="M3047" s="1" t="s">
        <v>5081</v>
      </c>
      <c r="N3047" s="1" t="s">
        <v>5082</v>
      </c>
      <c r="O3047" s="1" t="s">
        <v>5083</v>
      </c>
      <c r="P3047">
        <v>0</v>
      </c>
      <c r="Q3047">
        <v>0</v>
      </c>
      <c r="R3047">
        <v>0</v>
      </c>
      <c r="S3047">
        <v>0</v>
      </c>
      <c r="T3047">
        <v>224.8741019</v>
      </c>
      <c r="U3047">
        <f t="shared" si="94"/>
        <v>0</v>
      </c>
      <c r="V3047">
        <f t="shared" si="95"/>
        <v>0</v>
      </c>
    </row>
    <row r="3048" spans="1:22" x14ac:dyDescent="0.2">
      <c r="A3048" t="s">
        <v>4961</v>
      </c>
      <c r="B3048" t="s">
        <v>57</v>
      </c>
      <c r="C3048" t="s">
        <v>76</v>
      </c>
      <c r="D3048" t="s">
        <v>77</v>
      </c>
      <c r="E3048">
        <v>11</v>
      </c>
      <c r="F3048" t="s">
        <v>127</v>
      </c>
      <c r="G3048">
        <v>62</v>
      </c>
      <c r="H3048">
        <v>971627</v>
      </c>
      <c r="I3048">
        <v>52569327</v>
      </c>
      <c r="J3048">
        <v>40</v>
      </c>
      <c r="K3048">
        <v>21</v>
      </c>
      <c r="L3048">
        <v>51597700</v>
      </c>
      <c r="M3048" s="1" t="s">
        <v>5084</v>
      </c>
      <c r="N3048" s="1" t="s">
        <v>5085</v>
      </c>
      <c r="O3048">
        <v>2.57125039227516E-3</v>
      </c>
      <c r="P3048">
        <v>0</v>
      </c>
      <c r="Q3048">
        <v>0</v>
      </c>
      <c r="R3048">
        <v>0</v>
      </c>
      <c r="S3048">
        <v>0</v>
      </c>
      <c r="T3048">
        <v>224.8741019</v>
      </c>
      <c r="U3048">
        <f t="shared" si="94"/>
        <v>0</v>
      </c>
      <c r="V3048">
        <f t="shared" si="95"/>
        <v>0</v>
      </c>
    </row>
    <row r="3049" spans="1:22" x14ac:dyDescent="0.2">
      <c r="A3049" t="s">
        <v>4961</v>
      </c>
      <c r="B3049" t="s">
        <v>57</v>
      </c>
      <c r="C3049" t="s">
        <v>76</v>
      </c>
      <c r="D3049" t="s">
        <v>77</v>
      </c>
      <c r="E3049">
        <v>12</v>
      </c>
      <c r="F3049" t="s">
        <v>194</v>
      </c>
      <c r="G3049">
        <v>65</v>
      </c>
      <c r="H3049">
        <v>311743</v>
      </c>
      <c r="I3049">
        <v>9136460</v>
      </c>
      <c r="J3049">
        <v>11</v>
      </c>
      <c r="K3049">
        <v>9</v>
      </c>
      <c r="L3049">
        <v>8824717</v>
      </c>
      <c r="M3049" s="1" t="s">
        <v>5086</v>
      </c>
      <c r="N3049" s="1" t="s">
        <v>5087</v>
      </c>
      <c r="O3049" s="1" t="s">
        <v>5088</v>
      </c>
      <c r="P3049">
        <v>0</v>
      </c>
      <c r="Q3049">
        <v>0</v>
      </c>
      <c r="R3049">
        <v>0</v>
      </c>
      <c r="S3049">
        <v>1</v>
      </c>
      <c r="T3049">
        <v>224.8741019</v>
      </c>
      <c r="U3049">
        <f t="shared" si="94"/>
        <v>0</v>
      </c>
      <c r="V3049">
        <f t="shared" si="95"/>
        <v>1</v>
      </c>
    </row>
    <row r="3050" spans="1:22" x14ac:dyDescent="0.2">
      <c r="A3050" t="s">
        <v>4961</v>
      </c>
      <c r="B3050" t="s">
        <v>57</v>
      </c>
      <c r="C3050" t="s">
        <v>76</v>
      </c>
      <c r="D3050" t="s">
        <v>77</v>
      </c>
      <c r="E3050" s="1" t="s">
        <v>82</v>
      </c>
      <c r="F3050" t="s">
        <v>83</v>
      </c>
      <c r="G3050" s="1" t="s">
        <v>89</v>
      </c>
      <c r="H3050">
        <v>287591</v>
      </c>
      <c r="I3050">
        <v>680401</v>
      </c>
      <c r="J3050">
        <v>10</v>
      </c>
      <c r="K3050">
        <v>37</v>
      </c>
      <c r="L3050">
        <v>392810</v>
      </c>
      <c r="M3050" s="1" t="s">
        <v>5089</v>
      </c>
      <c r="N3050" s="1" t="s">
        <v>5090</v>
      </c>
      <c r="O3050" s="1" t="s">
        <v>5091</v>
      </c>
      <c r="P3050">
        <v>0</v>
      </c>
      <c r="Q3050">
        <v>0</v>
      </c>
      <c r="R3050">
        <v>1</v>
      </c>
      <c r="S3050">
        <v>0</v>
      </c>
      <c r="T3050">
        <v>224.8741019</v>
      </c>
      <c r="U3050">
        <f t="shared" si="94"/>
        <v>0</v>
      </c>
      <c r="V3050">
        <f t="shared" si="95"/>
        <v>1</v>
      </c>
    </row>
    <row r="3051" spans="1:22" x14ac:dyDescent="0.2">
      <c r="A3051" t="s">
        <v>4961</v>
      </c>
      <c r="B3051" t="s">
        <v>57</v>
      </c>
      <c r="C3051" t="s">
        <v>76</v>
      </c>
      <c r="D3051" t="s">
        <v>77</v>
      </c>
      <c r="E3051" s="1" t="s">
        <v>82</v>
      </c>
      <c r="F3051" t="s">
        <v>83</v>
      </c>
      <c r="G3051" s="1" t="s">
        <v>163</v>
      </c>
      <c r="H3051">
        <v>1100261</v>
      </c>
      <c r="I3051">
        <v>474751899</v>
      </c>
      <c r="J3051">
        <v>24</v>
      </c>
      <c r="K3051">
        <v>12</v>
      </c>
      <c r="L3051">
        <v>473651638</v>
      </c>
      <c r="M3051">
        <v>2.3121908283446598E-3</v>
      </c>
      <c r="N3051" s="1" t="s">
        <v>5092</v>
      </c>
      <c r="O3051" s="1" t="s">
        <v>5093</v>
      </c>
      <c r="P3051">
        <v>0</v>
      </c>
      <c r="Q3051">
        <v>0</v>
      </c>
      <c r="R3051">
        <v>0</v>
      </c>
      <c r="S3051">
        <v>0</v>
      </c>
      <c r="T3051">
        <v>224.8741019</v>
      </c>
      <c r="U3051">
        <f t="shared" si="94"/>
        <v>0</v>
      </c>
      <c r="V3051">
        <f t="shared" si="95"/>
        <v>0</v>
      </c>
    </row>
    <row r="3052" spans="1:22" x14ac:dyDescent="0.2">
      <c r="A3052" t="s">
        <v>4961</v>
      </c>
      <c r="B3052" t="s">
        <v>57</v>
      </c>
      <c r="C3052" t="s">
        <v>76</v>
      </c>
      <c r="D3052" t="s">
        <v>77</v>
      </c>
      <c r="E3052">
        <v>18</v>
      </c>
      <c r="F3052" t="s">
        <v>147</v>
      </c>
      <c r="G3052">
        <v>91</v>
      </c>
      <c r="H3052">
        <v>355571</v>
      </c>
      <c r="I3052">
        <v>545</v>
      </c>
      <c r="J3052">
        <v>15</v>
      </c>
      <c r="K3052">
        <v>60</v>
      </c>
      <c r="L3052">
        <v>-355026</v>
      </c>
      <c r="M3052" s="1" t="s">
        <v>5094</v>
      </c>
      <c r="N3052">
        <v>1.53040020667422E-3</v>
      </c>
      <c r="O3052" s="1" t="s">
        <v>5095</v>
      </c>
      <c r="P3052">
        <v>0</v>
      </c>
      <c r="Q3052">
        <v>0</v>
      </c>
      <c r="R3052">
        <v>0</v>
      </c>
      <c r="S3052">
        <v>0</v>
      </c>
      <c r="T3052">
        <v>224.8741019</v>
      </c>
      <c r="U3052">
        <f t="shared" si="94"/>
        <v>0</v>
      </c>
      <c r="V3052">
        <f t="shared" si="95"/>
        <v>0</v>
      </c>
    </row>
    <row r="3053" spans="1:22" x14ac:dyDescent="0.2">
      <c r="A3053" t="s">
        <v>4961</v>
      </c>
      <c r="B3053" t="s">
        <v>57</v>
      </c>
      <c r="C3053" t="s">
        <v>76</v>
      </c>
      <c r="D3053" t="s">
        <v>77</v>
      </c>
      <c r="E3053">
        <v>11</v>
      </c>
      <c r="F3053" t="s">
        <v>127</v>
      </c>
      <c r="G3053">
        <v>52</v>
      </c>
      <c r="H3053">
        <v>165114</v>
      </c>
      <c r="I3053">
        <v>985603901</v>
      </c>
      <c r="J3053">
        <v>28</v>
      </c>
      <c r="K3053">
        <v>1</v>
      </c>
      <c r="L3053">
        <v>985438787</v>
      </c>
      <c r="M3053" s="1" t="s">
        <v>5096</v>
      </c>
      <c r="N3053" s="1" t="s">
        <v>5097</v>
      </c>
      <c r="O3053">
        <v>4.7340564131738198E-2</v>
      </c>
      <c r="P3053">
        <v>0</v>
      </c>
      <c r="Q3053">
        <v>1</v>
      </c>
      <c r="R3053">
        <v>0</v>
      </c>
      <c r="S3053">
        <v>1</v>
      </c>
      <c r="T3053">
        <v>224.8741019</v>
      </c>
      <c r="U3053">
        <f t="shared" si="94"/>
        <v>1</v>
      </c>
      <c r="V3053">
        <f t="shared" si="95"/>
        <v>1</v>
      </c>
    </row>
    <row r="3054" spans="1:22" x14ac:dyDescent="0.2">
      <c r="A3054" t="s">
        <v>4961</v>
      </c>
      <c r="B3054" t="s">
        <v>57</v>
      </c>
      <c r="C3054" t="s">
        <v>76</v>
      </c>
      <c r="D3054" t="s">
        <v>77</v>
      </c>
      <c r="E3054" s="1" t="s">
        <v>85</v>
      </c>
      <c r="F3054" t="s">
        <v>86</v>
      </c>
      <c r="G3054">
        <v>26</v>
      </c>
      <c r="H3054">
        <v>21656159</v>
      </c>
      <c r="I3054">
        <v>362576</v>
      </c>
      <c r="J3054">
        <v>27</v>
      </c>
      <c r="K3054">
        <v>37</v>
      </c>
      <c r="L3054">
        <v>-21293583</v>
      </c>
      <c r="M3054" s="1" t="s">
        <v>5098</v>
      </c>
      <c r="N3054" s="1" t="s">
        <v>5099</v>
      </c>
      <c r="O3054">
        <v>1.0574275722870501E-3</v>
      </c>
      <c r="P3054">
        <v>0</v>
      </c>
      <c r="Q3054">
        <v>0</v>
      </c>
      <c r="R3054">
        <v>0</v>
      </c>
      <c r="S3054">
        <v>0</v>
      </c>
      <c r="T3054">
        <v>224.8741019</v>
      </c>
      <c r="U3054">
        <f t="shared" si="94"/>
        <v>0</v>
      </c>
      <c r="V3054">
        <f t="shared" si="95"/>
        <v>0</v>
      </c>
    </row>
    <row r="3055" spans="1:22" x14ac:dyDescent="0.2">
      <c r="A3055" t="s">
        <v>4961</v>
      </c>
      <c r="B3055" t="s">
        <v>57</v>
      </c>
      <c r="C3055" t="s">
        <v>76</v>
      </c>
      <c r="D3055" t="s">
        <v>77</v>
      </c>
      <c r="E3055" s="1" t="s">
        <v>82</v>
      </c>
      <c r="F3055" t="s">
        <v>83</v>
      </c>
      <c r="G3055">
        <v>13</v>
      </c>
      <c r="H3055">
        <v>1457959</v>
      </c>
      <c r="I3055">
        <v>0</v>
      </c>
      <c r="J3055">
        <v>7</v>
      </c>
      <c r="K3055">
        <v>59</v>
      </c>
      <c r="L3055">
        <v>-1457959</v>
      </c>
      <c r="M3055">
        <v>1</v>
      </c>
      <c r="N3055">
        <v>0</v>
      </c>
      <c r="O3055" s="1" t="s">
        <v>5100</v>
      </c>
      <c r="P3055">
        <v>0</v>
      </c>
      <c r="Q3055">
        <v>0</v>
      </c>
      <c r="R3055">
        <v>1</v>
      </c>
      <c r="S3055">
        <v>0</v>
      </c>
      <c r="T3055">
        <v>224.8741019</v>
      </c>
      <c r="U3055">
        <f t="shared" si="94"/>
        <v>0</v>
      </c>
      <c r="V3055">
        <f t="shared" si="95"/>
        <v>1</v>
      </c>
    </row>
    <row r="3056" spans="1:22" x14ac:dyDescent="0.2">
      <c r="A3056" t="s">
        <v>4961</v>
      </c>
      <c r="B3056" t="s">
        <v>57</v>
      </c>
      <c r="C3056" t="s">
        <v>76</v>
      </c>
      <c r="D3056" t="s">
        <v>77</v>
      </c>
      <c r="E3056" s="1" t="s">
        <v>163</v>
      </c>
      <c r="F3056" t="s">
        <v>224</v>
      </c>
      <c r="G3056">
        <v>42</v>
      </c>
      <c r="H3056">
        <v>163693</v>
      </c>
      <c r="I3056">
        <v>1752139</v>
      </c>
      <c r="J3056">
        <v>28</v>
      </c>
      <c r="K3056">
        <v>38</v>
      </c>
      <c r="L3056">
        <v>1588446</v>
      </c>
      <c r="M3056">
        <v>8.5442251721445303E-2</v>
      </c>
      <c r="N3056" s="1" t="s">
        <v>5101</v>
      </c>
      <c r="O3056" s="1" t="s">
        <v>5102</v>
      </c>
      <c r="P3056">
        <v>0</v>
      </c>
      <c r="Q3056">
        <v>0</v>
      </c>
      <c r="R3056">
        <v>0</v>
      </c>
      <c r="S3056">
        <v>0</v>
      </c>
      <c r="T3056">
        <v>224.8741019</v>
      </c>
      <c r="U3056">
        <f t="shared" si="94"/>
        <v>0</v>
      </c>
      <c r="V3056">
        <f t="shared" si="95"/>
        <v>0</v>
      </c>
    </row>
    <row r="3057" spans="1:22" x14ac:dyDescent="0.2">
      <c r="A3057" t="s">
        <v>4961</v>
      </c>
      <c r="B3057" t="s">
        <v>57</v>
      </c>
      <c r="C3057" t="s">
        <v>76</v>
      </c>
      <c r="D3057" t="s">
        <v>77</v>
      </c>
      <c r="E3057">
        <v>21</v>
      </c>
      <c r="F3057" t="s">
        <v>212</v>
      </c>
      <c r="G3057">
        <v>97</v>
      </c>
      <c r="H3057">
        <v>33889</v>
      </c>
      <c r="I3057">
        <v>2036</v>
      </c>
      <c r="J3057">
        <v>53</v>
      </c>
      <c r="K3057">
        <v>69</v>
      </c>
      <c r="L3057">
        <v>-31853</v>
      </c>
      <c r="M3057" s="1" t="s">
        <v>5103</v>
      </c>
      <c r="N3057" s="1" t="s">
        <v>5104</v>
      </c>
      <c r="O3057" s="1" t="s">
        <v>5105</v>
      </c>
      <c r="P3057">
        <v>0</v>
      </c>
      <c r="Q3057">
        <v>0</v>
      </c>
      <c r="R3057">
        <v>0</v>
      </c>
      <c r="S3057">
        <v>0</v>
      </c>
      <c r="T3057">
        <v>224.8741019</v>
      </c>
      <c r="U3057">
        <f t="shared" si="94"/>
        <v>0</v>
      </c>
      <c r="V3057">
        <f t="shared" si="95"/>
        <v>0</v>
      </c>
    </row>
    <row r="3058" spans="1:22" x14ac:dyDescent="0.2">
      <c r="A3058" t="s">
        <v>4961</v>
      </c>
      <c r="B3058" t="s">
        <v>57</v>
      </c>
      <c r="C3058" t="s">
        <v>76</v>
      </c>
      <c r="D3058" t="s">
        <v>77</v>
      </c>
      <c r="E3058">
        <v>11</v>
      </c>
      <c r="F3058" t="s">
        <v>127</v>
      </c>
      <c r="G3058">
        <v>57</v>
      </c>
      <c r="H3058">
        <v>64775</v>
      </c>
      <c r="I3058">
        <v>16591680</v>
      </c>
      <c r="J3058">
        <v>26</v>
      </c>
      <c r="K3058">
        <v>12</v>
      </c>
      <c r="L3058">
        <v>16526905</v>
      </c>
      <c r="M3058">
        <v>3.8888827184415799E-3</v>
      </c>
      <c r="N3058" s="1" t="s">
        <v>5106</v>
      </c>
      <c r="O3058" s="1" t="s">
        <v>5107</v>
      </c>
      <c r="P3058">
        <v>0</v>
      </c>
      <c r="Q3058">
        <v>0</v>
      </c>
      <c r="R3058">
        <v>0</v>
      </c>
      <c r="S3058">
        <v>0</v>
      </c>
      <c r="T3058">
        <v>224.8741019</v>
      </c>
      <c r="U3058">
        <f t="shared" si="94"/>
        <v>0</v>
      </c>
      <c r="V3058">
        <f t="shared" si="95"/>
        <v>0</v>
      </c>
    </row>
    <row r="3059" spans="1:22" x14ac:dyDescent="0.2">
      <c r="A3059" t="s">
        <v>4961</v>
      </c>
      <c r="B3059" t="s">
        <v>57</v>
      </c>
      <c r="C3059" t="s">
        <v>76</v>
      </c>
      <c r="D3059" t="s">
        <v>77</v>
      </c>
      <c r="E3059" s="1" t="s">
        <v>93</v>
      </c>
      <c r="F3059" t="s">
        <v>94</v>
      </c>
      <c r="G3059">
        <v>45</v>
      </c>
      <c r="H3059">
        <v>53700</v>
      </c>
      <c r="I3059">
        <v>0</v>
      </c>
      <c r="J3059">
        <v>11</v>
      </c>
      <c r="K3059">
        <v>45</v>
      </c>
      <c r="L3059">
        <v>-53700</v>
      </c>
      <c r="M3059">
        <v>1</v>
      </c>
      <c r="N3059">
        <v>0</v>
      </c>
      <c r="O3059" s="1" t="s">
        <v>5108</v>
      </c>
      <c r="P3059">
        <v>0</v>
      </c>
      <c r="Q3059">
        <v>0</v>
      </c>
      <c r="R3059">
        <v>0</v>
      </c>
      <c r="S3059">
        <v>0</v>
      </c>
      <c r="T3059">
        <v>224.8741019</v>
      </c>
      <c r="U3059">
        <f t="shared" si="94"/>
        <v>0</v>
      </c>
      <c r="V3059">
        <f t="shared" si="95"/>
        <v>0</v>
      </c>
    </row>
    <row r="3060" spans="1:22" x14ac:dyDescent="0.2">
      <c r="A3060" t="s">
        <v>4961</v>
      </c>
      <c r="B3060" t="s">
        <v>57</v>
      </c>
      <c r="C3060" t="s">
        <v>76</v>
      </c>
      <c r="D3060" t="s">
        <v>77</v>
      </c>
      <c r="E3060">
        <v>11</v>
      </c>
      <c r="F3060" t="s">
        <v>127</v>
      </c>
      <c r="G3060">
        <v>61</v>
      </c>
      <c r="H3060">
        <v>879632</v>
      </c>
      <c r="I3060">
        <v>855880789</v>
      </c>
      <c r="J3060">
        <v>30</v>
      </c>
      <c r="K3060">
        <v>4</v>
      </c>
      <c r="L3060">
        <v>855001157</v>
      </c>
      <c r="M3060">
        <v>1.0266954196755499E-3</v>
      </c>
      <c r="N3060" s="1" t="s">
        <v>5109</v>
      </c>
      <c r="O3060" s="1" t="s">
        <v>5110</v>
      </c>
      <c r="P3060">
        <v>0</v>
      </c>
      <c r="Q3060">
        <v>1</v>
      </c>
      <c r="R3060">
        <v>0</v>
      </c>
      <c r="S3060">
        <v>1</v>
      </c>
      <c r="T3060">
        <v>224.8741019</v>
      </c>
      <c r="U3060">
        <f t="shared" si="94"/>
        <v>1</v>
      </c>
      <c r="V3060">
        <f t="shared" si="95"/>
        <v>1</v>
      </c>
    </row>
    <row r="3061" spans="1:22" x14ac:dyDescent="0.2">
      <c r="A3061" t="s">
        <v>4961</v>
      </c>
      <c r="B3061" t="s">
        <v>57</v>
      </c>
      <c r="C3061" t="s">
        <v>76</v>
      </c>
      <c r="D3061" t="s">
        <v>77</v>
      </c>
      <c r="E3061">
        <v>12</v>
      </c>
      <c r="F3061" t="s">
        <v>194</v>
      </c>
      <c r="G3061">
        <v>66</v>
      </c>
      <c r="H3061">
        <v>10980</v>
      </c>
      <c r="I3061">
        <v>0</v>
      </c>
      <c r="J3061">
        <v>7</v>
      </c>
      <c r="K3061">
        <v>57</v>
      </c>
      <c r="L3061">
        <v>-10980</v>
      </c>
      <c r="M3061">
        <v>1</v>
      </c>
      <c r="N3061">
        <v>0</v>
      </c>
      <c r="O3061" s="1" t="s">
        <v>5111</v>
      </c>
      <c r="P3061">
        <v>0</v>
      </c>
      <c r="Q3061">
        <v>0</v>
      </c>
      <c r="R3061">
        <v>1</v>
      </c>
      <c r="S3061">
        <v>0</v>
      </c>
      <c r="T3061">
        <v>224.8741019</v>
      </c>
      <c r="U3061">
        <f t="shared" si="94"/>
        <v>0</v>
      </c>
      <c r="V3061">
        <f t="shared" si="95"/>
        <v>1</v>
      </c>
    </row>
    <row r="3062" spans="1:22" x14ac:dyDescent="0.2">
      <c r="A3062" t="s">
        <v>4961</v>
      </c>
      <c r="B3062" t="s">
        <v>57</v>
      </c>
      <c r="C3062" t="s">
        <v>76</v>
      </c>
      <c r="D3062" t="s">
        <v>77</v>
      </c>
      <c r="E3062" s="1" t="s">
        <v>163</v>
      </c>
      <c r="F3062" t="s">
        <v>224</v>
      </c>
      <c r="G3062">
        <v>41</v>
      </c>
      <c r="H3062">
        <v>31029</v>
      </c>
      <c r="I3062">
        <v>884955</v>
      </c>
      <c r="J3062">
        <v>48</v>
      </c>
      <c r="K3062">
        <v>21</v>
      </c>
      <c r="L3062">
        <v>853926</v>
      </c>
      <c r="M3062">
        <v>3.3875045852329297E-2</v>
      </c>
      <c r="N3062" s="1" t="s">
        <v>5112</v>
      </c>
      <c r="O3062" s="1" t="s">
        <v>5113</v>
      </c>
      <c r="P3062">
        <v>0</v>
      </c>
      <c r="Q3062">
        <v>0</v>
      </c>
      <c r="R3062">
        <v>0</v>
      </c>
      <c r="S3062">
        <v>0</v>
      </c>
      <c r="T3062">
        <v>224.8741019</v>
      </c>
      <c r="U3062">
        <f t="shared" si="94"/>
        <v>0</v>
      </c>
      <c r="V3062">
        <f t="shared" si="95"/>
        <v>0</v>
      </c>
    </row>
    <row r="3063" spans="1:22" x14ac:dyDescent="0.2">
      <c r="A3063" t="s">
        <v>4961</v>
      </c>
      <c r="B3063" t="s">
        <v>57</v>
      </c>
      <c r="C3063" t="s">
        <v>76</v>
      </c>
      <c r="D3063" t="s">
        <v>77</v>
      </c>
      <c r="E3063">
        <v>15</v>
      </c>
      <c r="F3063" t="s">
        <v>88</v>
      </c>
      <c r="G3063">
        <v>79</v>
      </c>
      <c r="H3063">
        <v>1095642</v>
      </c>
      <c r="I3063">
        <v>63576887</v>
      </c>
      <c r="J3063">
        <v>23</v>
      </c>
      <c r="K3063">
        <v>2</v>
      </c>
      <c r="L3063">
        <v>62481245</v>
      </c>
      <c r="M3063" s="1" t="s">
        <v>5114</v>
      </c>
      <c r="N3063" s="1" t="s">
        <v>5115</v>
      </c>
      <c r="O3063">
        <v>3.10583307052535E-3</v>
      </c>
      <c r="P3063">
        <v>0</v>
      </c>
      <c r="Q3063">
        <v>1</v>
      </c>
      <c r="R3063">
        <v>0</v>
      </c>
      <c r="S3063">
        <v>1</v>
      </c>
      <c r="T3063">
        <v>224.8741019</v>
      </c>
      <c r="U3063">
        <f t="shared" si="94"/>
        <v>1</v>
      </c>
      <c r="V3063">
        <f t="shared" si="95"/>
        <v>1</v>
      </c>
    </row>
    <row r="3064" spans="1:22" x14ac:dyDescent="0.2">
      <c r="A3064" t="s">
        <v>4961</v>
      </c>
      <c r="B3064" t="s">
        <v>57</v>
      </c>
      <c r="C3064" t="s">
        <v>76</v>
      </c>
      <c r="D3064" t="s">
        <v>77</v>
      </c>
      <c r="E3064">
        <v>12</v>
      </c>
      <c r="F3064" t="s">
        <v>194</v>
      </c>
      <c r="G3064">
        <v>67</v>
      </c>
      <c r="H3064">
        <v>15460</v>
      </c>
      <c r="I3064">
        <v>566996</v>
      </c>
      <c r="J3064">
        <v>36</v>
      </c>
      <c r="K3064">
        <v>16</v>
      </c>
      <c r="L3064">
        <v>551536</v>
      </c>
      <c r="M3064" s="1" t="s">
        <v>5116</v>
      </c>
      <c r="N3064" s="1" t="s">
        <v>5117</v>
      </c>
      <c r="O3064" s="1" t="s">
        <v>5118</v>
      </c>
      <c r="P3064">
        <v>0</v>
      </c>
      <c r="Q3064">
        <v>0</v>
      </c>
      <c r="R3064">
        <v>0</v>
      </c>
      <c r="S3064">
        <v>0</v>
      </c>
      <c r="T3064">
        <v>224.8741019</v>
      </c>
      <c r="U3064">
        <f t="shared" si="94"/>
        <v>0</v>
      </c>
      <c r="V3064">
        <f t="shared" si="95"/>
        <v>0</v>
      </c>
    </row>
    <row r="3065" spans="1:22" x14ac:dyDescent="0.2">
      <c r="A3065" t="s">
        <v>4961</v>
      </c>
      <c r="B3065" t="s">
        <v>57</v>
      </c>
      <c r="C3065" t="s">
        <v>76</v>
      </c>
      <c r="D3065" t="s">
        <v>77</v>
      </c>
      <c r="E3065" s="1" t="s">
        <v>93</v>
      </c>
      <c r="F3065" t="s">
        <v>94</v>
      </c>
      <c r="G3065">
        <v>46</v>
      </c>
      <c r="H3065">
        <v>460</v>
      </c>
      <c r="I3065">
        <v>9446</v>
      </c>
      <c r="J3065">
        <v>25</v>
      </c>
      <c r="K3065">
        <v>36</v>
      </c>
      <c r="L3065">
        <v>8986</v>
      </c>
      <c r="M3065" s="1" t="s">
        <v>5119</v>
      </c>
      <c r="N3065" s="1" t="s">
        <v>5120</v>
      </c>
      <c r="O3065" s="1" t="s">
        <v>5121</v>
      </c>
      <c r="P3065">
        <v>0</v>
      </c>
      <c r="Q3065">
        <v>0</v>
      </c>
      <c r="R3065">
        <v>0</v>
      </c>
      <c r="S3065">
        <v>0</v>
      </c>
      <c r="T3065">
        <v>224.8741019</v>
      </c>
      <c r="U3065">
        <f t="shared" si="94"/>
        <v>0</v>
      </c>
      <c r="V3065">
        <f t="shared" si="95"/>
        <v>0</v>
      </c>
    </row>
    <row r="3066" spans="1:22" x14ac:dyDescent="0.2">
      <c r="A3066" t="s">
        <v>4961</v>
      </c>
      <c r="B3066" t="s">
        <v>57</v>
      </c>
      <c r="C3066" t="s">
        <v>76</v>
      </c>
      <c r="D3066" t="s">
        <v>77</v>
      </c>
      <c r="E3066" s="1" t="s">
        <v>82</v>
      </c>
      <c r="F3066" t="s">
        <v>83</v>
      </c>
      <c r="G3066">
        <v>14</v>
      </c>
      <c r="H3066">
        <v>3941</v>
      </c>
      <c r="I3066">
        <v>80108</v>
      </c>
      <c r="J3066">
        <v>34</v>
      </c>
      <c r="K3066">
        <v>15</v>
      </c>
      <c r="L3066">
        <v>76167</v>
      </c>
      <c r="M3066" s="1" t="s">
        <v>5122</v>
      </c>
      <c r="N3066" s="1" t="s">
        <v>5123</v>
      </c>
      <c r="O3066" s="1" t="s">
        <v>5124</v>
      </c>
      <c r="P3066">
        <v>0</v>
      </c>
      <c r="Q3066">
        <v>0</v>
      </c>
      <c r="R3066">
        <v>0</v>
      </c>
      <c r="S3066">
        <v>0</v>
      </c>
      <c r="T3066">
        <v>224.8741019</v>
      </c>
      <c r="U3066">
        <f t="shared" si="94"/>
        <v>0</v>
      </c>
      <c r="V3066">
        <f t="shared" si="95"/>
        <v>0</v>
      </c>
    </row>
    <row r="3067" spans="1:22" x14ac:dyDescent="0.2">
      <c r="A3067" t="s">
        <v>4961</v>
      </c>
      <c r="B3067" t="s">
        <v>57</v>
      </c>
      <c r="C3067" t="s">
        <v>76</v>
      </c>
      <c r="D3067" t="s">
        <v>77</v>
      </c>
      <c r="E3067" s="1" t="s">
        <v>163</v>
      </c>
      <c r="F3067" t="s">
        <v>224</v>
      </c>
      <c r="G3067">
        <v>43</v>
      </c>
      <c r="H3067">
        <v>62611</v>
      </c>
      <c r="I3067">
        <v>921215</v>
      </c>
      <c r="J3067">
        <v>32</v>
      </c>
      <c r="K3067">
        <v>22</v>
      </c>
      <c r="L3067">
        <v>858604</v>
      </c>
      <c r="M3067">
        <v>6.3640318511606703E-2</v>
      </c>
      <c r="N3067" s="1" t="s">
        <v>5125</v>
      </c>
      <c r="O3067" s="1" t="s">
        <v>5126</v>
      </c>
      <c r="P3067">
        <v>0</v>
      </c>
      <c r="Q3067">
        <v>0</v>
      </c>
      <c r="R3067">
        <v>0</v>
      </c>
      <c r="S3067">
        <v>0</v>
      </c>
      <c r="T3067">
        <v>224.8741019</v>
      </c>
      <c r="U3067">
        <f t="shared" si="94"/>
        <v>0</v>
      </c>
      <c r="V3067">
        <f t="shared" si="95"/>
        <v>0</v>
      </c>
    </row>
    <row r="3068" spans="1:22" x14ac:dyDescent="0.2">
      <c r="A3068" t="s">
        <v>4961</v>
      </c>
      <c r="B3068" t="s">
        <v>57</v>
      </c>
      <c r="C3068" t="s">
        <v>76</v>
      </c>
      <c r="D3068" t="s">
        <v>77</v>
      </c>
      <c r="E3068">
        <v>11</v>
      </c>
      <c r="F3068" t="s">
        <v>127</v>
      </c>
      <c r="G3068">
        <v>50</v>
      </c>
      <c r="H3068">
        <v>0</v>
      </c>
      <c r="I3068">
        <v>160245</v>
      </c>
      <c r="J3068">
        <v>32</v>
      </c>
      <c r="K3068">
        <v>16</v>
      </c>
      <c r="L3068">
        <v>160245</v>
      </c>
      <c r="M3068">
        <v>0</v>
      </c>
      <c r="N3068">
        <v>1</v>
      </c>
      <c r="O3068" s="1" t="s">
        <v>5127</v>
      </c>
      <c r="P3068">
        <v>0</v>
      </c>
      <c r="Q3068">
        <v>0</v>
      </c>
      <c r="R3068">
        <v>0</v>
      </c>
      <c r="S3068">
        <v>0</v>
      </c>
      <c r="T3068">
        <v>224.8741019</v>
      </c>
      <c r="U3068">
        <f t="shared" si="94"/>
        <v>0</v>
      </c>
      <c r="V3068">
        <f t="shared" si="95"/>
        <v>0</v>
      </c>
    </row>
    <row r="3069" spans="1:22" x14ac:dyDescent="0.2">
      <c r="A3069" t="s">
        <v>4961</v>
      </c>
      <c r="B3069" t="s">
        <v>57</v>
      </c>
      <c r="C3069" t="s">
        <v>76</v>
      </c>
      <c r="D3069" t="s">
        <v>77</v>
      </c>
      <c r="E3069" s="1" t="s">
        <v>155</v>
      </c>
      <c r="F3069" t="s">
        <v>156</v>
      </c>
      <c r="G3069" s="1" t="s">
        <v>85</v>
      </c>
      <c r="H3069">
        <v>656434</v>
      </c>
      <c r="I3069">
        <v>3379923</v>
      </c>
      <c r="J3069">
        <v>29</v>
      </c>
      <c r="K3069">
        <v>18</v>
      </c>
      <c r="L3069">
        <v>2723489</v>
      </c>
      <c r="M3069" s="1" t="s">
        <v>5128</v>
      </c>
      <c r="N3069" s="1" t="s">
        <v>5129</v>
      </c>
      <c r="O3069" s="1" t="s">
        <v>5130</v>
      </c>
      <c r="P3069">
        <v>0</v>
      </c>
      <c r="Q3069">
        <v>0</v>
      </c>
      <c r="R3069">
        <v>0</v>
      </c>
      <c r="S3069">
        <v>0</v>
      </c>
      <c r="T3069">
        <v>224.8741019</v>
      </c>
      <c r="U3069">
        <f t="shared" si="94"/>
        <v>0</v>
      </c>
      <c r="V3069">
        <f t="shared" si="95"/>
        <v>0</v>
      </c>
    </row>
    <row r="3070" spans="1:22" x14ac:dyDescent="0.2">
      <c r="A3070" t="s">
        <v>4368</v>
      </c>
      <c r="B3070" t="s">
        <v>53</v>
      </c>
      <c r="C3070" t="s">
        <v>76</v>
      </c>
      <c r="D3070" t="s">
        <v>77</v>
      </c>
      <c r="E3070" s="1" t="s">
        <v>138</v>
      </c>
      <c r="F3070" t="s">
        <v>139</v>
      </c>
      <c r="G3070">
        <v>22</v>
      </c>
      <c r="H3070">
        <v>17810</v>
      </c>
      <c r="I3070">
        <v>5</v>
      </c>
      <c r="J3070">
        <v>119</v>
      </c>
      <c r="K3070">
        <v>96</v>
      </c>
      <c r="L3070">
        <v>-17805</v>
      </c>
      <c r="M3070" s="1" t="s">
        <v>5131</v>
      </c>
      <c r="N3070" s="1" t="s">
        <v>5132</v>
      </c>
      <c r="O3070" s="1" t="s">
        <v>5133</v>
      </c>
      <c r="P3070">
        <v>0</v>
      </c>
      <c r="Q3070">
        <v>0</v>
      </c>
      <c r="R3070">
        <v>0</v>
      </c>
      <c r="S3070">
        <v>0</v>
      </c>
      <c r="T3070">
        <v>46.141767209999998</v>
      </c>
      <c r="U3070">
        <f t="shared" si="94"/>
        <v>0</v>
      </c>
      <c r="V3070">
        <f t="shared" si="95"/>
        <v>0</v>
      </c>
    </row>
    <row r="3071" spans="1:22" x14ac:dyDescent="0.2">
      <c r="A3071" t="s">
        <v>4368</v>
      </c>
      <c r="B3071" t="s">
        <v>53</v>
      </c>
      <c r="C3071" t="s">
        <v>76</v>
      </c>
      <c r="D3071" t="s">
        <v>77</v>
      </c>
      <c r="E3071" s="1" t="s">
        <v>138</v>
      </c>
      <c r="F3071" t="s">
        <v>139</v>
      </c>
      <c r="G3071">
        <v>17</v>
      </c>
      <c r="H3071">
        <v>94597</v>
      </c>
      <c r="I3071">
        <v>0</v>
      </c>
      <c r="J3071">
        <v>79</v>
      </c>
      <c r="K3071">
        <v>88</v>
      </c>
      <c r="L3071">
        <v>-94597</v>
      </c>
      <c r="M3071">
        <v>1</v>
      </c>
      <c r="N3071">
        <v>0</v>
      </c>
      <c r="O3071">
        <v>1.4898645599292601E-3</v>
      </c>
      <c r="P3071">
        <v>0</v>
      </c>
      <c r="Q3071">
        <v>0</v>
      </c>
      <c r="R3071">
        <v>0</v>
      </c>
      <c r="S3071">
        <v>0</v>
      </c>
      <c r="T3071">
        <v>46.141767209999998</v>
      </c>
      <c r="U3071">
        <f t="shared" si="94"/>
        <v>0</v>
      </c>
      <c r="V3071">
        <f t="shared" si="95"/>
        <v>0</v>
      </c>
    </row>
    <row r="3072" spans="1:22" x14ac:dyDescent="0.2">
      <c r="A3072" t="s">
        <v>4368</v>
      </c>
      <c r="B3072" t="s">
        <v>53</v>
      </c>
      <c r="C3072" t="s">
        <v>76</v>
      </c>
      <c r="D3072" t="s">
        <v>77</v>
      </c>
      <c r="E3072" s="1" t="s">
        <v>89</v>
      </c>
      <c r="F3072" t="s">
        <v>90</v>
      </c>
      <c r="G3072">
        <v>28</v>
      </c>
      <c r="H3072">
        <v>182596</v>
      </c>
      <c r="I3072">
        <v>0</v>
      </c>
      <c r="J3072">
        <v>116</v>
      </c>
      <c r="K3072">
        <v>85</v>
      </c>
      <c r="L3072">
        <v>-182596</v>
      </c>
      <c r="M3072">
        <v>1</v>
      </c>
      <c r="N3072">
        <v>0</v>
      </c>
      <c r="O3072">
        <v>2.8758132835591402E-3</v>
      </c>
      <c r="P3072">
        <v>0</v>
      </c>
      <c r="Q3072">
        <v>0</v>
      </c>
      <c r="R3072">
        <v>0</v>
      </c>
      <c r="S3072">
        <v>0</v>
      </c>
      <c r="T3072">
        <v>46.141767209999998</v>
      </c>
      <c r="U3072">
        <f t="shared" si="94"/>
        <v>0</v>
      </c>
      <c r="V3072">
        <f t="shared" si="95"/>
        <v>0</v>
      </c>
    </row>
    <row r="3073" spans="1:22" x14ac:dyDescent="0.2">
      <c r="A3073" t="s">
        <v>4368</v>
      </c>
      <c r="B3073" t="s">
        <v>53</v>
      </c>
      <c r="C3073" t="s">
        <v>76</v>
      </c>
      <c r="D3073" t="s">
        <v>77</v>
      </c>
      <c r="E3073" s="1" t="s">
        <v>155</v>
      </c>
      <c r="F3073" t="s">
        <v>156</v>
      </c>
      <c r="G3073" s="1" t="s">
        <v>155</v>
      </c>
      <c r="H3073">
        <v>0</v>
      </c>
      <c r="I3073">
        <v>352</v>
      </c>
      <c r="J3073">
        <v>88</v>
      </c>
      <c r="K3073">
        <v>68</v>
      </c>
      <c r="L3073">
        <v>352</v>
      </c>
      <c r="M3073">
        <v>0</v>
      </c>
      <c r="N3073">
        <v>1</v>
      </c>
      <c r="O3073" s="1" t="s">
        <v>5134</v>
      </c>
      <c r="P3073">
        <v>0</v>
      </c>
      <c r="Q3073">
        <v>0</v>
      </c>
      <c r="R3073">
        <v>0</v>
      </c>
      <c r="S3073">
        <v>0</v>
      </c>
      <c r="T3073">
        <v>46.141767209999998</v>
      </c>
      <c r="U3073">
        <f t="shared" si="94"/>
        <v>0</v>
      </c>
      <c r="V3073">
        <f t="shared" si="95"/>
        <v>0</v>
      </c>
    </row>
    <row r="3074" spans="1:22" x14ac:dyDescent="0.2">
      <c r="A3074" t="s">
        <v>4368</v>
      </c>
      <c r="B3074" t="s">
        <v>53</v>
      </c>
      <c r="C3074" t="s">
        <v>76</v>
      </c>
      <c r="D3074" t="s">
        <v>77</v>
      </c>
      <c r="E3074" s="1" t="s">
        <v>138</v>
      </c>
      <c r="F3074" t="s">
        <v>139</v>
      </c>
      <c r="G3074">
        <v>24</v>
      </c>
      <c r="H3074">
        <v>0</v>
      </c>
      <c r="I3074">
        <v>565572</v>
      </c>
      <c r="J3074">
        <v>98</v>
      </c>
      <c r="K3074">
        <v>56</v>
      </c>
      <c r="L3074">
        <v>565572</v>
      </c>
      <c r="M3074">
        <v>0</v>
      </c>
      <c r="N3074">
        <v>1</v>
      </c>
      <c r="O3074">
        <v>8.9075306710394205E-3</v>
      </c>
      <c r="P3074">
        <v>0</v>
      </c>
      <c r="Q3074">
        <v>0</v>
      </c>
      <c r="R3074">
        <v>0</v>
      </c>
      <c r="S3074">
        <v>0</v>
      </c>
      <c r="T3074">
        <v>46.141767209999998</v>
      </c>
      <c r="U3074">
        <f t="shared" si="94"/>
        <v>0</v>
      </c>
      <c r="V3074">
        <f t="shared" si="95"/>
        <v>0</v>
      </c>
    </row>
    <row r="3075" spans="1:22" x14ac:dyDescent="0.2">
      <c r="A3075" t="s">
        <v>4386</v>
      </c>
      <c r="B3075" t="s">
        <v>54</v>
      </c>
      <c r="C3075" t="s">
        <v>76</v>
      </c>
      <c r="D3075" t="s">
        <v>77</v>
      </c>
      <c r="E3075">
        <v>11</v>
      </c>
      <c r="F3075" t="s">
        <v>127</v>
      </c>
      <c r="G3075">
        <v>55</v>
      </c>
      <c r="H3075">
        <v>51833</v>
      </c>
      <c r="I3075">
        <v>0</v>
      </c>
      <c r="J3075">
        <v>32</v>
      </c>
      <c r="K3075">
        <v>65</v>
      </c>
      <c r="L3075">
        <v>-51833</v>
      </c>
      <c r="M3075">
        <v>1</v>
      </c>
      <c r="N3075">
        <v>0</v>
      </c>
      <c r="O3075" s="1" t="s">
        <v>5135</v>
      </c>
      <c r="P3075">
        <v>0</v>
      </c>
      <c r="Q3075">
        <v>0</v>
      </c>
      <c r="R3075">
        <v>0</v>
      </c>
      <c r="S3075">
        <v>0</v>
      </c>
      <c r="T3075">
        <v>12.987771670000001</v>
      </c>
      <c r="U3075">
        <f t="shared" ref="U3075:U3138" si="96">IF(OR(P3075=1,Q3075=1),1,0)</f>
        <v>0</v>
      </c>
      <c r="V3075">
        <f t="shared" ref="V3075:V3138" si="97">IF(OR(R3075=1,S3075=1),1,0)</f>
        <v>0</v>
      </c>
    </row>
    <row r="3076" spans="1:22" x14ac:dyDescent="0.2">
      <c r="A3076" t="s">
        <v>4386</v>
      </c>
      <c r="B3076" t="s">
        <v>54</v>
      </c>
      <c r="C3076" t="s">
        <v>76</v>
      </c>
      <c r="D3076" t="s">
        <v>77</v>
      </c>
      <c r="E3076" s="1" t="s">
        <v>93</v>
      </c>
      <c r="F3076" t="s">
        <v>94</v>
      </c>
      <c r="G3076">
        <v>44</v>
      </c>
      <c r="H3076">
        <v>15966</v>
      </c>
      <c r="I3076">
        <v>0</v>
      </c>
      <c r="J3076">
        <v>130</v>
      </c>
      <c r="K3076">
        <v>103</v>
      </c>
      <c r="L3076">
        <v>-15966</v>
      </c>
      <c r="M3076">
        <v>1</v>
      </c>
      <c r="N3076">
        <v>0</v>
      </c>
      <c r="O3076" s="1" t="s">
        <v>5136</v>
      </c>
      <c r="P3076">
        <v>0</v>
      </c>
      <c r="Q3076">
        <v>0</v>
      </c>
      <c r="R3076">
        <v>0</v>
      </c>
      <c r="S3076">
        <v>0</v>
      </c>
      <c r="T3076">
        <v>12.987771670000001</v>
      </c>
      <c r="U3076">
        <f t="shared" si="96"/>
        <v>0</v>
      </c>
      <c r="V3076">
        <f t="shared" si="97"/>
        <v>0</v>
      </c>
    </row>
    <row r="3077" spans="1:22" x14ac:dyDescent="0.2">
      <c r="A3077" t="s">
        <v>4386</v>
      </c>
      <c r="B3077" t="s">
        <v>54</v>
      </c>
      <c r="C3077" t="s">
        <v>76</v>
      </c>
      <c r="D3077" t="s">
        <v>77</v>
      </c>
      <c r="E3077" s="1" t="s">
        <v>89</v>
      </c>
      <c r="F3077" t="s">
        <v>90</v>
      </c>
      <c r="G3077">
        <v>30</v>
      </c>
      <c r="H3077">
        <v>28327</v>
      </c>
      <c r="I3077">
        <v>0</v>
      </c>
      <c r="J3077">
        <v>113</v>
      </c>
      <c r="K3077">
        <v>91</v>
      </c>
      <c r="L3077">
        <v>-28327</v>
      </c>
      <c r="M3077">
        <v>1</v>
      </c>
      <c r="N3077">
        <v>0</v>
      </c>
      <c r="O3077" s="1" t="s">
        <v>5137</v>
      </c>
      <c r="P3077">
        <v>0</v>
      </c>
      <c r="Q3077">
        <v>0</v>
      </c>
      <c r="R3077">
        <v>0</v>
      </c>
      <c r="S3077">
        <v>0</v>
      </c>
      <c r="T3077">
        <v>12.987771670000001</v>
      </c>
      <c r="U3077">
        <f t="shared" si="96"/>
        <v>0</v>
      </c>
      <c r="V3077">
        <f t="shared" si="97"/>
        <v>0</v>
      </c>
    </row>
    <row r="3078" spans="1:22" x14ac:dyDescent="0.2">
      <c r="A3078" t="s">
        <v>4386</v>
      </c>
      <c r="B3078" t="s">
        <v>54</v>
      </c>
      <c r="C3078" t="s">
        <v>76</v>
      </c>
      <c r="D3078" t="s">
        <v>77</v>
      </c>
      <c r="E3078" s="1" t="s">
        <v>89</v>
      </c>
      <c r="F3078" t="s">
        <v>90</v>
      </c>
      <c r="G3078">
        <v>33</v>
      </c>
      <c r="H3078">
        <v>812</v>
      </c>
      <c r="I3078">
        <v>32120</v>
      </c>
      <c r="J3078">
        <v>119</v>
      </c>
      <c r="K3078">
        <v>79</v>
      </c>
      <c r="L3078">
        <v>31308</v>
      </c>
      <c r="M3078" s="1" t="s">
        <v>5138</v>
      </c>
      <c r="N3078" s="1" t="s">
        <v>5139</v>
      </c>
      <c r="O3078" s="1" t="s">
        <v>5140</v>
      </c>
      <c r="P3078">
        <v>0</v>
      </c>
      <c r="Q3078">
        <v>0</v>
      </c>
      <c r="R3078">
        <v>0</v>
      </c>
      <c r="S3078">
        <v>0</v>
      </c>
      <c r="T3078">
        <v>12.987771670000001</v>
      </c>
      <c r="U3078">
        <f t="shared" si="96"/>
        <v>0</v>
      </c>
      <c r="V3078">
        <f t="shared" si="97"/>
        <v>0</v>
      </c>
    </row>
    <row r="3079" spans="1:22" x14ac:dyDescent="0.2">
      <c r="A3079" t="s">
        <v>4386</v>
      </c>
      <c r="B3079" t="s">
        <v>54</v>
      </c>
      <c r="C3079" t="s">
        <v>76</v>
      </c>
      <c r="D3079" t="s">
        <v>77</v>
      </c>
      <c r="E3079" s="1" t="s">
        <v>138</v>
      </c>
      <c r="F3079" t="s">
        <v>139</v>
      </c>
      <c r="G3079">
        <v>24</v>
      </c>
      <c r="H3079">
        <v>0</v>
      </c>
      <c r="I3079">
        <v>293579</v>
      </c>
      <c r="J3079">
        <v>98</v>
      </c>
      <c r="K3079">
        <v>61</v>
      </c>
      <c r="L3079">
        <v>293579</v>
      </c>
      <c r="M3079">
        <v>0</v>
      </c>
      <c r="N3079">
        <v>1</v>
      </c>
      <c r="O3079">
        <v>2.22683323620075E-3</v>
      </c>
      <c r="P3079">
        <v>0</v>
      </c>
      <c r="Q3079">
        <v>0</v>
      </c>
      <c r="R3079">
        <v>0</v>
      </c>
      <c r="S3079">
        <v>0</v>
      </c>
      <c r="T3079">
        <v>12.987771670000001</v>
      </c>
      <c r="U3079">
        <f t="shared" si="96"/>
        <v>0</v>
      </c>
      <c r="V3079">
        <f t="shared" si="97"/>
        <v>0</v>
      </c>
    </row>
    <row r="3080" spans="1:22" x14ac:dyDescent="0.2">
      <c r="A3080" t="s">
        <v>4386</v>
      </c>
      <c r="B3080" t="s">
        <v>54</v>
      </c>
      <c r="C3080" t="s">
        <v>76</v>
      </c>
      <c r="D3080" t="s">
        <v>77</v>
      </c>
      <c r="E3080" s="1" t="s">
        <v>82</v>
      </c>
      <c r="F3080" t="s">
        <v>83</v>
      </c>
      <c r="G3080" s="1" t="s">
        <v>163</v>
      </c>
      <c r="H3080">
        <v>0</v>
      </c>
      <c r="I3080">
        <v>2820</v>
      </c>
      <c r="J3080">
        <v>74</v>
      </c>
      <c r="K3080">
        <v>97</v>
      </c>
      <c r="L3080">
        <v>2820</v>
      </c>
      <c r="M3080">
        <v>0</v>
      </c>
      <c r="N3080">
        <v>1</v>
      </c>
      <c r="O3080" s="1" t="s">
        <v>5141</v>
      </c>
      <c r="P3080">
        <v>0</v>
      </c>
      <c r="Q3080">
        <v>0</v>
      </c>
      <c r="R3080">
        <v>0</v>
      </c>
      <c r="S3080">
        <v>0</v>
      </c>
      <c r="T3080">
        <v>12.987771670000001</v>
      </c>
      <c r="U3080">
        <f t="shared" si="96"/>
        <v>0</v>
      </c>
      <c r="V3080">
        <f t="shared" si="97"/>
        <v>0</v>
      </c>
    </row>
    <row r="3081" spans="1:22" x14ac:dyDescent="0.2">
      <c r="A3081" t="s">
        <v>75</v>
      </c>
      <c r="B3081" t="s">
        <v>6</v>
      </c>
      <c r="C3081" t="s">
        <v>76</v>
      </c>
      <c r="D3081" t="s">
        <v>77</v>
      </c>
      <c r="E3081">
        <v>16</v>
      </c>
      <c r="F3081" t="s">
        <v>95</v>
      </c>
      <c r="G3081">
        <v>85</v>
      </c>
      <c r="H3081">
        <v>69862</v>
      </c>
      <c r="I3081">
        <v>0</v>
      </c>
      <c r="J3081">
        <v>135</v>
      </c>
      <c r="K3081">
        <v>117</v>
      </c>
      <c r="L3081">
        <v>-69862</v>
      </c>
      <c r="M3081">
        <v>1</v>
      </c>
      <c r="N3081">
        <v>0</v>
      </c>
      <c r="O3081" s="1" t="s">
        <v>5142</v>
      </c>
      <c r="P3081">
        <v>0</v>
      </c>
      <c r="Q3081">
        <v>0</v>
      </c>
      <c r="R3081">
        <v>0</v>
      </c>
      <c r="S3081">
        <v>0</v>
      </c>
      <c r="T3081">
        <v>37.967415780000003</v>
      </c>
      <c r="U3081">
        <f t="shared" si="96"/>
        <v>0</v>
      </c>
      <c r="V3081">
        <f t="shared" si="97"/>
        <v>0</v>
      </c>
    </row>
    <row r="3082" spans="1:22" x14ac:dyDescent="0.2">
      <c r="A3082" t="s">
        <v>164</v>
      </c>
      <c r="B3082" t="s">
        <v>8</v>
      </c>
      <c r="C3082" t="s">
        <v>76</v>
      </c>
      <c r="D3082" t="s">
        <v>77</v>
      </c>
      <c r="E3082" s="1" t="s">
        <v>82</v>
      </c>
      <c r="F3082" t="s">
        <v>83</v>
      </c>
      <c r="G3082">
        <v>10</v>
      </c>
      <c r="H3082">
        <v>29661442</v>
      </c>
      <c r="I3082">
        <v>0</v>
      </c>
      <c r="J3082">
        <v>72</v>
      </c>
      <c r="K3082">
        <v>65</v>
      </c>
      <c r="L3082">
        <v>-29661442</v>
      </c>
      <c r="M3082">
        <v>1</v>
      </c>
      <c r="N3082">
        <v>0</v>
      </c>
      <c r="O3082">
        <v>3.7115805830135601E-2</v>
      </c>
      <c r="P3082">
        <v>0</v>
      </c>
      <c r="Q3082">
        <v>0</v>
      </c>
      <c r="R3082">
        <v>0</v>
      </c>
      <c r="S3082">
        <v>0</v>
      </c>
      <c r="T3082">
        <v>39.663424999999997</v>
      </c>
      <c r="U3082">
        <f t="shared" si="96"/>
        <v>0</v>
      </c>
      <c r="V3082">
        <f t="shared" si="97"/>
        <v>0</v>
      </c>
    </row>
    <row r="3083" spans="1:22" x14ac:dyDescent="0.2">
      <c r="A3083" t="s">
        <v>164</v>
      </c>
      <c r="B3083" t="s">
        <v>8</v>
      </c>
      <c r="C3083" t="s">
        <v>76</v>
      </c>
      <c r="D3083" t="s">
        <v>77</v>
      </c>
      <c r="E3083">
        <v>19</v>
      </c>
      <c r="F3083" t="s">
        <v>838</v>
      </c>
      <c r="G3083">
        <v>93</v>
      </c>
      <c r="H3083">
        <v>48361873</v>
      </c>
      <c r="I3083">
        <v>0</v>
      </c>
      <c r="J3083">
        <v>3</v>
      </c>
      <c r="K3083">
        <v>36</v>
      </c>
      <c r="L3083">
        <v>-48361873</v>
      </c>
      <c r="M3083">
        <v>1</v>
      </c>
      <c r="N3083">
        <v>0</v>
      </c>
      <c r="O3083">
        <v>6.0515934722582897E-2</v>
      </c>
      <c r="P3083">
        <v>1</v>
      </c>
      <c r="Q3083">
        <v>0</v>
      </c>
      <c r="R3083">
        <v>1</v>
      </c>
      <c r="S3083">
        <v>0</v>
      </c>
      <c r="T3083">
        <v>39.663424999999997</v>
      </c>
      <c r="U3083">
        <f t="shared" si="96"/>
        <v>1</v>
      </c>
      <c r="V3083">
        <f t="shared" si="97"/>
        <v>1</v>
      </c>
    </row>
    <row r="3084" spans="1:22" x14ac:dyDescent="0.2">
      <c r="A3084" t="s">
        <v>164</v>
      </c>
      <c r="B3084" t="s">
        <v>8</v>
      </c>
      <c r="C3084" t="s">
        <v>76</v>
      </c>
      <c r="D3084" t="s">
        <v>77</v>
      </c>
      <c r="E3084" s="1" t="s">
        <v>138</v>
      </c>
      <c r="F3084" t="s">
        <v>139</v>
      </c>
      <c r="G3084">
        <v>21</v>
      </c>
      <c r="H3084">
        <v>5494194</v>
      </c>
      <c r="I3084">
        <v>0</v>
      </c>
      <c r="J3084">
        <v>31</v>
      </c>
      <c r="K3084">
        <v>99</v>
      </c>
      <c r="L3084">
        <v>-5494194</v>
      </c>
      <c r="M3084">
        <v>1</v>
      </c>
      <c r="N3084">
        <v>0</v>
      </c>
      <c r="O3084">
        <v>6.8749670935450797E-3</v>
      </c>
      <c r="P3084">
        <v>0</v>
      </c>
      <c r="Q3084">
        <v>0</v>
      </c>
      <c r="R3084">
        <v>0</v>
      </c>
      <c r="S3084">
        <v>0</v>
      </c>
      <c r="T3084">
        <v>39.663424999999997</v>
      </c>
      <c r="U3084">
        <f t="shared" si="96"/>
        <v>0</v>
      </c>
      <c r="V3084">
        <f t="shared" si="97"/>
        <v>0</v>
      </c>
    </row>
    <row r="3085" spans="1:22" x14ac:dyDescent="0.2">
      <c r="A3085" t="s">
        <v>164</v>
      </c>
      <c r="B3085" t="s">
        <v>8</v>
      </c>
      <c r="C3085" t="s">
        <v>76</v>
      </c>
      <c r="D3085" t="s">
        <v>77</v>
      </c>
      <c r="E3085">
        <v>17</v>
      </c>
      <c r="F3085" t="s">
        <v>97</v>
      </c>
      <c r="G3085">
        <v>88</v>
      </c>
      <c r="H3085">
        <v>832404</v>
      </c>
      <c r="I3085">
        <v>0</v>
      </c>
      <c r="J3085">
        <v>70</v>
      </c>
      <c r="K3085">
        <v>87</v>
      </c>
      <c r="L3085">
        <v>-832404</v>
      </c>
      <c r="M3085">
        <v>1</v>
      </c>
      <c r="N3085">
        <v>0</v>
      </c>
      <c r="O3085">
        <v>1.04159957011625E-3</v>
      </c>
      <c r="P3085">
        <v>0</v>
      </c>
      <c r="Q3085">
        <v>0</v>
      </c>
      <c r="R3085">
        <v>0</v>
      </c>
      <c r="S3085">
        <v>0</v>
      </c>
      <c r="T3085">
        <v>39.663424999999997</v>
      </c>
      <c r="U3085">
        <f t="shared" si="96"/>
        <v>0</v>
      </c>
      <c r="V3085">
        <f t="shared" si="97"/>
        <v>0</v>
      </c>
    </row>
    <row r="3086" spans="1:22" x14ac:dyDescent="0.2">
      <c r="A3086" t="s">
        <v>164</v>
      </c>
      <c r="B3086" t="s">
        <v>8</v>
      </c>
      <c r="C3086" t="s">
        <v>76</v>
      </c>
      <c r="D3086" t="s">
        <v>77</v>
      </c>
      <c r="E3086">
        <v>12</v>
      </c>
      <c r="F3086" t="s">
        <v>194</v>
      </c>
      <c r="G3086">
        <v>67</v>
      </c>
      <c r="H3086">
        <v>1442</v>
      </c>
      <c r="I3086">
        <v>53</v>
      </c>
      <c r="J3086">
        <v>60</v>
      </c>
      <c r="K3086">
        <v>55</v>
      </c>
      <c r="L3086">
        <v>-1389</v>
      </c>
      <c r="M3086" s="1" t="s">
        <v>5143</v>
      </c>
      <c r="N3086">
        <v>3.5451505016722402E-2</v>
      </c>
      <c r="O3086" s="1" t="s">
        <v>5144</v>
      </c>
      <c r="P3086">
        <v>0</v>
      </c>
      <c r="Q3086">
        <v>0</v>
      </c>
      <c r="R3086">
        <v>0</v>
      </c>
      <c r="S3086">
        <v>0</v>
      </c>
      <c r="T3086">
        <v>39.663424999999997</v>
      </c>
      <c r="U3086">
        <f t="shared" si="96"/>
        <v>0</v>
      </c>
      <c r="V3086">
        <f t="shared" si="97"/>
        <v>0</v>
      </c>
    </row>
    <row r="3087" spans="1:22" x14ac:dyDescent="0.2">
      <c r="A3087" t="s">
        <v>164</v>
      </c>
      <c r="B3087" t="s">
        <v>8</v>
      </c>
      <c r="C3087" t="s">
        <v>76</v>
      </c>
      <c r="D3087" t="s">
        <v>77</v>
      </c>
      <c r="E3087" s="1" t="s">
        <v>155</v>
      </c>
      <c r="F3087" t="s">
        <v>156</v>
      </c>
      <c r="G3087" s="1" t="s">
        <v>155</v>
      </c>
      <c r="H3087">
        <v>1445</v>
      </c>
      <c r="I3087">
        <v>43170</v>
      </c>
      <c r="J3087">
        <v>76</v>
      </c>
      <c r="K3087">
        <v>40</v>
      </c>
      <c r="L3087">
        <v>41725</v>
      </c>
      <c r="M3087">
        <v>3.2388210243191697E-2</v>
      </c>
      <c r="N3087" s="1" t="s">
        <v>5145</v>
      </c>
      <c r="O3087" s="1" t="s">
        <v>5146</v>
      </c>
      <c r="P3087">
        <v>0</v>
      </c>
      <c r="Q3087">
        <v>0</v>
      </c>
      <c r="R3087">
        <v>0</v>
      </c>
      <c r="S3087">
        <v>0</v>
      </c>
      <c r="T3087">
        <v>39.663424999999997</v>
      </c>
      <c r="U3087">
        <f t="shared" si="96"/>
        <v>0</v>
      </c>
      <c r="V3087">
        <f t="shared" si="97"/>
        <v>0</v>
      </c>
    </row>
    <row r="3088" spans="1:22" x14ac:dyDescent="0.2">
      <c r="A3088" t="s">
        <v>164</v>
      </c>
      <c r="B3088" t="s">
        <v>8</v>
      </c>
      <c r="C3088" t="s">
        <v>76</v>
      </c>
      <c r="D3088" t="s">
        <v>77</v>
      </c>
      <c r="E3088" s="1" t="s">
        <v>82</v>
      </c>
      <c r="F3088" t="s">
        <v>83</v>
      </c>
      <c r="G3088">
        <v>14</v>
      </c>
      <c r="H3088">
        <v>0</v>
      </c>
      <c r="I3088">
        <v>62</v>
      </c>
      <c r="J3088">
        <v>41</v>
      </c>
      <c r="K3088">
        <v>50</v>
      </c>
      <c r="L3088">
        <v>62</v>
      </c>
      <c r="M3088">
        <v>0</v>
      </c>
      <c r="N3088">
        <v>1</v>
      </c>
      <c r="O3088" s="1" t="s">
        <v>5147</v>
      </c>
      <c r="P3088">
        <v>0</v>
      </c>
      <c r="Q3088">
        <v>0</v>
      </c>
      <c r="R3088">
        <v>0</v>
      </c>
      <c r="S3088">
        <v>0</v>
      </c>
      <c r="T3088">
        <v>39.663424999999997</v>
      </c>
      <c r="U3088">
        <f t="shared" si="96"/>
        <v>0</v>
      </c>
      <c r="V3088">
        <f t="shared" si="97"/>
        <v>0</v>
      </c>
    </row>
    <row r="3089" spans="1:22" x14ac:dyDescent="0.2">
      <c r="A3089" t="s">
        <v>814</v>
      </c>
      <c r="B3089" t="s">
        <v>12</v>
      </c>
      <c r="C3089" t="s">
        <v>76</v>
      </c>
      <c r="D3089" t="s">
        <v>77</v>
      </c>
      <c r="E3089">
        <v>15</v>
      </c>
      <c r="F3089" t="s">
        <v>88</v>
      </c>
      <c r="G3089">
        <v>72</v>
      </c>
      <c r="H3089">
        <v>3531242</v>
      </c>
      <c r="I3089">
        <v>0</v>
      </c>
      <c r="J3089">
        <v>99</v>
      </c>
      <c r="K3089">
        <v>74</v>
      </c>
      <c r="L3089">
        <v>-3531242</v>
      </c>
      <c r="M3089">
        <v>1</v>
      </c>
      <c r="N3089">
        <v>0</v>
      </c>
      <c r="O3089" s="1" t="s">
        <v>5148</v>
      </c>
      <c r="P3089">
        <v>0</v>
      </c>
      <c r="Q3089">
        <v>0</v>
      </c>
      <c r="R3089">
        <v>0</v>
      </c>
      <c r="S3089">
        <v>0</v>
      </c>
      <c r="T3089">
        <v>41.643896949999998</v>
      </c>
      <c r="U3089">
        <f t="shared" si="96"/>
        <v>0</v>
      </c>
      <c r="V3089">
        <f t="shared" si="97"/>
        <v>0</v>
      </c>
    </row>
    <row r="3090" spans="1:22" x14ac:dyDescent="0.2">
      <c r="A3090" t="s">
        <v>814</v>
      </c>
      <c r="B3090" t="s">
        <v>12</v>
      </c>
      <c r="C3090" t="s">
        <v>76</v>
      </c>
      <c r="D3090" t="s">
        <v>77</v>
      </c>
      <c r="E3090" s="1" t="s">
        <v>155</v>
      </c>
      <c r="F3090" t="s">
        <v>156</v>
      </c>
      <c r="G3090" s="1" t="s">
        <v>82</v>
      </c>
      <c r="H3090">
        <v>2223218</v>
      </c>
      <c r="I3090">
        <v>0</v>
      </c>
      <c r="J3090">
        <v>20</v>
      </c>
      <c r="K3090">
        <v>59</v>
      </c>
      <c r="L3090">
        <v>-2223218</v>
      </c>
      <c r="M3090">
        <v>1</v>
      </c>
      <c r="N3090">
        <v>0</v>
      </c>
      <c r="O3090">
        <v>6.48723182788745E-3</v>
      </c>
      <c r="P3090">
        <v>0</v>
      </c>
      <c r="Q3090">
        <v>0</v>
      </c>
      <c r="R3090">
        <v>0</v>
      </c>
      <c r="S3090">
        <v>0</v>
      </c>
      <c r="T3090">
        <v>41.643896949999998</v>
      </c>
      <c r="U3090">
        <f t="shared" si="96"/>
        <v>0</v>
      </c>
      <c r="V3090">
        <f t="shared" si="97"/>
        <v>0</v>
      </c>
    </row>
    <row r="3091" spans="1:22" x14ac:dyDescent="0.2">
      <c r="A3091" t="s">
        <v>814</v>
      </c>
      <c r="B3091" t="s">
        <v>12</v>
      </c>
      <c r="C3091" t="s">
        <v>76</v>
      </c>
      <c r="D3091" t="s">
        <v>77</v>
      </c>
      <c r="E3091" s="1" t="s">
        <v>110</v>
      </c>
      <c r="F3091" t="s">
        <v>111</v>
      </c>
      <c r="G3091">
        <v>15</v>
      </c>
      <c r="H3091">
        <v>84626</v>
      </c>
      <c r="I3091">
        <v>0</v>
      </c>
      <c r="J3091">
        <v>79</v>
      </c>
      <c r="K3091">
        <v>86</v>
      </c>
      <c r="L3091">
        <v>-84626</v>
      </c>
      <c r="M3091">
        <v>1</v>
      </c>
      <c r="N3091">
        <v>0</v>
      </c>
      <c r="O3091" s="1" t="s">
        <v>5149</v>
      </c>
      <c r="P3091">
        <v>0</v>
      </c>
      <c r="Q3091">
        <v>0</v>
      </c>
      <c r="R3091">
        <v>0</v>
      </c>
      <c r="S3091">
        <v>0</v>
      </c>
      <c r="T3091">
        <v>41.643896949999998</v>
      </c>
      <c r="U3091">
        <f t="shared" si="96"/>
        <v>0</v>
      </c>
      <c r="V3091">
        <f t="shared" si="97"/>
        <v>0</v>
      </c>
    </row>
    <row r="3092" spans="1:22" x14ac:dyDescent="0.2">
      <c r="A3092" t="s">
        <v>814</v>
      </c>
      <c r="B3092" t="s">
        <v>12</v>
      </c>
      <c r="C3092" t="s">
        <v>76</v>
      </c>
      <c r="D3092" t="s">
        <v>77</v>
      </c>
      <c r="E3092" s="1" t="s">
        <v>89</v>
      </c>
      <c r="F3092" t="s">
        <v>90</v>
      </c>
      <c r="G3092">
        <v>35</v>
      </c>
      <c r="H3092">
        <v>23216</v>
      </c>
      <c r="I3092">
        <v>0</v>
      </c>
      <c r="J3092">
        <v>52</v>
      </c>
      <c r="K3092">
        <v>73</v>
      </c>
      <c r="L3092">
        <v>-23216</v>
      </c>
      <c r="M3092">
        <v>1</v>
      </c>
      <c r="N3092">
        <v>0</v>
      </c>
      <c r="O3092" s="1" t="s">
        <v>5150</v>
      </c>
      <c r="P3092">
        <v>0</v>
      </c>
      <c r="Q3092">
        <v>0</v>
      </c>
      <c r="R3092">
        <v>0</v>
      </c>
      <c r="S3092">
        <v>0</v>
      </c>
      <c r="T3092">
        <v>41.643896949999998</v>
      </c>
      <c r="U3092">
        <f t="shared" si="96"/>
        <v>0</v>
      </c>
      <c r="V3092">
        <f t="shared" si="97"/>
        <v>0</v>
      </c>
    </row>
    <row r="3093" spans="1:22" x14ac:dyDescent="0.2">
      <c r="A3093" t="s">
        <v>814</v>
      </c>
      <c r="B3093" t="s">
        <v>12</v>
      </c>
      <c r="C3093" t="s">
        <v>76</v>
      </c>
      <c r="D3093" t="s">
        <v>77</v>
      </c>
      <c r="E3093" s="1" t="s">
        <v>89</v>
      </c>
      <c r="F3093" t="s">
        <v>90</v>
      </c>
      <c r="G3093">
        <v>29</v>
      </c>
      <c r="H3093">
        <v>8185</v>
      </c>
      <c r="I3093">
        <v>0</v>
      </c>
      <c r="J3093">
        <v>115</v>
      </c>
      <c r="K3093">
        <v>81</v>
      </c>
      <c r="L3093">
        <v>-8185</v>
      </c>
      <c r="M3093">
        <v>1</v>
      </c>
      <c r="N3093">
        <v>0</v>
      </c>
      <c r="O3093" s="1" t="s">
        <v>5151</v>
      </c>
      <c r="P3093">
        <v>0</v>
      </c>
      <c r="Q3093">
        <v>0</v>
      </c>
      <c r="R3093">
        <v>0</v>
      </c>
      <c r="S3093">
        <v>0</v>
      </c>
      <c r="T3093">
        <v>41.643896949999998</v>
      </c>
      <c r="U3093">
        <f t="shared" si="96"/>
        <v>0</v>
      </c>
      <c r="V3093">
        <f t="shared" si="97"/>
        <v>0</v>
      </c>
    </row>
    <row r="3094" spans="1:22" x14ac:dyDescent="0.2">
      <c r="A3094" t="s">
        <v>814</v>
      </c>
      <c r="B3094" t="s">
        <v>12</v>
      </c>
      <c r="C3094" t="s">
        <v>76</v>
      </c>
      <c r="D3094" t="s">
        <v>77</v>
      </c>
      <c r="E3094">
        <v>13</v>
      </c>
      <c r="F3094" t="s">
        <v>91</v>
      </c>
      <c r="G3094">
        <v>70</v>
      </c>
      <c r="H3094">
        <v>441</v>
      </c>
      <c r="I3094">
        <v>0</v>
      </c>
      <c r="J3094">
        <v>125</v>
      </c>
      <c r="K3094">
        <v>88</v>
      </c>
      <c r="L3094">
        <v>-441</v>
      </c>
      <c r="M3094">
        <v>1</v>
      </c>
      <c r="N3094">
        <v>0</v>
      </c>
      <c r="O3094" s="1" t="s">
        <v>5152</v>
      </c>
      <c r="P3094">
        <v>0</v>
      </c>
      <c r="Q3094">
        <v>0</v>
      </c>
      <c r="R3094">
        <v>0</v>
      </c>
      <c r="S3094">
        <v>0</v>
      </c>
      <c r="T3094">
        <v>41.643896949999998</v>
      </c>
      <c r="U3094">
        <f t="shared" si="96"/>
        <v>0</v>
      </c>
      <c r="V3094">
        <f t="shared" si="97"/>
        <v>0</v>
      </c>
    </row>
    <row r="3095" spans="1:22" x14ac:dyDescent="0.2">
      <c r="A3095" t="s">
        <v>814</v>
      </c>
      <c r="B3095" t="s">
        <v>12</v>
      </c>
      <c r="C3095" t="s">
        <v>76</v>
      </c>
      <c r="D3095" t="s">
        <v>77</v>
      </c>
      <c r="E3095" s="1" t="s">
        <v>99</v>
      </c>
      <c r="F3095" t="s">
        <v>100</v>
      </c>
      <c r="G3095">
        <v>39</v>
      </c>
      <c r="H3095">
        <v>265</v>
      </c>
      <c r="I3095">
        <v>0</v>
      </c>
      <c r="J3095">
        <v>139</v>
      </c>
      <c r="K3095">
        <v>109</v>
      </c>
      <c r="L3095">
        <v>-265</v>
      </c>
      <c r="M3095">
        <v>1</v>
      </c>
      <c r="N3095">
        <v>0</v>
      </c>
      <c r="O3095" s="1" t="s">
        <v>5153</v>
      </c>
      <c r="P3095">
        <v>0</v>
      </c>
      <c r="Q3095">
        <v>0</v>
      </c>
      <c r="R3095">
        <v>0</v>
      </c>
      <c r="S3095">
        <v>0</v>
      </c>
      <c r="T3095">
        <v>41.643896949999998</v>
      </c>
      <c r="U3095">
        <f t="shared" si="96"/>
        <v>0</v>
      </c>
      <c r="V3095">
        <f t="shared" si="97"/>
        <v>0</v>
      </c>
    </row>
    <row r="3096" spans="1:22" x14ac:dyDescent="0.2">
      <c r="A3096" t="s">
        <v>814</v>
      </c>
      <c r="B3096" t="s">
        <v>12</v>
      </c>
      <c r="C3096" t="s">
        <v>76</v>
      </c>
      <c r="D3096" t="s">
        <v>77</v>
      </c>
      <c r="E3096">
        <v>20</v>
      </c>
      <c r="F3096" t="s">
        <v>104</v>
      </c>
      <c r="G3096">
        <v>95</v>
      </c>
      <c r="H3096">
        <v>221</v>
      </c>
      <c r="I3096">
        <v>0</v>
      </c>
      <c r="J3096">
        <v>124</v>
      </c>
      <c r="K3096">
        <v>91</v>
      </c>
      <c r="L3096">
        <v>-221</v>
      </c>
      <c r="M3096">
        <v>1</v>
      </c>
      <c r="N3096">
        <v>0</v>
      </c>
      <c r="O3096" s="1" t="s">
        <v>5154</v>
      </c>
      <c r="P3096">
        <v>0</v>
      </c>
      <c r="Q3096">
        <v>0</v>
      </c>
      <c r="R3096">
        <v>0</v>
      </c>
      <c r="S3096">
        <v>0</v>
      </c>
      <c r="T3096">
        <v>41.643896949999998</v>
      </c>
      <c r="U3096">
        <f t="shared" si="96"/>
        <v>0</v>
      </c>
      <c r="V3096">
        <f t="shared" si="97"/>
        <v>0</v>
      </c>
    </row>
    <row r="3097" spans="1:22" x14ac:dyDescent="0.2">
      <c r="A3097" t="s">
        <v>814</v>
      </c>
      <c r="B3097" t="s">
        <v>12</v>
      </c>
      <c r="C3097" t="s">
        <v>76</v>
      </c>
      <c r="D3097" t="s">
        <v>77</v>
      </c>
      <c r="E3097">
        <v>11</v>
      </c>
      <c r="F3097" t="s">
        <v>127</v>
      </c>
      <c r="G3097">
        <v>61</v>
      </c>
      <c r="H3097">
        <v>0</v>
      </c>
      <c r="I3097">
        <v>7584</v>
      </c>
      <c r="J3097">
        <v>126</v>
      </c>
      <c r="K3097">
        <v>89</v>
      </c>
      <c r="L3097">
        <v>7584</v>
      </c>
      <c r="M3097">
        <v>0</v>
      </c>
      <c r="N3097">
        <v>1</v>
      </c>
      <c r="O3097" s="1" t="s">
        <v>5155</v>
      </c>
      <c r="P3097">
        <v>0</v>
      </c>
      <c r="Q3097">
        <v>0</v>
      </c>
      <c r="R3097">
        <v>0</v>
      </c>
      <c r="S3097">
        <v>0</v>
      </c>
      <c r="T3097">
        <v>41.643896949999998</v>
      </c>
      <c r="U3097">
        <f t="shared" si="96"/>
        <v>0</v>
      </c>
      <c r="V3097">
        <f t="shared" si="97"/>
        <v>0</v>
      </c>
    </row>
    <row r="3098" spans="1:22" x14ac:dyDescent="0.2">
      <c r="A3098" t="s">
        <v>828</v>
      </c>
      <c r="B3098" t="s">
        <v>13</v>
      </c>
      <c r="C3098" t="s">
        <v>76</v>
      </c>
      <c r="D3098" t="s">
        <v>77</v>
      </c>
      <c r="E3098" s="1" t="s">
        <v>82</v>
      </c>
      <c r="F3098" t="s">
        <v>83</v>
      </c>
      <c r="G3098" s="1" t="s">
        <v>93</v>
      </c>
      <c r="H3098">
        <v>87455</v>
      </c>
      <c r="I3098">
        <v>0</v>
      </c>
      <c r="J3098">
        <v>62</v>
      </c>
      <c r="K3098">
        <v>110</v>
      </c>
      <c r="L3098">
        <v>-87455</v>
      </c>
      <c r="M3098">
        <v>1</v>
      </c>
      <c r="N3098">
        <v>0</v>
      </c>
      <c r="O3098" s="1" t="s">
        <v>5156</v>
      </c>
      <c r="P3098">
        <v>0</v>
      </c>
      <c r="Q3098">
        <v>0</v>
      </c>
      <c r="R3098">
        <v>0</v>
      </c>
      <c r="S3098">
        <v>0</v>
      </c>
      <c r="T3098">
        <v>100.6357569</v>
      </c>
      <c r="U3098">
        <f t="shared" si="96"/>
        <v>0</v>
      </c>
      <c r="V3098">
        <f t="shared" si="97"/>
        <v>0</v>
      </c>
    </row>
    <row r="3099" spans="1:22" x14ac:dyDescent="0.2">
      <c r="A3099" t="s">
        <v>828</v>
      </c>
      <c r="B3099" t="s">
        <v>13</v>
      </c>
      <c r="C3099" t="s">
        <v>76</v>
      </c>
      <c r="D3099" t="s">
        <v>77</v>
      </c>
      <c r="E3099" s="1" t="s">
        <v>82</v>
      </c>
      <c r="F3099" t="s">
        <v>83</v>
      </c>
      <c r="G3099">
        <v>11</v>
      </c>
      <c r="H3099">
        <v>33328</v>
      </c>
      <c r="I3099">
        <v>0</v>
      </c>
      <c r="J3099">
        <v>79</v>
      </c>
      <c r="K3099">
        <v>71</v>
      </c>
      <c r="L3099">
        <v>-33328</v>
      </c>
      <c r="M3099">
        <v>1</v>
      </c>
      <c r="N3099">
        <v>0</v>
      </c>
      <c r="O3099" s="1" t="s">
        <v>5157</v>
      </c>
      <c r="P3099">
        <v>0</v>
      </c>
      <c r="Q3099">
        <v>0</v>
      </c>
      <c r="R3099">
        <v>0</v>
      </c>
      <c r="S3099">
        <v>0</v>
      </c>
      <c r="T3099">
        <v>100.6357569</v>
      </c>
      <c r="U3099">
        <f t="shared" si="96"/>
        <v>0</v>
      </c>
      <c r="V3099">
        <f t="shared" si="97"/>
        <v>0</v>
      </c>
    </row>
    <row r="3100" spans="1:22" x14ac:dyDescent="0.2">
      <c r="A3100" t="s">
        <v>828</v>
      </c>
      <c r="B3100" t="s">
        <v>13</v>
      </c>
      <c r="C3100" t="s">
        <v>76</v>
      </c>
      <c r="D3100" t="s">
        <v>77</v>
      </c>
      <c r="E3100">
        <v>13</v>
      </c>
      <c r="F3100" t="s">
        <v>91</v>
      </c>
      <c r="G3100">
        <v>68</v>
      </c>
      <c r="H3100">
        <v>4122</v>
      </c>
      <c r="I3100">
        <v>0</v>
      </c>
      <c r="J3100">
        <v>109</v>
      </c>
      <c r="K3100">
        <v>85</v>
      </c>
      <c r="L3100">
        <v>-4122</v>
      </c>
      <c r="M3100">
        <v>1</v>
      </c>
      <c r="N3100">
        <v>0</v>
      </c>
      <c r="O3100" s="1" t="s">
        <v>5158</v>
      </c>
      <c r="P3100">
        <v>0</v>
      </c>
      <c r="Q3100">
        <v>0</v>
      </c>
      <c r="R3100">
        <v>0</v>
      </c>
      <c r="S3100">
        <v>0</v>
      </c>
      <c r="T3100">
        <v>100.6357569</v>
      </c>
      <c r="U3100">
        <f t="shared" si="96"/>
        <v>0</v>
      </c>
      <c r="V3100">
        <f t="shared" si="97"/>
        <v>0</v>
      </c>
    </row>
    <row r="3101" spans="1:22" x14ac:dyDescent="0.2">
      <c r="A3101" t="s">
        <v>828</v>
      </c>
      <c r="B3101" t="s">
        <v>13</v>
      </c>
      <c r="C3101" t="s">
        <v>76</v>
      </c>
      <c r="D3101" t="s">
        <v>77</v>
      </c>
      <c r="E3101">
        <v>11</v>
      </c>
      <c r="F3101" t="s">
        <v>127</v>
      </c>
      <c r="G3101">
        <v>61</v>
      </c>
      <c r="H3101">
        <v>566</v>
      </c>
      <c r="I3101">
        <v>0</v>
      </c>
      <c r="J3101">
        <v>111</v>
      </c>
      <c r="K3101">
        <v>104</v>
      </c>
      <c r="L3101">
        <v>-566</v>
      </c>
      <c r="M3101">
        <v>1</v>
      </c>
      <c r="N3101">
        <v>0</v>
      </c>
      <c r="O3101" s="1" t="s">
        <v>5159</v>
      </c>
      <c r="P3101">
        <v>0</v>
      </c>
      <c r="Q3101">
        <v>0</v>
      </c>
      <c r="R3101">
        <v>0</v>
      </c>
      <c r="S3101">
        <v>0</v>
      </c>
      <c r="T3101">
        <v>100.6357569</v>
      </c>
      <c r="U3101">
        <f t="shared" si="96"/>
        <v>0</v>
      </c>
      <c r="V3101">
        <f t="shared" si="97"/>
        <v>0</v>
      </c>
    </row>
    <row r="3102" spans="1:22" x14ac:dyDescent="0.2">
      <c r="A3102" t="s">
        <v>828</v>
      </c>
      <c r="B3102" t="s">
        <v>13</v>
      </c>
      <c r="C3102" t="s">
        <v>76</v>
      </c>
      <c r="D3102" t="s">
        <v>77</v>
      </c>
      <c r="E3102" s="1" t="s">
        <v>138</v>
      </c>
      <c r="F3102" t="s">
        <v>139</v>
      </c>
      <c r="G3102">
        <v>18</v>
      </c>
      <c r="H3102">
        <v>625</v>
      </c>
      <c r="I3102">
        <v>0</v>
      </c>
      <c r="J3102">
        <v>99</v>
      </c>
      <c r="K3102">
        <v>82</v>
      </c>
      <c r="L3102">
        <v>-625</v>
      </c>
      <c r="M3102">
        <v>1</v>
      </c>
      <c r="N3102">
        <v>0</v>
      </c>
      <c r="O3102" s="1" t="s">
        <v>5160</v>
      </c>
      <c r="P3102">
        <v>0</v>
      </c>
      <c r="Q3102">
        <v>0</v>
      </c>
      <c r="R3102">
        <v>0</v>
      </c>
      <c r="S3102">
        <v>0</v>
      </c>
      <c r="T3102">
        <v>100.6357569</v>
      </c>
      <c r="U3102">
        <f t="shared" si="96"/>
        <v>0</v>
      </c>
      <c r="V3102">
        <f t="shared" si="97"/>
        <v>0</v>
      </c>
    </row>
    <row r="3103" spans="1:22" x14ac:dyDescent="0.2">
      <c r="A3103" t="s">
        <v>857</v>
      </c>
      <c r="B3103" t="s">
        <v>14</v>
      </c>
      <c r="C3103" t="s">
        <v>76</v>
      </c>
      <c r="D3103" t="s">
        <v>77</v>
      </c>
      <c r="E3103" s="1" t="s">
        <v>85</v>
      </c>
      <c r="F3103" t="s">
        <v>86</v>
      </c>
      <c r="G3103">
        <v>27</v>
      </c>
      <c r="H3103">
        <v>7042804</v>
      </c>
      <c r="I3103">
        <v>0</v>
      </c>
      <c r="J3103">
        <v>103</v>
      </c>
      <c r="K3103">
        <v>91</v>
      </c>
      <c r="L3103">
        <v>-7042804</v>
      </c>
      <c r="M3103">
        <v>1</v>
      </c>
      <c r="N3103">
        <v>0</v>
      </c>
      <c r="O3103">
        <v>2.1598239563539401E-2</v>
      </c>
      <c r="P3103">
        <v>0</v>
      </c>
      <c r="Q3103">
        <v>0</v>
      </c>
      <c r="R3103">
        <v>0</v>
      </c>
      <c r="S3103">
        <v>0</v>
      </c>
      <c r="T3103">
        <v>30.8574895</v>
      </c>
      <c r="U3103">
        <f t="shared" si="96"/>
        <v>0</v>
      </c>
      <c r="V3103">
        <f t="shared" si="97"/>
        <v>0</v>
      </c>
    </row>
    <row r="3104" spans="1:22" x14ac:dyDescent="0.2">
      <c r="A3104" t="s">
        <v>857</v>
      </c>
      <c r="B3104" t="s">
        <v>14</v>
      </c>
      <c r="C3104" t="s">
        <v>76</v>
      </c>
      <c r="D3104" t="s">
        <v>77</v>
      </c>
      <c r="E3104">
        <v>11</v>
      </c>
      <c r="F3104" t="s">
        <v>127</v>
      </c>
      <c r="G3104">
        <v>58</v>
      </c>
      <c r="H3104">
        <v>17152</v>
      </c>
      <c r="I3104">
        <v>0</v>
      </c>
      <c r="J3104">
        <v>29</v>
      </c>
      <c r="K3104">
        <v>65</v>
      </c>
      <c r="L3104">
        <v>-17152</v>
      </c>
      <c r="M3104">
        <v>1</v>
      </c>
      <c r="N3104">
        <v>0</v>
      </c>
      <c r="O3104" s="1" t="s">
        <v>5161</v>
      </c>
      <c r="P3104">
        <v>0</v>
      </c>
      <c r="Q3104">
        <v>0</v>
      </c>
      <c r="R3104">
        <v>0</v>
      </c>
      <c r="S3104">
        <v>0</v>
      </c>
      <c r="T3104">
        <v>30.8574895</v>
      </c>
      <c r="U3104">
        <f t="shared" si="96"/>
        <v>0</v>
      </c>
      <c r="V3104">
        <f t="shared" si="97"/>
        <v>0</v>
      </c>
    </row>
    <row r="3105" spans="1:22" x14ac:dyDescent="0.2">
      <c r="A3105" t="s">
        <v>857</v>
      </c>
      <c r="B3105" t="s">
        <v>14</v>
      </c>
      <c r="C3105" t="s">
        <v>76</v>
      </c>
      <c r="D3105" t="s">
        <v>77</v>
      </c>
      <c r="E3105" s="1" t="s">
        <v>138</v>
      </c>
      <c r="F3105" t="s">
        <v>139</v>
      </c>
      <c r="G3105">
        <v>21</v>
      </c>
      <c r="H3105">
        <v>19452</v>
      </c>
      <c r="I3105">
        <v>0</v>
      </c>
      <c r="J3105">
        <v>103</v>
      </c>
      <c r="K3105">
        <v>99</v>
      </c>
      <c r="L3105">
        <v>-19452</v>
      </c>
      <c r="M3105">
        <v>1</v>
      </c>
      <c r="N3105">
        <v>0</v>
      </c>
      <c r="O3105" s="1" t="s">
        <v>5162</v>
      </c>
      <c r="P3105">
        <v>0</v>
      </c>
      <c r="Q3105">
        <v>0</v>
      </c>
      <c r="R3105">
        <v>0</v>
      </c>
      <c r="S3105">
        <v>0</v>
      </c>
      <c r="T3105">
        <v>30.8574895</v>
      </c>
      <c r="U3105">
        <f t="shared" si="96"/>
        <v>0</v>
      </c>
      <c r="V3105">
        <f t="shared" si="97"/>
        <v>0</v>
      </c>
    </row>
    <row r="3106" spans="1:22" x14ac:dyDescent="0.2">
      <c r="A3106" t="s">
        <v>857</v>
      </c>
      <c r="B3106" t="s">
        <v>14</v>
      </c>
      <c r="C3106" t="s">
        <v>76</v>
      </c>
      <c r="D3106" t="s">
        <v>77</v>
      </c>
      <c r="E3106">
        <v>18</v>
      </c>
      <c r="F3106" t="s">
        <v>147</v>
      </c>
      <c r="G3106">
        <v>90</v>
      </c>
      <c r="H3106">
        <v>6254</v>
      </c>
      <c r="I3106">
        <v>0</v>
      </c>
      <c r="J3106">
        <v>136</v>
      </c>
      <c r="K3106">
        <v>103</v>
      </c>
      <c r="L3106">
        <v>-6254</v>
      </c>
      <c r="M3106">
        <v>1</v>
      </c>
      <c r="N3106">
        <v>0</v>
      </c>
      <c r="O3106" s="1" t="s">
        <v>5163</v>
      </c>
      <c r="P3106">
        <v>0</v>
      </c>
      <c r="Q3106">
        <v>0</v>
      </c>
      <c r="R3106">
        <v>0</v>
      </c>
      <c r="S3106">
        <v>0</v>
      </c>
      <c r="T3106">
        <v>30.8574895</v>
      </c>
      <c r="U3106">
        <f t="shared" si="96"/>
        <v>0</v>
      </c>
      <c r="V3106">
        <f t="shared" si="97"/>
        <v>0</v>
      </c>
    </row>
    <row r="3107" spans="1:22" x14ac:dyDescent="0.2">
      <c r="A3107" t="s">
        <v>857</v>
      </c>
      <c r="B3107" t="s">
        <v>14</v>
      </c>
      <c r="C3107" t="s">
        <v>76</v>
      </c>
      <c r="D3107" t="s">
        <v>77</v>
      </c>
      <c r="E3107">
        <v>12</v>
      </c>
      <c r="F3107" t="s">
        <v>194</v>
      </c>
      <c r="G3107">
        <v>67</v>
      </c>
      <c r="H3107">
        <v>2445</v>
      </c>
      <c r="I3107">
        <v>0</v>
      </c>
      <c r="J3107">
        <v>51</v>
      </c>
      <c r="K3107">
        <v>62</v>
      </c>
      <c r="L3107">
        <v>-2445</v>
      </c>
      <c r="M3107">
        <v>1</v>
      </c>
      <c r="N3107">
        <v>0</v>
      </c>
      <c r="O3107" s="1" t="s">
        <v>5164</v>
      </c>
      <c r="P3107">
        <v>0</v>
      </c>
      <c r="Q3107">
        <v>0</v>
      </c>
      <c r="R3107">
        <v>0</v>
      </c>
      <c r="S3107">
        <v>0</v>
      </c>
      <c r="T3107">
        <v>30.8574895</v>
      </c>
      <c r="U3107">
        <f t="shared" si="96"/>
        <v>0</v>
      </c>
      <c r="V3107">
        <f t="shared" si="97"/>
        <v>0</v>
      </c>
    </row>
    <row r="3108" spans="1:22" x14ac:dyDescent="0.2">
      <c r="A3108" t="s">
        <v>857</v>
      </c>
      <c r="B3108" t="s">
        <v>14</v>
      </c>
      <c r="C3108" t="s">
        <v>76</v>
      </c>
      <c r="D3108" t="s">
        <v>77</v>
      </c>
      <c r="E3108" s="1" t="s">
        <v>138</v>
      </c>
      <c r="F3108" t="s">
        <v>139</v>
      </c>
      <c r="G3108">
        <v>18</v>
      </c>
      <c r="H3108">
        <v>5651</v>
      </c>
      <c r="I3108">
        <v>0</v>
      </c>
      <c r="J3108">
        <v>91</v>
      </c>
      <c r="K3108">
        <v>82</v>
      </c>
      <c r="L3108">
        <v>-5651</v>
      </c>
      <c r="M3108">
        <v>1</v>
      </c>
      <c r="N3108">
        <v>0</v>
      </c>
      <c r="O3108" s="1" t="s">
        <v>5165</v>
      </c>
      <c r="P3108">
        <v>0</v>
      </c>
      <c r="Q3108">
        <v>0</v>
      </c>
      <c r="R3108">
        <v>0</v>
      </c>
      <c r="S3108">
        <v>0</v>
      </c>
      <c r="T3108">
        <v>30.8574895</v>
      </c>
      <c r="U3108">
        <f t="shared" si="96"/>
        <v>0</v>
      </c>
      <c r="V3108">
        <f t="shared" si="97"/>
        <v>0</v>
      </c>
    </row>
    <row r="3109" spans="1:22" x14ac:dyDescent="0.2">
      <c r="A3109" t="s">
        <v>892</v>
      </c>
      <c r="B3109" t="s">
        <v>15</v>
      </c>
      <c r="C3109" t="s">
        <v>76</v>
      </c>
      <c r="D3109" t="s">
        <v>77</v>
      </c>
      <c r="E3109" s="1" t="s">
        <v>89</v>
      </c>
      <c r="F3109" t="s">
        <v>90</v>
      </c>
      <c r="G3109">
        <v>32</v>
      </c>
      <c r="H3109">
        <v>9880</v>
      </c>
      <c r="I3109">
        <v>0</v>
      </c>
      <c r="J3109">
        <v>109</v>
      </c>
      <c r="K3109">
        <v>80</v>
      </c>
      <c r="L3109">
        <v>-9880</v>
      </c>
      <c r="M3109">
        <v>1</v>
      </c>
      <c r="N3109">
        <v>0</v>
      </c>
      <c r="O3109" s="1" t="s">
        <v>5166</v>
      </c>
      <c r="P3109">
        <v>0</v>
      </c>
      <c r="Q3109">
        <v>0</v>
      </c>
      <c r="R3109">
        <v>0</v>
      </c>
      <c r="S3109">
        <v>0</v>
      </c>
      <c r="T3109">
        <v>62.358898000000003</v>
      </c>
      <c r="U3109">
        <f t="shared" si="96"/>
        <v>0</v>
      </c>
      <c r="V3109">
        <f t="shared" si="97"/>
        <v>0</v>
      </c>
    </row>
    <row r="3110" spans="1:22" x14ac:dyDescent="0.2">
      <c r="A3110" t="s">
        <v>892</v>
      </c>
      <c r="B3110" t="s">
        <v>15</v>
      </c>
      <c r="C3110" t="s">
        <v>76</v>
      </c>
      <c r="D3110" t="s">
        <v>77</v>
      </c>
      <c r="E3110">
        <v>13</v>
      </c>
      <c r="F3110" t="s">
        <v>91</v>
      </c>
      <c r="G3110">
        <v>69</v>
      </c>
      <c r="H3110">
        <v>2401</v>
      </c>
      <c r="I3110">
        <v>0</v>
      </c>
      <c r="J3110">
        <v>96</v>
      </c>
      <c r="K3110">
        <v>91</v>
      </c>
      <c r="L3110">
        <v>-2401</v>
      </c>
      <c r="M3110">
        <v>1</v>
      </c>
      <c r="N3110">
        <v>0</v>
      </c>
      <c r="O3110" s="1" t="s">
        <v>5167</v>
      </c>
      <c r="P3110">
        <v>0</v>
      </c>
      <c r="Q3110">
        <v>0</v>
      </c>
      <c r="R3110">
        <v>0</v>
      </c>
      <c r="S3110">
        <v>0</v>
      </c>
      <c r="T3110">
        <v>62.358898000000003</v>
      </c>
      <c r="U3110">
        <f t="shared" si="96"/>
        <v>0</v>
      </c>
      <c r="V3110">
        <f t="shared" si="97"/>
        <v>0</v>
      </c>
    </row>
    <row r="3111" spans="1:22" x14ac:dyDescent="0.2">
      <c r="A3111" t="s">
        <v>892</v>
      </c>
      <c r="B3111" t="s">
        <v>15</v>
      </c>
      <c r="C3111" t="s">
        <v>76</v>
      </c>
      <c r="D3111" t="s">
        <v>77</v>
      </c>
      <c r="E3111">
        <v>18</v>
      </c>
      <c r="F3111" t="s">
        <v>147</v>
      </c>
      <c r="G3111">
        <v>92</v>
      </c>
      <c r="H3111">
        <v>377</v>
      </c>
      <c r="I3111">
        <v>0</v>
      </c>
      <c r="J3111">
        <v>83</v>
      </c>
      <c r="K3111">
        <v>66</v>
      </c>
      <c r="L3111">
        <v>-377</v>
      </c>
      <c r="M3111">
        <v>1</v>
      </c>
      <c r="N3111">
        <v>0</v>
      </c>
      <c r="O3111" s="1" t="s">
        <v>5168</v>
      </c>
      <c r="P3111">
        <v>0</v>
      </c>
      <c r="Q3111">
        <v>0</v>
      </c>
      <c r="R3111">
        <v>0</v>
      </c>
      <c r="S3111">
        <v>0</v>
      </c>
      <c r="T3111">
        <v>62.358898000000003</v>
      </c>
      <c r="U3111">
        <f t="shared" si="96"/>
        <v>0</v>
      </c>
      <c r="V3111">
        <f t="shared" si="97"/>
        <v>0</v>
      </c>
    </row>
    <row r="3112" spans="1:22" x14ac:dyDescent="0.2">
      <c r="A3112" t="s">
        <v>892</v>
      </c>
      <c r="B3112" t="s">
        <v>15</v>
      </c>
      <c r="C3112" t="s">
        <v>76</v>
      </c>
      <c r="D3112" t="s">
        <v>77</v>
      </c>
      <c r="E3112">
        <v>12</v>
      </c>
      <c r="F3112" t="s">
        <v>194</v>
      </c>
      <c r="G3112">
        <v>64</v>
      </c>
      <c r="H3112">
        <v>275</v>
      </c>
      <c r="I3112">
        <v>0</v>
      </c>
      <c r="J3112">
        <v>113</v>
      </c>
      <c r="K3112">
        <v>94</v>
      </c>
      <c r="L3112">
        <v>-275</v>
      </c>
      <c r="M3112">
        <v>1</v>
      </c>
      <c r="N3112">
        <v>0</v>
      </c>
      <c r="O3112" s="1" t="s">
        <v>5169</v>
      </c>
      <c r="P3112">
        <v>0</v>
      </c>
      <c r="Q3112">
        <v>0</v>
      </c>
      <c r="R3112">
        <v>0</v>
      </c>
      <c r="S3112">
        <v>0</v>
      </c>
      <c r="T3112">
        <v>62.358898000000003</v>
      </c>
      <c r="U3112">
        <f t="shared" si="96"/>
        <v>0</v>
      </c>
      <c r="V3112">
        <f t="shared" si="97"/>
        <v>0</v>
      </c>
    </row>
    <row r="3113" spans="1:22" x14ac:dyDescent="0.2">
      <c r="A3113" t="s">
        <v>892</v>
      </c>
      <c r="B3113" t="s">
        <v>15</v>
      </c>
      <c r="C3113" t="s">
        <v>76</v>
      </c>
      <c r="D3113" t="s">
        <v>77</v>
      </c>
      <c r="E3113" s="1" t="s">
        <v>89</v>
      </c>
      <c r="F3113" t="s">
        <v>90</v>
      </c>
      <c r="G3113">
        <v>33</v>
      </c>
      <c r="H3113">
        <v>189</v>
      </c>
      <c r="I3113">
        <v>0</v>
      </c>
      <c r="J3113">
        <v>129</v>
      </c>
      <c r="K3113">
        <v>95</v>
      </c>
      <c r="L3113">
        <v>-189</v>
      </c>
      <c r="M3113">
        <v>1</v>
      </c>
      <c r="N3113">
        <v>0</v>
      </c>
      <c r="O3113" s="1" t="s">
        <v>5170</v>
      </c>
      <c r="P3113">
        <v>0</v>
      </c>
      <c r="Q3113">
        <v>0</v>
      </c>
      <c r="R3113">
        <v>0</v>
      </c>
      <c r="S3113">
        <v>0</v>
      </c>
      <c r="T3113">
        <v>62.358898000000003</v>
      </c>
      <c r="U3113">
        <f t="shared" si="96"/>
        <v>0</v>
      </c>
      <c r="V3113">
        <f t="shared" si="97"/>
        <v>0</v>
      </c>
    </row>
    <row r="3114" spans="1:22" x14ac:dyDescent="0.2">
      <c r="A3114" t="s">
        <v>892</v>
      </c>
      <c r="B3114" t="s">
        <v>15</v>
      </c>
      <c r="C3114" t="s">
        <v>76</v>
      </c>
      <c r="D3114" t="s">
        <v>77</v>
      </c>
      <c r="E3114">
        <v>11</v>
      </c>
      <c r="F3114" t="s">
        <v>127</v>
      </c>
      <c r="G3114">
        <v>56</v>
      </c>
      <c r="H3114">
        <v>41</v>
      </c>
      <c r="I3114">
        <v>0</v>
      </c>
      <c r="J3114">
        <v>99</v>
      </c>
      <c r="K3114">
        <v>77</v>
      </c>
      <c r="L3114">
        <v>-41</v>
      </c>
      <c r="M3114">
        <v>1</v>
      </c>
      <c r="N3114">
        <v>0</v>
      </c>
      <c r="O3114" s="1" t="s">
        <v>5171</v>
      </c>
      <c r="P3114">
        <v>0</v>
      </c>
      <c r="Q3114">
        <v>0</v>
      </c>
      <c r="R3114">
        <v>0</v>
      </c>
      <c r="S3114">
        <v>0</v>
      </c>
      <c r="T3114">
        <v>62.358898000000003</v>
      </c>
      <c r="U3114">
        <f t="shared" si="96"/>
        <v>0</v>
      </c>
      <c r="V3114">
        <f t="shared" si="97"/>
        <v>0</v>
      </c>
    </row>
    <row r="3115" spans="1:22" x14ac:dyDescent="0.2">
      <c r="A3115" t="s">
        <v>892</v>
      </c>
      <c r="B3115" t="s">
        <v>15</v>
      </c>
      <c r="C3115" t="s">
        <v>76</v>
      </c>
      <c r="D3115" t="s">
        <v>77</v>
      </c>
      <c r="E3115">
        <v>11</v>
      </c>
      <c r="F3115" t="s">
        <v>127</v>
      </c>
      <c r="G3115">
        <v>52</v>
      </c>
      <c r="H3115">
        <v>0</v>
      </c>
      <c r="I3115">
        <v>1856</v>
      </c>
      <c r="J3115">
        <v>81</v>
      </c>
      <c r="K3115">
        <v>56</v>
      </c>
      <c r="L3115">
        <v>1856</v>
      </c>
      <c r="M3115">
        <v>0</v>
      </c>
      <c r="N3115">
        <v>1</v>
      </c>
      <c r="O3115" s="1" t="s">
        <v>5172</v>
      </c>
      <c r="P3115">
        <v>0</v>
      </c>
      <c r="Q3115">
        <v>0</v>
      </c>
      <c r="R3115">
        <v>0</v>
      </c>
      <c r="S3115">
        <v>0</v>
      </c>
      <c r="T3115">
        <v>62.358898000000003</v>
      </c>
      <c r="U3115">
        <f t="shared" si="96"/>
        <v>0</v>
      </c>
      <c r="V3115">
        <f t="shared" si="97"/>
        <v>0</v>
      </c>
    </row>
    <row r="3116" spans="1:22" x14ac:dyDescent="0.2">
      <c r="A3116" t="s">
        <v>920</v>
      </c>
      <c r="B3116" t="s">
        <v>16</v>
      </c>
      <c r="C3116" t="s">
        <v>76</v>
      </c>
      <c r="D3116" t="s">
        <v>77</v>
      </c>
      <c r="E3116">
        <v>17</v>
      </c>
      <c r="F3116" t="s">
        <v>97</v>
      </c>
      <c r="G3116">
        <v>86</v>
      </c>
      <c r="H3116">
        <v>32759</v>
      </c>
      <c r="I3116">
        <v>0</v>
      </c>
      <c r="J3116">
        <v>59</v>
      </c>
      <c r="K3116">
        <v>64</v>
      </c>
      <c r="L3116">
        <v>-32759</v>
      </c>
      <c r="M3116">
        <v>1</v>
      </c>
      <c r="N3116">
        <v>0</v>
      </c>
      <c r="O3116" s="1" t="s">
        <v>5173</v>
      </c>
      <c r="P3116">
        <v>0</v>
      </c>
      <c r="Q3116">
        <v>0</v>
      </c>
      <c r="R3116">
        <v>0</v>
      </c>
      <c r="S3116">
        <v>0</v>
      </c>
      <c r="T3116">
        <v>8.9011500350000006</v>
      </c>
      <c r="U3116">
        <f t="shared" si="96"/>
        <v>0</v>
      </c>
      <c r="V3116">
        <f t="shared" si="97"/>
        <v>0</v>
      </c>
    </row>
    <row r="3117" spans="1:22" x14ac:dyDescent="0.2">
      <c r="A3117" t="s">
        <v>920</v>
      </c>
      <c r="B3117" t="s">
        <v>16</v>
      </c>
      <c r="C3117" t="s">
        <v>76</v>
      </c>
      <c r="D3117" t="s">
        <v>77</v>
      </c>
      <c r="E3117">
        <v>13</v>
      </c>
      <c r="F3117" t="s">
        <v>91</v>
      </c>
      <c r="G3117">
        <v>69</v>
      </c>
      <c r="H3117">
        <v>10960</v>
      </c>
      <c r="I3117">
        <v>954</v>
      </c>
      <c r="J3117">
        <v>84</v>
      </c>
      <c r="K3117">
        <v>76</v>
      </c>
      <c r="L3117">
        <v>-10006</v>
      </c>
      <c r="M3117" s="1" t="s">
        <v>5174</v>
      </c>
      <c r="N3117">
        <v>8.0073862682558297E-2</v>
      </c>
      <c r="O3117" s="1" t="s">
        <v>5175</v>
      </c>
      <c r="P3117">
        <v>0</v>
      </c>
      <c r="Q3117">
        <v>0</v>
      </c>
      <c r="R3117">
        <v>0</v>
      </c>
      <c r="S3117">
        <v>0</v>
      </c>
      <c r="T3117">
        <v>8.9011500350000006</v>
      </c>
      <c r="U3117">
        <f t="shared" si="96"/>
        <v>0</v>
      </c>
      <c r="V3117">
        <f t="shared" si="97"/>
        <v>0</v>
      </c>
    </row>
    <row r="3118" spans="1:22" x14ac:dyDescent="0.2">
      <c r="A3118" t="s">
        <v>920</v>
      </c>
      <c r="B3118" t="s">
        <v>16</v>
      </c>
      <c r="C3118" t="s">
        <v>76</v>
      </c>
      <c r="D3118" t="s">
        <v>77</v>
      </c>
      <c r="E3118">
        <v>12</v>
      </c>
      <c r="F3118" t="s">
        <v>194</v>
      </c>
      <c r="G3118">
        <v>66</v>
      </c>
      <c r="H3118">
        <v>699</v>
      </c>
      <c r="I3118">
        <v>0</v>
      </c>
      <c r="J3118">
        <v>40</v>
      </c>
      <c r="K3118">
        <v>57</v>
      </c>
      <c r="L3118">
        <v>-699</v>
      </c>
      <c r="M3118">
        <v>1</v>
      </c>
      <c r="N3118">
        <v>0</v>
      </c>
      <c r="O3118" s="1" t="s">
        <v>5176</v>
      </c>
      <c r="P3118">
        <v>0</v>
      </c>
      <c r="Q3118">
        <v>0</v>
      </c>
      <c r="R3118">
        <v>0</v>
      </c>
      <c r="S3118">
        <v>0</v>
      </c>
      <c r="T3118">
        <v>8.9011500350000006</v>
      </c>
      <c r="U3118">
        <f t="shared" si="96"/>
        <v>0</v>
      </c>
      <c r="V3118">
        <f t="shared" si="97"/>
        <v>0</v>
      </c>
    </row>
    <row r="3119" spans="1:22" x14ac:dyDescent="0.2">
      <c r="A3119" t="s">
        <v>920</v>
      </c>
      <c r="B3119" t="s">
        <v>16</v>
      </c>
      <c r="C3119" t="s">
        <v>76</v>
      </c>
      <c r="D3119" t="s">
        <v>77</v>
      </c>
      <c r="E3119">
        <v>20</v>
      </c>
      <c r="F3119" t="s">
        <v>104</v>
      </c>
      <c r="G3119">
        <v>96</v>
      </c>
      <c r="H3119">
        <v>11340</v>
      </c>
      <c r="I3119">
        <v>0</v>
      </c>
      <c r="J3119">
        <v>81</v>
      </c>
      <c r="K3119">
        <v>90</v>
      </c>
      <c r="L3119">
        <v>-11340</v>
      </c>
      <c r="M3119">
        <v>1</v>
      </c>
      <c r="N3119">
        <v>0</v>
      </c>
      <c r="O3119" s="1" t="s">
        <v>5177</v>
      </c>
      <c r="P3119">
        <v>0</v>
      </c>
      <c r="Q3119">
        <v>0</v>
      </c>
      <c r="R3119">
        <v>0</v>
      </c>
      <c r="S3119">
        <v>0</v>
      </c>
      <c r="T3119">
        <v>8.9011500350000006</v>
      </c>
      <c r="U3119">
        <f t="shared" si="96"/>
        <v>0</v>
      </c>
      <c r="V3119">
        <f t="shared" si="97"/>
        <v>0</v>
      </c>
    </row>
    <row r="3120" spans="1:22" x14ac:dyDescent="0.2">
      <c r="A3120" t="s">
        <v>920</v>
      </c>
      <c r="B3120" t="s">
        <v>16</v>
      </c>
      <c r="C3120" t="s">
        <v>76</v>
      </c>
      <c r="D3120" t="s">
        <v>77</v>
      </c>
      <c r="E3120">
        <v>11</v>
      </c>
      <c r="F3120" t="s">
        <v>127</v>
      </c>
      <c r="G3120">
        <v>59</v>
      </c>
      <c r="H3120">
        <v>5383</v>
      </c>
      <c r="I3120">
        <v>0</v>
      </c>
      <c r="J3120">
        <v>70</v>
      </c>
      <c r="K3120">
        <v>68</v>
      </c>
      <c r="L3120">
        <v>-5383</v>
      </c>
      <c r="M3120">
        <v>1</v>
      </c>
      <c r="N3120">
        <v>0</v>
      </c>
      <c r="O3120" s="1" t="s">
        <v>5178</v>
      </c>
      <c r="P3120">
        <v>0</v>
      </c>
      <c r="Q3120">
        <v>0</v>
      </c>
      <c r="R3120">
        <v>0</v>
      </c>
      <c r="S3120">
        <v>0</v>
      </c>
      <c r="T3120">
        <v>8.9011500350000006</v>
      </c>
      <c r="U3120">
        <f t="shared" si="96"/>
        <v>0</v>
      </c>
      <c r="V3120">
        <f t="shared" si="97"/>
        <v>0</v>
      </c>
    </row>
    <row r="3121" spans="1:22" x14ac:dyDescent="0.2">
      <c r="A3121" t="s">
        <v>920</v>
      </c>
      <c r="B3121" t="s">
        <v>16</v>
      </c>
      <c r="C3121" t="s">
        <v>76</v>
      </c>
      <c r="D3121" t="s">
        <v>77</v>
      </c>
      <c r="E3121">
        <v>20</v>
      </c>
      <c r="F3121" t="s">
        <v>104</v>
      </c>
      <c r="G3121">
        <v>94</v>
      </c>
      <c r="H3121">
        <v>7205</v>
      </c>
      <c r="I3121">
        <v>3742</v>
      </c>
      <c r="J3121">
        <v>114</v>
      </c>
      <c r="K3121">
        <v>84</v>
      </c>
      <c r="L3121">
        <v>-3463</v>
      </c>
      <c r="M3121" s="1" t="s">
        <v>5179</v>
      </c>
      <c r="N3121" s="1" t="s">
        <v>5180</v>
      </c>
      <c r="O3121" s="1" t="s">
        <v>5181</v>
      </c>
      <c r="P3121">
        <v>0</v>
      </c>
      <c r="Q3121">
        <v>0</v>
      </c>
      <c r="R3121">
        <v>0</v>
      </c>
      <c r="S3121">
        <v>0</v>
      </c>
      <c r="T3121">
        <v>8.9011500350000006</v>
      </c>
      <c r="U3121">
        <f t="shared" si="96"/>
        <v>0</v>
      </c>
      <c r="V3121">
        <f t="shared" si="97"/>
        <v>0</v>
      </c>
    </row>
    <row r="3122" spans="1:22" x14ac:dyDescent="0.2">
      <c r="A3122" t="s">
        <v>920</v>
      </c>
      <c r="B3122" t="s">
        <v>16</v>
      </c>
      <c r="C3122" t="s">
        <v>76</v>
      </c>
      <c r="D3122" t="s">
        <v>77</v>
      </c>
      <c r="E3122" s="1" t="s">
        <v>163</v>
      </c>
      <c r="F3122" t="s">
        <v>224</v>
      </c>
      <c r="G3122">
        <v>41</v>
      </c>
      <c r="H3122">
        <v>0</v>
      </c>
      <c r="I3122">
        <v>212352</v>
      </c>
      <c r="J3122">
        <v>66</v>
      </c>
      <c r="K3122">
        <v>37</v>
      </c>
      <c r="L3122">
        <v>212352</v>
      </c>
      <c r="M3122">
        <v>0</v>
      </c>
      <c r="N3122">
        <v>1</v>
      </c>
      <c r="O3122" s="1" t="s">
        <v>5182</v>
      </c>
      <c r="P3122">
        <v>0</v>
      </c>
      <c r="Q3122">
        <v>0</v>
      </c>
      <c r="R3122">
        <v>0</v>
      </c>
      <c r="S3122">
        <v>0</v>
      </c>
      <c r="T3122">
        <v>8.9011500350000006</v>
      </c>
      <c r="U3122">
        <f t="shared" si="96"/>
        <v>0</v>
      </c>
      <c r="V3122">
        <f t="shared" si="97"/>
        <v>0</v>
      </c>
    </row>
    <row r="3123" spans="1:22" x14ac:dyDescent="0.2">
      <c r="A3123" t="s">
        <v>1011</v>
      </c>
      <c r="B3123" t="s">
        <v>17</v>
      </c>
      <c r="C3123" t="s">
        <v>76</v>
      </c>
      <c r="D3123" t="s">
        <v>77</v>
      </c>
      <c r="E3123">
        <v>11</v>
      </c>
      <c r="F3123" t="s">
        <v>127</v>
      </c>
      <c r="G3123">
        <v>61</v>
      </c>
      <c r="H3123">
        <v>12565</v>
      </c>
      <c r="I3123">
        <v>0</v>
      </c>
      <c r="J3123">
        <v>78</v>
      </c>
      <c r="K3123">
        <v>104</v>
      </c>
      <c r="L3123">
        <v>-12565</v>
      </c>
      <c r="M3123">
        <v>1</v>
      </c>
      <c r="N3123">
        <v>0</v>
      </c>
      <c r="O3123" s="1" t="s">
        <v>5183</v>
      </c>
      <c r="P3123">
        <v>0</v>
      </c>
      <c r="Q3123">
        <v>0</v>
      </c>
      <c r="R3123">
        <v>0</v>
      </c>
      <c r="S3123">
        <v>0</v>
      </c>
      <c r="T3123">
        <v>10.352380159999999</v>
      </c>
      <c r="U3123">
        <f t="shared" si="96"/>
        <v>0</v>
      </c>
      <c r="V3123">
        <f t="shared" si="97"/>
        <v>0</v>
      </c>
    </row>
    <row r="3124" spans="1:22" x14ac:dyDescent="0.2">
      <c r="A3124" t="s">
        <v>1011</v>
      </c>
      <c r="B3124" t="s">
        <v>17</v>
      </c>
      <c r="C3124" t="s">
        <v>76</v>
      </c>
      <c r="D3124" t="s">
        <v>77</v>
      </c>
      <c r="E3124" s="1" t="s">
        <v>89</v>
      </c>
      <c r="F3124" t="s">
        <v>90</v>
      </c>
      <c r="G3124">
        <v>32</v>
      </c>
      <c r="H3124">
        <v>111070</v>
      </c>
      <c r="I3124">
        <v>0</v>
      </c>
      <c r="J3124">
        <v>88</v>
      </c>
      <c r="K3124">
        <v>80</v>
      </c>
      <c r="L3124">
        <v>-111070</v>
      </c>
      <c r="M3124">
        <v>1</v>
      </c>
      <c r="N3124">
        <v>0</v>
      </c>
      <c r="O3124" s="1" t="s">
        <v>5184</v>
      </c>
      <c r="P3124">
        <v>0</v>
      </c>
      <c r="Q3124">
        <v>0</v>
      </c>
      <c r="R3124">
        <v>0</v>
      </c>
      <c r="S3124">
        <v>0</v>
      </c>
      <c r="T3124">
        <v>10.352380159999999</v>
      </c>
      <c r="U3124">
        <f t="shared" si="96"/>
        <v>0</v>
      </c>
      <c r="V3124">
        <f t="shared" si="97"/>
        <v>0</v>
      </c>
    </row>
    <row r="3125" spans="1:22" x14ac:dyDescent="0.2">
      <c r="A3125" t="s">
        <v>1011</v>
      </c>
      <c r="B3125" t="s">
        <v>17</v>
      </c>
      <c r="C3125" t="s">
        <v>76</v>
      </c>
      <c r="D3125" t="s">
        <v>77</v>
      </c>
      <c r="E3125" s="1" t="s">
        <v>163</v>
      </c>
      <c r="F3125" t="s">
        <v>224</v>
      </c>
      <c r="G3125">
        <v>42</v>
      </c>
      <c r="H3125">
        <v>3473</v>
      </c>
      <c r="I3125">
        <v>0</v>
      </c>
      <c r="J3125">
        <v>84</v>
      </c>
      <c r="K3125">
        <v>99</v>
      </c>
      <c r="L3125">
        <v>-3473</v>
      </c>
      <c r="M3125">
        <v>1</v>
      </c>
      <c r="N3125">
        <v>0</v>
      </c>
      <c r="O3125" s="1" t="s">
        <v>5185</v>
      </c>
      <c r="P3125">
        <v>0</v>
      </c>
      <c r="Q3125">
        <v>0</v>
      </c>
      <c r="R3125">
        <v>0</v>
      </c>
      <c r="S3125">
        <v>0</v>
      </c>
      <c r="T3125">
        <v>10.352380159999999</v>
      </c>
      <c r="U3125">
        <f t="shared" si="96"/>
        <v>0</v>
      </c>
      <c r="V3125">
        <f t="shared" si="97"/>
        <v>0</v>
      </c>
    </row>
    <row r="3126" spans="1:22" x14ac:dyDescent="0.2">
      <c r="A3126" t="s">
        <v>1011</v>
      </c>
      <c r="B3126" t="s">
        <v>17</v>
      </c>
      <c r="C3126" t="s">
        <v>76</v>
      </c>
      <c r="D3126" t="s">
        <v>77</v>
      </c>
      <c r="E3126">
        <v>11</v>
      </c>
      <c r="F3126" t="s">
        <v>127</v>
      </c>
      <c r="G3126">
        <v>59</v>
      </c>
      <c r="H3126">
        <v>7786</v>
      </c>
      <c r="I3126">
        <v>0</v>
      </c>
      <c r="J3126">
        <v>65</v>
      </c>
      <c r="K3126">
        <v>68</v>
      </c>
      <c r="L3126">
        <v>-7786</v>
      </c>
      <c r="M3126">
        <v>1</v>
      </c>
      <c r="N3126">
        <v>0</v>
      </c>
      <c r="O3126" s="1" t="s">
        <v>5186</v>
      </c>
      <c r="P3126">
        <v>0</v>
      </c>
      <c r="Q3126">
        <v>0</v>
      </c>
      <c r="R3126">
        <v>0</v>
      </c>
      <c r="S3126">
        <v>0</v>
      </c>
      <c r="T3126">
        <v>10.352380159999999</v>
      </c>
      <c r="U3126">
        <f t="shared" si="96"/>
        <v>0</v>
      </c>
      <c r="V3126">
        <f t="shared" si="97"/>
        <v>0</v>
      </c>
    </row>
    <row r="3127" spans="1:22" x14ac:dyDescent="0.2">
      <c r="A3127" t="s">
        <v>1011</v>
      </c>
      <c r="B3127" t="s">
        <v>17</v>
      </c>
      <c r="C3127" t="s">
        <v>76</v>
      </c>
      <c r="D3127" t="s">
        <v>77</v>
      </c>
      <c r="E3127" s="1" t="s">
        <v>138</v>
      </c>
      <c r="F3127" t="s">
        <v>139</v>
      </c>
      <c r="G3127">
        <v>19</v>
      </c>
      <c r="H3127">
        <v>0</v>
      </c>
      <c r="I3127">
        <v>3780</v>
      </c>
      <c r="J3127">
        <v>106</v>
      </c>
      <c r="K3127">
        <v>74</v>
      </c>
      <c r="L3127">
        <v>3780</v>
      </c>
      <c r="M3127">
        <v>0</v>
      </c>
      <c r="N3127">
        <v>1</v>
      </c>
      <c r="O3127" s="1" t="s">
        <v>5187</v>
      </c>
      <c r="P3127">
        <v>0</v>
      </c>
      <c r="Q3127">
        <v>0</v>
      </c>
      <c r="R3127">
        <v>0</v>
      </c>
      <c r="S3127">
        <v>0</v>
      </c>
      <c r="T3127">
        <v>10.352380159999999</v>
      </c>
      <c r="U3127">
        <f t="shared" si="96"/>
        <v>0</v>
      </c>
      <c r="V3127">
        <f t="shared" si="97"/>
        <v>0</v>
      </c>
    </row>
    <row r="3128" spans="1:22" x14ac:dyDescent="0.2">
      <c r="A3128" t="s">
        <v>1011</v>
      </c>
      <c r="B3128" t="s">
        <v>17</v>
      </c>
      <c r="C3128" t="s">
        <v>76</v>
      </c>
      <c r="D3128" t="s">
        <v>77</v>
      </c>
      <c r="E3128" s="1" t="s">
        <v>93</v>
      </c>
      <c r="F3128" t="s">
        <v>94</v>
      </c>
      <c r="G3128">
        <v>46</v>
      </c>
      <c r="H3128">
        <v>0</v>
      </c>
      <c r="I3128">
        <v>920</v>
      </c>
      <c r="J3128">
        <v>47</v>
      </c>
      <c r="K3128">
        <v>45</v>
      </c>
      <c r="L3128">
        <v>920</v>
      </c>
      <c r="M3128">
        <v>0</v>
      </c>
      <c r="N3128">
        <v>1</v>
      </c>
      <c r="O3128" s="1" t="s">
        <v>5188</v>
      </c>
      <c r="P3128">
        <v>0</v>
      </c>
      <c r="Q3128">
        <v>0</v>
      </c>
      <c r="R3128">
        <v>0</v>
      </c>
      <c r="S3128">
        <v>0</v>
      </c>
      <c r="T3128">
        <v>10.352380159999999</v>
      </c>
      <c r="U3128">
        <f t="shared" si="96"/>
        <v>0</v>
      </c>
      <c r="V3128">
        <f t="shared" si="97"/>
        <v>0</v>
      </c>
    </row>
    <row r="3129" spans="1:22" x14ac:dyDescent="0.2">
      <c r="A3129" t="s">
        <v>1011</v>
      </c>
      <c r="B3129" t="s">
        <v>17</v>
      </c>
      <c r="C3129" t="s">
        <v>76</v>
      </c>
      <c r="D3129" t="s">
        <v>77</v>
      </c>
      <c r="E3129" s="1" t="s">
        <v>163</v>
      </c>
      <c r="F3129" t="s">
        <v>224</v>
      </c>
      <c r="G3129">
        <v>41</v>
      </c>
      <c r="H3129">
        <v>0</v>
      </c>
      <c r="I3129">
        <v>159403</v>
      </c>
      <c r="J3129">
        <v>66</v>
      </c>
      <c r="K3129">
        <v>42</v>
      </c>
      <c r="L3129">
        <v>159403</v>
      </c>
      <c r="M3129">
        <v>0</v>
      </c>
      <c r="N3129">
        <v>1</v>
      </c>
      <c r="O3129" s="1" t="s">
        <v>5189</v>
      </c>
      <c r="P3129">
        <v>0</v>
      </c>
      <c r="Q3129">
        <v>0</v>
      </c>
      <c r="R3129">
        <v>0</v>
      </c>
      <c r="S3129">
        <v>0</v>
      </c>
      <c r="T3129">
        <v>10.352380159999999</v>
      </c>
      <c r="U3129">
        <f t="shared" si="96"/>
        <v>0</v>
      </c>
      <c r="V3129">
        <f t="shared" si="97"/>
        <v>0</v>
      </c>
    </row>
    <row r="3130" spans="1:22" x14ac:dyDescent="0.2">
      <c r="A3130" t="s">
        <v>1068</v>
      </c>
      <c r="B3130" t="s">
        <v>18</v>
      </c>
      <c r="C3130" t="s">
        <v>76</v>
      </c>
      <c r="D3130" t="s">
        <v>77</v>
      </c>
      <c r="E3130" s="1" t="s">
        <v>138</v>
      </c>
      <c r="F3130" t="s">
        <v>139</v>
      </c>
      <c r="G3130">
        <v>21</v>
      </c>
      <c r="H3130">
        <v>262166</v>
      </c>
      <c r="I3130">
        <v>0</v>
      </c>
      <c r="J3130">
        <v>76</v>
      </c>
      <c r="K3130">
        <v>99</v>
      </c>
      <c r="L3130">
        <v>-262166</v>
      </c>
      <c r="M3130">
        <v>1</v>
      </c>
      <c r="N3130">
        <v>0</v>
      </c>
      <c r="O3130">
        <v>1.7228502145877199E-3</v>
      </c>
      <c r="P3130">
        <v>0</v>
      </c>
      <c r="Q3130">
        <v>0</v>
      </c>
      <c r="R3130">
        <v>0</v>
      </c>
      <c r="S3130">
        <v>0</v>
      </c>
      <c r="T3130">
        <v>6.7062261379999999</v>
      </c>
      <c r="U3130">
        <f t="shared" si="96"/>
        <v>0</v>
      </c>
      <c r="V3130">
        <f t="shared" si="97"/>
        <v>0</v>
      </c>
    </row>
    <row r="3131" spans="1:22" x14ac:dyDescent="0.2">
      <c r="A3131" t="s">
        <v>1068</v>
      </c>
      <c r="B3131" t="s">
        <v>18</v>
      </c>
      <c r="C3131" t="s">
        <v>76</v>
      </c>
      <c r="D3131" t="s">
        <v>77</v>
      </c>
      <c r="E3131">
        <v>15</v>
      </c>
      <c r="F3131" t="s">
        <v>88</v>
      </c>
      <c r="G3131">
        <v>73</v>
      </c>
      <c r="H3131">
        <v>1107</v>
      </c>
      <c r="I3131">
        <v>3235</v>
      </c>
      <c r="J3131">
        <v>140</v>
      </c>
      <c r="K3131">
        <v>89</v>
      </c>
      <c r="L3131">
        <v>2128</v>
      </c>
      <c r="M3131" s="1" t="s">
        <v>5190</v>
      </c>
      <c r="N3131" s="1" t="s">
        <v>5191</v>
      </c>
      <c r="O3131" s="1" t="s">
        <v>5192</v>
      </c>
      <c r="P3131">
        <v>0</v>
      </c>
      <c r="Q3131">
        <v>0</v>
      </c>
      <c r="R3131">
        <v>0</v>
      </c>
      <c r="S3131">
        <v>0</v>
      </c>
      <c r="T3131">
        <v>6.7062261379999999</v>
      </c>
      <c r="U3131">
        <f t="shared" si="96"/>
        <v>0</v>
      </c>
      <c r="V3131">
        <f t="shared" si="97"/>
        <v>0</v>
      </c>
    </row>
    <row r="3132" spans="1:22" x14ac:dyDescent="0.2">
      <c r="A3132" t="s">
        <v>1068</v>
      </c>
      <c r="B3132" t="s">
        <v>18</v>
      </c>
      <c r="C3132" t="s">
        <v>76</v>
      </c>
      <c r="D3132" t="s">
        <v>77</v>
      </c>
      <c r="E3132" s="1" t="s">
        <v>138</v>
      </c>
      <c r="F3132" t="s">
        <v>139</v>
      </c>
      <c r="G3132">
        <v>20</v>
      </c>
      <c r="H3132">
        <v>216</v>
      </c>
      <c r="I3132">
        <v>0</v>
      </c>
      <c r="J3132">
        <v>79</v>
      </c>
      <c r="K3132">
        <v>93</v>
      </c>
      <c r="L3132">
        <v>-216</v>
      </c>
      <c r="M3132">
        <v>1</v>
      </c>
      <c r="N3132">
        <v>0</v>
      </c>
      <c r="O3132" s="1" t="s">
        <v>5193</v>
      </c>
      <c r="P3132">
        <v>0</v>
      </c>
      <c r="Q3132">
        <v>0</v>
      </c>
      <c r="R3132">
        <v>0</v>
      </c>
      <c r="S3132">
        <v>0</v>
      </c>
      <c r="T3132">
        <v>6.7062261379999999</v>
      </c>
      <c r="U3132">
        <f t="shared" si="96"/>
        <v>0</v>
      </c>
      <c r="V3132">
        <f t="shared" si="97"/>
        <v>0</v>
      </c>
    </row>
    <row r="3133" spans="1:22" x14ac:dyDescent="0.2">
      <c r="A3133" t="s">
        <v>1068</v>
      </c>
      <c r="B3133" t="s">
        <v>18</v>
      </c>
      <c r="C3133" t="s">
        <v>76</v>
      </c>
      <c r="D3133" t="s">
        <v>77</v>
      </c>
      <c r="E3133" s="1" t="s">
        <v>163</v>
      </c>
      <c r="F3133" t="s">
        <v>224</v>
      </c>
      <c r="G3133">
        <v>42</v>
      </c>
      <c r="H3133">
        <v>2049</v>
      </c>
      <c r="I3133">
        <v>900</v>
      </c>
      <c r="J3133">
        <v>90</v>
      </c>
      <c r="K3133">
        <v>81</v>
      </c>
      <c r="L3133">
        <v>-1149</v>
      </c>
      <c r="M3133" s="1" t="s">
        <v>5194</v>
      </c>
      <c r="N3133" s="1" t="s">
        <v>5195</v>
      </c>
      <c r="O3133" s="1" t="s">
        <v>5196</v>
      </c>
      <c r="P3133">
        <v>0</v>
      </c>
      <c r="Q3133">
        <v>0</v>
      </c>
      <c r="R3133">
        <v>0</v>
      </c>
      <c r="S3133">
        <v>0</v>
      </c>
      <c r="T3133">
        <v>6.7062261379999999</v>
      </c>
      <c r="U3133">
        <f t="shared" si="96"/>
        <v>0</v>
      </c>
      <c r="V3133">
        <f t="shared" si="97"/>
        <v>0</v>
      </c>
    </row>
    <row r="3134" spans="1:22" x14ac:dyDescent="0.2">
      <c r="A3134" t="s">
        <v>1068</v>
      </c>
      <c r="B3134" t="s">
        <v>18</v>
      </c>
      <c r="C3134" t="s">
        <v>76</v>
      </c>
      <c r="D3134" t="s">
        <v>77</v>
      </c>
      <c r="E3134" s="1" t="s">
        <v>138</v>
      </c>
      <c r="F3134" t="s">
        <v>139</v>
      </c>
      <c r="G3134">
        <v>23</v>
      </c>
      <c r="H3134">
        <v>70</v>
      </c>
      <c r="I3134">
        <v>0</v>
      </c>
      <c r="J3134">
        <v>90</v>
      </c>
      <c r="K3134">
        <v>61</v>
      </c>
      <c r="L3134">
        <v>-70</v>
      </c>
      <c r="M3134">
        <v>1</v>
      </c>
      <c r="N3134">
        <v>0</v>
      </c>
      <c r="O3134" s="1" t="s">
        <v>5197</v>
      </c>
      <c r="P3134">
        <v>0</v>
      </c>
      <c r="Q3134">
        <v>0</v>
      </c>
      <c r="R3134">
        <v>0</v>
      </c>
      <c r="S3134">
        <v>0</v>
      </c>
      <c r="T3134">
        <v>6.7062261379999999</v>
      </c>
      <c r="U3134">
        <f t="shared" si="96"/>
        <v>0</v>
      </c>
      <c r="V3134">
        <f t="shared" si="97"/>
        <v>0</v>
      </c>
    </row>
    <row r="3135" spans="1:22" x14ac:dyDescent="0.2">
      <c r="A3135" t="s">
        <v>1068</v>
      </c>
      <c r="B3135" t="s">
        <v>18</v>
      </c>
      <c r="C3135" t="s">
        <v>76</v>
      </c>
      <c r="D3135" t="s">
        <v>77</v>
      </c>
      <c r="E3135" s="1" t="s">
        <v>138</v>
      </c>
      <c r="F3135" t="s">
        <v>139</v>
      </c>
      <c r="G3135">
        <v>17</v>
      </c>
      <c r="H3135">
        <v>4361</v>
      </c>
      <c r="I3135">
        <v>19977</v>
      </c>
      <c r="J3135">
        <v>96</v>
      </c>
      <c r="K3135">
        <v>74</v>
      </c>
      <c r="L3135">
        <v>15616</v>
      </c>
      <c r="M3135" s="1" t="s">
        <v>5198</v>
      </c>
      <c r="N3135" s="1" t="s">
        <v>5199</v>
      </c>
      <c r="O3135" s="1" t="s">
        <v>5200</v>
      </c>
      <c r="P3135">
        <v>0</v>
      </c>
      <c r="Q3135">
        <v>0</v>
      </c>
      <c r="R3135">
        <v>0</v>
      </c>
      <c r="S3135">
        <v>0</v>
      </c>
      <c r="T3135">
        <v>6.7062261379999999</v>
      </c>
      <c r="U3135">
        <f t="shared" si="96"/>
        <v>0</v>
      </c>
      <c r="V3135">
        <f t="shared" si="97"/>
        <v>0</v>
      </c>
    </row>
    <row r="3136" spans="1:22" x14ac:dyDescent="0.2">
      <c r="A3136" t="s">
        <v>1098</v>
      </c>
      <c r="B3136" t="s">
        <v>19</v>
      </c>
      <c r="C3136" t="s">
        <v>76</v>
      </c>
      <c r="D3136" t="s">
        <v>77</v>
      </c>
      <c r="E3136" s="1" t="s">
        <v>85</v>
      </c>
      <c r="F3136" t="s">
        <v>86</v>
      </c>
      <c r="G3136">
        <v>27</v>
      </c>
      <c r="H3136">
        <v>5515714</v>
      </c>
      <c r="I3136">
        <v>0</v>
      </c>
      <c r="J3136">
        <v>105</v>
      </c>
      <c r="K3136">
        <v>91</v>
      </c>
      <c r="L3136">
        <v>-5515714</v>
      </c>
      <c r="M3136">
        <v>1</v>
      </c>
      <c r="N3136">
        <v>0</v>
      </c>
      <c r="O3136">
        <v>9.4603330137166593E-3</v>
      </c>
      <c r="P3136">
        <v>0</v>
      </c>
      <c r="Q3136">
        <v>0</v>
      </c>
      <c r="R3136">
        <v>0</v>
      </c>
      <c r="S3136">
        <v>0</v>
      </c>
      <c r="T3136">
        <v>158.85371929999999</v>
      </c>
      <c r="U3136">
        <f t="shared" si="96"/>
        <v>0</v>
      </c>
      <c r="V3136">
        <f t="shared" si="97"/>
        <v>0</v>
      </c>
    </row>
    <row r="3137" spans="1:22" x14ac:dyDescent="0.2">
      <c r="A3137" t="s">
        <v>1098</v>
      </c>
      <c r="B3137" t="s">
        <v>19</v>
      </c>
      <c r="C3137" t="s">
        <v>76</v>
      </c>
      <c r="D3137" t="s">
        <v>77</v>
      </c>
      <c r="E3137">
        <v>11</v>
      </c>
      <c r="F3137" t="s">
        <v>127</v>
      </c>
      <c r="G3137">
        <v>62</v>
      </c>
      <c r="H3137">
        <v>105348</v>
      </c>
      <c r="I3137">
        <v>88556</v>
      </c>
      <c r="J3137">
        <v>63</v>
      </c>
      <c r="K3137">
        <v>71</v>
      </c>
      <c r="L3137">
        <v>-16792</v>
      </c>
      <c r="M3137" s="1" t="s">
        <v>5201</v>
      </c>
      <c r="N3137" s="1" t="s">
        <v>5202</v>
      </c>
      <c r="O3137" s="1" t="s">
        <v>5203</v>
      </c>
      <c r="P3137">
        <v>0</v>
      </c>
      <c r="Q3137">
        <v>0</v>
      </c>
      <c r="R3137">
        <v>0</v>
      </c>
      <c r="S3137">
        <v>0</v>
      </c>
      <c r="T3137">
        <v>158.85371929999999</v>
      </c>
      <c r="U3137">
        <f t="shared" si="96"/>
        <v>0</v>
      </c>
      <c r="V3137">
        <f t="shared" si="97"/>
        <v>0</v>
      </c>
    </row>
    <row r="3138" spans="1:22" x14ac:dyDescent="0.2">
      <c r="A3138" t="s">
        <v>1098</v>
      </c>
      <c r="B3138" t="s">
        <v>19</v>
      </c>
      <c r="C3138" t="s">
        <v>76</v>
      </c>
      <c r="D3138" t="s">
        <v>77</v>
      </c>
      <c r="E3138">
        <v>11</v>
      </c>
      <c r="F3138" t="s">
        <v>127</v>
      </c>
      <c r="G3138">
        <v>56</v>
      </c>
      <c r="H3138">
        <v>0</v>
      </c>
      <c r="I3138">
        <v>406</v>
      </c>
      <c r="J3138">
        <v>102</v>
      </c>
      <c r="K3138">
        <v>72</v>
      </c>
      <c r="L3138">
        <v>406</v>
      </c>
      <c r="M3138">
        <v>0</v>
      </c>
      <c r="N3138">
        <v>1</v>
      </c>
      <c r="O3138" s="1" t="s">
        <v>5204</v>
      </c>
      <c r="P3138">
        <v>0</v>
      </c>
      <c r="Q3138">
        <v>0</v>
      </c>
      <c r="R3138">
        <v>0</v>
      </c>
      <c r="S3138">
        <v>0</v>
      </c>
      <c r="T3138">
        <v>158.85371929999999</v>
      </c>
      <c r="U3138">
        <f t="shared" si="96"/>
        <v>0</v>
      </c>
      <c r="V3138">
        <f t="shared" si="97"/>
        <v>0</v>
      </c>
    </row>
    <row r="3139" spans="1:22" x14ac:dyDescent="0.2">
      <c r="A3139" t="s">
        <v>1312</v>
      </c>
      <c r="B3139" t="s">
        <v>21</v>
      </c>
      <c r="C3139" t="s">
        <v>76</v>
      </c>
      <c r="D3139" t="s">
        <v>77</v>
      </c>
      <c r="E3139" s="1" t="s">
        <v>138</v>
      </c>
      <c r="F3139" t="s">
        <v>139</v>
      </c>
      <c r="G3139">
        <v>20</v>
      </c>
      <c r="H3139">
        <v>8828</v>
      </c>
      <c r="I3139">
        <v>0</v>
      </c>
      <c r="J3139">
        <v>67</v>
      </c>
      <c r="K3139">
        <v>93</v>
      </c>
      <c r="L3139">
        <v>-8828</v>
      </c>
      <c r="M3139">
        <v>1</v>
      </c>
      <c r="N3139">
        <v>0</v>
      </c>
      <c r="O3139" s="1" t="s">
        <v>5205</v>
      </c>
      <c r="P3139">
        <v>0</v>
      </c>
      <c r="Q3139">
        <v>0</v>
      </c>
      <c r="R3139">
        <v>0</v>
      </c>
      <c r="S3139">
        <v>0</v>
      </c>
      <c r="T3139">
        <v>12.414189650000001</v>
      </c>
      <c r="U3139">
        <f t="shared" ref="U3139:U3202" si="98">IF(OR(P3139=1,Q3139=1),1,0)</f>
        <v>0</v>
      </c>
      <c r="V3139">
        <f t="shared" ref="V3139:V3202" si="99">IF(OR(R3139=1,S3139=1),1,0)</f>
        <v>0</v>
      </c>
    </row>
    <row r="3140" spans="1:22" x14ac:dyDescent="0.2">
      <c r="A3140" t="s">
        <v>1312</v>
      </c>
      <c r="B3140" t="s">
        <v>21</v>
      </c>
      <c r="C3140" t="s">
        <v>76</v>
      </c>
      <c r="D3140" t="s">
        <v>77</v>
      </c>
      <c r="E3140">
        <v>20</v>
      </c>
      <c r="F3140" t="s">
        <v>104</v>
      </c>
      <c r="G3140">
        <v>96</v>
      </c>
      <c r="H3140">
        <v>16765</v>
      </c>
      <c r="I3140">
        <v>5</v>
      </c>
      <c r="J3140">
        <v>76</v>
      </c>
      <c r="K3140">
        <v>88</v>
      </c>
      <c r="L3140">
        <v>-16760</v>
      </c>
      <c r="M3140" s="1" t="s">
        <v>5206</v>
      </c>
      <c r="N3140" s="1" t="s">
        <v>5207</v>
      </c>
      <c r="O3140" s="1" t="s">
        <v>5208</v>
      </c>
      <c r="P3140">
        <v>0</v>
      </c>
      <c r="Q3140">
        <v>0</v>
      </c>
      <c r="R3140">
        <v>0</v>
      </c>
      <c r="S3140">
        <v>0</v>
      </c>
      <c r="T3140">
        <v>12.414189650000001</v>
      </c>
      <c r="U3140">
        <f t="shared" si="98"/>
        <v>0</v>
      </c>
      <c r="V3140">
        <f t="shared" si="99"/>
        <v>0</v>
      </c>
    </row>
    <row r="3141" spans="1:22" x14ac:dyDescent="0.2">
      <c r="A3141" t="s">
        <v>1312</v>
      </c>
      <c r="B3141" t="s">
        <v>21</v>
      </c>
      <c r="C3141" t="s">
        <v>76</v>
      </c>
      <c r="D3141" t="s">
        <v>77</v>
      </c>
      <c r="E3141" s="1" t="s">
        <v>89</v>
      </c>
      <c r="F3141" t="s">
        <v>90</v>
      </c>
      <c r="G3141">
        <v>32</v>
      </c>
      <c r="H3141">
        <v>40863</v>
      </c>
      <c r="I3141">
        <v>0</v>
      </c>
      <c r="J3141">
        <v>97</v>
      </c>
      <c r="K3141">
        <v>80</v>
      </c>
      <c r="L3141">
        <v>-40863</v>
      </c>
      <c r="M3141">
        <v>1</v>
      </c>
      <c r="N3141">
        <v>0</v>
      </c>
      <c r="O3141" s="1" t="s">
        <v>5209</v>
      </c>
      <c r="P3141">
        <v>0</v>
      </c>
      <c r="Q3141">
        <v>0</v>
      </c>
      <c r="R3141">
        <v>0</v>
      </c>
      <c r="S3141">
        <v>0</v>
      </c>
      <c r="T3141">
        <v>12.414189650000001</v>
      </c>
      <c r="U3141">
        <f t="shared" si="98"/>
        <v>0</v>
      </c>
      <c r="V3141">
        <f t="shared" si="99"/>
        <v>0</v>
      </c>
    </row>
    <row r="3142" spans="1:22" x14ac:dyDescent="0.2">
      <c r="A3142" t="s">
        <v>1312</v>
      </c>
      <c r="B3142" t="s">
        <v>21</v>
      </c>
      <c r="C3142" t="s">
        <v>76</v>
      </c>
      <c r="D3142" t="s">
        <v>77</v>
      </c>
      <c r="E3142" s="1" t="s">
        <v>110</v>
      </c>
      <c r="F3142" t="s">
        <v>111</v>
      </c>
      <c r="G3142">
        <v>15</v>
      </c>
      <c r="H3142">
        <v>120</v>
      </c>
      <c r="I3142">
        <v>810</v>
      </c>
      <c r="J3142">
        <v>105</v>
      </c>
      <c r="K3142">
        <v>81</v>
      </c>
      <c r="L3142">
        <v>690</v>
      </c>
      <c r="M3142" s="1" t="s">
        <v>5210</v>
      </c>
      <c r="N3142" s="1" t="s">
        <v>5211</v>
      </c>
      <c r="O3142" s="1" t="s">
        <v>5212</v>
      </c>
      <c r="P3142">
        <v>0</v>
      </c>
      <c r="Q3142">
        <v>0</v>
      </c>
      <c r="R3142">
        <v>0</v>
      </c>
      <c r="S3142">
        <v>0</v>
      </c>
      <c r="T3142">
        <v>12.414189650000001</v>
      </c>
      <c r="U3142">
        <f t="shared" si="98"/>
        <v>0</v>
      </c>
      <c r="V3142">
        <f t="shared" si="99"/>
        <v>0</v>
      </c>
    </row>
    <row r="3143" spans="1:22" x14ac:dyDescent="0.2">
      <c r="A3143" t="s">
        <v>1312</v>
      </c>
      <c r="B3143" t="s">
        <v>21</v>
      </c>
      <c r="C3143" t="s">
        <v>76</v>
      </c>
      <c r="D3143" t="s">
        <v>77</v>
      </c>
      <c r="E3143" s="1" t="s">
        <v>82</v>
      </c>
      <c r="F3143" t="s">
        <v>83</v>
      </c>
      <c r="G3143" s="1" t="s">
        <v>99</v>
      </c>
      <c r="H3143">
        <v>0</v>
      </c>
      <c r="I3143">
        <v>42</v>
      </c>
      <c r="J3143">
        <v>106</v>
      </c>
      <c r="K3143">
        <v>88</v>
      </c>
      <c r="L3143">
        <v>42</v>
      </c>
      <c r="M3143">
        <v>0</v>
      </c>
      <c r="N3143">
        <v>1</v>
      </c>
      <c r="O3143" s="1" t="s">
        <v>5213</v>
      </c>
      <c r="P3143">
        <v>0</v>
      </c>
      <c r="Q3143">
        <v>0</v>
      </c>
      <c r="R3143">
        <v>0</v>
      </c>
      <c r="S3143">
        <v>0</v>
      </c>
      <c r="T3143">
        <v>12.414189650000001</v>
      </c>
      <c r="U3143">
        <f t="shared" si="98"/>
        <v>0</v>
      </c>
      <c r="V3143">
        <f t="shared" si="99"/>
        <v>0</v>
      </c>
    </row>
    <row r="3144" spans="1:22" x14ac:dyDescent="0.2">
      <c r="A3144" t="s">
        <v>1374</v>
      </c>
      <c r="B3144" t="s">
        <v>22</v>
      </c>
      <c r="C3144" t="s">
        <v>76</v>
      </c>
      <c r="D3144" t="s">
        <v>77</v>
      </c>
      <c r="E3144">
        <v>12</v>
      </c>
      <c r="F3144" t="s">
        <v>194</v>
      </c>
      <c r="G3144">
        <v>65</v>
      </c>
      <c r="H3144">
        <v>5361</v>
      </c>
      <c r="I3144">
        <v>0</v>
      </c>
      <c r="J3144">
        <v>55</v>
      </c>
      <c r="K3144">
        <v>84</v>
      </c>
      <c r="L3144">
        <v>-5361</v>
      </c>
      <c r="M3144">
        <v>1</v>
      </c>
      <c r="N3144">
        <v>0</v>
      </c>
      <c r="O3144" s="1" t="s">
        <v>5214</v>
      </c>
      <c r="P3144">
        <v>0</v>
      </c>
      <c r="Q3144">
        <v>0</v>
      </c>
      <c r="R3144">
        <v>0</v>
      </c>
      <c r="S3144">
        <v>0</v>
      </c>
      <c r="T3144">
        <v>10.251031490000001</v>
      </c>
      <c r="U3144">
        <f t="shared" si="98"/>
        <v>0</v>
      </c>
      <c r="V3144">
        <f t="shared" si="99"/>
        <v>0</v>
      </c>
    </row>
    <row r="3145" spans="1:22" x14ac:dyDescent="0.2">
      <c r="A3145" t="s">
        <v>1374</v>
      </c>
      <c r="B3145" t="s">
        <v>22</v>
      </c>
      <c r="C3145" t="s">
        <v>76</v>
      </c>
      <c r="D3145" t="s">
        <v>77</v>
      </c>
      <c r="E3145">
        <v>11</v>
      </c>
      <c r="F3145" t="s">
        <v>127</v>
      </c>
      <c r="G3145">
        <v>57</v>
      </c>
      <c r="H3145">
        <v>92</v>
      </c>
      <c r="I3145">
        <v>30</v>
      </c>
      <c r="J3145">
        <v>87</v>
      </c>
      <c r="K3145">
        <v>75</v>
      </c>
      <c r="L3145">
        <v>-62</v>
      </c>
      <c r="M3145" s="1" t="s">
        <v>5215</v>
      </c>
      <c r="N3145" s="1" t="s">
        <v>5216</v>
      </c>
      <c r="O3145" s="1" t="s">
        <v>5217</v>
      </c>
      <c r="P3145">
        <v>0</v>
      </c>
      <c r="Q3145">
        <v>0</v>
      </c>
      <c r="R3145">
        <v>0</v>
      </c>
      <c r="S3145">
        <v>0</v>
      </c>
      <c r="T3145">
        <v>10.251031490000001</v>
      </c>
      <c r="U3145">
        <f t="shared" si="98"/>
        <v>0</v>
      </c>
      <c r="V3145">
        <f t="shared" si="99"/>
        <v>0</v>
      </c>
    </row>
    <row r="3146" spans="1:22" x14ac:dyDescent="0.2">
      <c r="A3146" t="s">
        <v>1374</v>
      </c>
      <c r="B3146" t="s">
        <v>22</v>
      </c>
      <c r="C3146" t="s">
        <v>76</v>
      </c>
      <c r="D3146" t="s">
        <v>77</v>
      </c>
      <c r="E3146" s="1" t="s">
        <v>85</v>
      </c>
      <c r="F3146" t="s">
        <v>86</v>
      </c>
      <c r="G3146">
        <v>26</v>
      </c>
      <c r="H3146">
        <v>0</v>
      </c>
      <c r="I3146">
        <v>550</v>
      </c>
      <c r="J3146">
        <v>65</v>
      </c>
      <c r="K3146">
        <v>56</v>
      </c>
      <c r="L3146">
        <v>550</v>
      </c>
      <c r="M3146">
        <v>0</v>
      </c>
      <c r="N3146">
        <v>1</v>
      </c>
      <c r="O3146" s="1" t="s">
        <v>5218</v>
      </c>
      <c r="P3146">
        <v>0</v>
      </c>
      <c r="Q3146">
        <v>0</v>
      </c>
      <c r="R3146">
        <v>0</v>
      </c>
      <c r="S3146">
        <v>0</v>
      </c>
      <c r="T3146">
        <v>10.251031490000001</v>
      </c>
      <c r="U3146">
        <f t="shared" si="98"/>
        <v>0</v>
      </c>
      <c r="V3146">
        <f t="shared" si="99"/>
        <v>0</v>
      </c>
    </row>
    <row r="3147" spans="1:22" x14ac:dyDescent="0.2">
      <c r="A3147" t="s">
        <v>1438</v>
      </c>
      <c r="B3147" t="s">
        <v>23</v>
      </c>
      <c r="C3147" t="s">
        <v>76</v>
      </c>
      <c r="D3147" t="s">
        <v>77</v>
      </c>
      <c r="E3147">
        <v>11</v>
      </c>
      <c r="F3147" t="s">
        <v>127</v>
      </c>
      <c r="G3147">
        <v>57</v>
      </c>
      <c r="H3147">
        <v>198</v>
      </c>
      <c r="I3147">
        <v>0</v>
      </c>
      <c r="J3147">
        <v>79</v>
      </c>
      <c r="K3147">
        <v>78</v>
      </c>
      <c r="L3147">
        <v>-198</v>
      </c>
      <c r="M3147">
        <v>1</v>
      </c>
      <c r="N3147">
        <v>0</v>
      </c>
      <c r="O3147" s="1" t="s">
        <v>5219</v>
      </c>
      <c r="P3147">
        <v>0</v>
      </c>
      <c r="Q3147">
        <v>0</v>
      </c>
      <c r="R3147">
        <v>0</v>
      </c>
      <c r="S3147">
        <v>0</v>
      </c>
      <c r="T3147">
        <v>4.5962645599999998</v>
      </c>
      <c r="U3147">
        <f t="shared" si="98"/>
        <v>0</v>
      </c>
      <c r="V3147">
        <f t="shared" si="99"/>
        <v>0</v>
      </c>
    </row>
    <row r="3148" spans="1:22" x14ac:dyDescent="0.2">
      <c r="A3148" t="s">
        <v>1438</v>
      </c>
      <c r="B3148" t="s">
        <v>23</v>
      </c>
      <c r="C3148" t="s">
        <v>76</v>
      </c>
      <c r="D3148" t="s">
        <v>77</v>
      </c>
      <c r="E3148">
        <v>11</v>
      </c>
      <c r="F3148" t="s">
        <v>127</v>
      </c>
      <c r="G3148">
        <v>59</v>
      </c>
      <c r="H3148">
        <v>153</v>
      </c>
      <c r="I3148">
        <v>0</v>
      </c>
      <c r="J3148">
        <v>86</v>
      </c>
      <c r="K3148">
        <v>68</v>
      </c>
      <c r="L3148">
        <v>-153</v>
      </c>
      <c r="M3148">
        <v>1</v>
      </c>
      <c r="N3148">
        <v>0</v>
      </c>
      <c r="O3148" s="1" t="s">
        <v>5220</v>
      </c>
      <c r="P3148">
        <v>0</v>
      </c>
      <c r="Q3148">
        <v>0</v>
      </c>
      <c r="R3148">
        <v>0</v>
      </c>
      <c r="S3148">
        <v>0</v>
      </c>
      <c r="T3148">
        <v>4.5962645599999998</v>
      </c>
      <c r="U3148">
        <f t="shared" si="98"/>
        <v>0</v>
      </c>
      <c r="V3148">
        <f t="shared" si="99"/>
        <v>0</v>
      </c>
    </row>
    <row r="3149" spans="1:22" x14ac:dyDescent="0.2">
      <c r="A3149" t="s">
        <v>1438</v>
      </c>
      <c r="B3149" t="s">
        <v>23</v>
      </c>
      <c r="C3149" t="s">
        <v>76</v>
      </c>
      <c r="D3149" t="s">
        <v>77</v>
      </c>
      <c r="E3149">
        <v>18</v>
      </c>
      <c r="F3149" t="s">
        <v>147</v>
      </c>
      <c r="G3149">
        <v>91</v>
      </c>
      <c r="H3149">
        <v>62</v>
      </c>
      <c r="I3149">
        <v>0</v>
      </c>
      <c r="J3149">
        <v>93</v>
      </c>
      <c r="K3149">
        <v>69</v>
      </c>
      <c r="L3149">
        <v>-62</v>
      </c>
      <c r="M3149">
        <v>1</v>
      </c>
      <c r="N3149">
        <v>0</v>
      </c>
      <c r="O3149" s="1" t="s">
        <v>5221</v>
      </c>
      <c r="P3149">
        <v>0</v>
      </c>
      <c r="Q3149">
        <v>0</v>
      </c>
      <c r="R3149">
        <v>0</v>
      </c>
      <c r="S3149">
        <v>0</v>
      </c>
      <c r="T3149">
        <v>4.5962645599999998</v>
      </c>
      <c r="U3149">
        <f t="shared" si="98"/>
        <v>0</v>
      </c>
      <c r="V3149">
        <f t="shared" si="99"/>
        <v>0</v>
      </c>
    </row>
    <row r="3150" spans="1:22" x14ac:dyDescent="0.2">
      <c r="A3150" t="s">
        <v>1438</v>
      </c>
      <c r="B3150" t="s">
        <v>23</v>
      </c>
      <c r="C3150" t="s">
        <v>76</v>
      </c>
      <c r="D3150" t="s">
        <v>77</v>
      </c>
      <c r="E3150">
        <v>15</v>
      </c>
      <c r="F3150" t="s">
        <v>88</v>
      </c>
      <c r="G3150">
        <v>74</v>
      </c>
      <c r="H3150">
        <v>43</v>
      </c>
      <c r="I3150">
        <v>0</v>
      </c>
      <c r="J3150">
        <v>108</v>
      </c>
      <c r="K3150">
        <v>84</v>
      </c>
      <c r="L3150">
        <v>-43</v>
      </c>
      <c r="M3150">
        <v>1</v>
      </c>
      <c r="N3150">
        <v>0</v>
      </c>
      <c r="O3150" s="1" t="s">
        <v>5222</v>
      </c>
      <c r="P3150">
        <v>0</v>
      </c>
      <c r="Q3150">
        <v>0</v>
      </c>
      <c r="R3150">
        <v>0</v>
      </c>
      <c r="S3150">
        <v>0</v>
      </c>
      <c r="T3150">
        <v>4.5962645599999998</v>
      </c>
      <c r="U3150">
        <f t="shared" si="98"/>
        <v>0</v>
      </c>
      <c r="V3150">
        <f t="shared" si="99"/>
        <v>0</v>
      </c>
    </row>
    <row r="3151" spans="1:22" x14ac:dyDescent="0.2">
      <c r="A3151" t="s">
        <v>1484</v>
      </c>
      <c r="B3151" t="s">
        <v>24</v>
      </c>
      <c r="C3151" t="s">
        <v>76</v>
      </c>
      <c r="D3151" t="s">
        <v>77</v>
      </c>
      <c r="E3151">
        <v>11</v>
      </c>
      <c r="F3151" t="s">
        <v>127</v>
      </c>
      <c r="G3151">
        <v>51</v>
      </c>
      <c r="H3151">
        <v>18936</v>
      </c>
      <c r="I3151">
        <v>2331</v>
      </c>
      <c r="J3151">
        <v>27</v>
      </c>
      <c r="K3151">
        <v>53</v>
      </c>
      <c r="L3151">
        <v>-16605</v>
      </c>
      <c r="M3151">
        <v>0.89039356749894205</v>
      </c>
      <c r="N3151" s="1" t="s">
        <v>5223</v>
      </c>
      <c r="O3151" s="1" t="s">
        <v>5224</v>
      </c>
      <c r="P3151">
        <v>0</v>
      </c>
      <c r="Q3151">
        <v>0</v>
      </c>
      <c r="R3151">
        <v>0</v>
      </c>
      <c r="S3151">
        <v>0</v>
      </c>
      <c r="T3151">
        <v>146.3475875</v>
      </c>
      <c r="U3151">
        <f t="shared" si="98"/>
        <v>0</v>
      </c>
      <c r="V3151">
        <f t="shared" si="99"/>
        <v>0</v>
      </c>
    </row>
    <row r="3152" spans="1:22" x14ac:dyDescent="0.2">
      <c r="A3152" t="s">
        <v>1484</v>
      </c>
      <c r="B3152" t="s">
        <v>24</v>
      </c>
      <c r="C3152" t="s">
        <v>76</v>
      </c>
      <c r="D3152" t="s">
        <v>77</v>
      </c>
      <c r="E3152" s="1" t="s">
        <v>93</v>
      </c>
      <c r="F3152" t="s">
        <v>94</v>
      </c>
      <c r="G3152">
        <v>46</v>
      </c>
      <c r="H3152">
        <v>261</v>
      </c>
      <c r="I3152">
        <v>100024</v>
      </c>
      <c r="J3152">
        <v>28</v>
      </c>
      <c r="K3152">
        <v>20</v>
      </c>
      <c r="L3152">
        <v>99763</v>
      </c>
      <c r="M3152">
        <v>2.6025826394774801E-3</v>
      </c>
      <c r="N3152" s="1" t="s">
        <v>5225</v>
      </c>
      <c r="O3152" s="1" t="s">
        <v>5226</v>
      </c>
      <c r="P3152">
        <v>0</v>
      </c>
      <c r="Q3152">
        <v>0</v>
      </c>
      <c r="R3152">
        <v>0</v>
      </c>
      <c r="S3152">
        <v>0</v>
      </c>
      <c r="T3152">
        <v>146.3475875</v>
      </c>
      <c r="U3152">
        <f t="shared" si="98"/>
        <v>0</v>
      </c>
      <c r="V3152">
        <f t="shared" si="99"/>
        <v>0</v>
      </c>
    </row>
    <row r="3153" spans="1:22" x14ac:dyDescent="0.2">
      <c r="A3153" t="s">
        <v>1849</v>
      </c>
      <c r="B3153" t="s">
        <v>26</v>
      </c>
      <c r="C3153" t="s">
        <v>76</v>
      </c>
      <c r="D3153" t="s">
        <v>77</v>
      </c>
      <c r="E3153">
        <v>11</v>
      </c>
      <c r="F3153" t="s">
        <v>127</v>
      </c>
      <c r="G3153">
        <v>59</v>
      </c>
      <c r="H3153">
        <v>16429</v>
      </c>
      <c r="I3153">
        <v>41926</v>
      </c>
      <c r="J3153">
        <v>58</v>
      </c>
      <c r="K3153">
        <v>53</v>
      </c>
      <c r="L3153">
        <v>25497</v>
      </c>
      <c r="M3153" s="1" t="s">
        <v>5227</v>
      </c>
      <c r="N3153" s="1" t="s">
        <v>5228</v>
      </c>
      <c r="O3153" s="1" t="s">
        <v>5229</v>
      </c>
      <c r="P3153">
        <v>0</v>
      </c>
      <c r="Q3153">
        <v>0</v>
      </c>
      <c r="R3153">
        <v>0</v>
      </c>
      <c r="S3153">
        <v>0</v>
      </c>
      <c r="T3153">
        <v>12.98266392</v>
      </c>
      <c r="U3153">
        <f t="shared" si="98"/>
        <v>0</v>
      </c>
      <c r="V3153">
        <f t="shared" si="99"/>
        <v>0</v>
      </c>
    </row>
    <row r="3154" spans="1:22" x14ac:dyDescent="0.2">
      <c r="A3154" t="s">
        <v>2010</v>
      </c>
      <c r="B3154" t="s">
        <v>27</v>
      </c>
      <c r="C3154" t="s">
        <v>76</v>
      </c>
      <c r="D3154" t="s">
        <v>77</v>
      </c>
      <c r="E3154">
        <v>13</v>
      </c>
      <c r="F3154" t="s">
        <v>91</v>
      </c>
      <c r="G3154">
        <v>68</v>
      </c>
      <c r="H3154">
        <v>88709</v>
      </c>
      <c r="I3154">
        <v>0</v>
      </c>
      <c r="J3154">
        <v>86</v>
      </c>
      <c r="K3154">
        <v>85</v>
      </c>
      <c r="L3154">
        <v>-88709</v>
      </c>
      <c r="M3154">
        <v>1</v>
      </c>
      <c r="N3154">
        <v>0</v>
      </c>
      <c r="O3154" s="1" t="s">
        <v>5230</v>
      </c>
      <c r="P3154">
        <v>0</v>
      </c>
      <c r="Q3154">
        <v>0</v>
      </c>
      <c r="R3154">
        <v>0</v>
      </c>
      <c r="S3154">
        <v>0</v>
      </c>
      <c r="T3154">
        <v>13.62458097</v>
      </c>
      <c r="U3154">
        <f t="shared" si="98"/>
        <v>0</v>
      </c>
      <c r="V3154">
        <f t="shared" si="99"/>
        <v>0</v>
      </c>
    </row>
    <row r="3155" spans="1:22" x14ac:dyDescent="0.2">
      <c r="A3155" t="s">
        <v>2010</v>
      </c>
      <c r="B3155" t="s">
        <v>27</v>
      </c>
      <c r="C3155" t="s">
        <v>76</v>
      </c>
      <c r="D3155" t="s">
        <v>77</v>
      </c>
      <c r="E3155">
        <v>20</v>
      </c>
      <c r="F3155" t="s">
        <v>104</v>
      </c>
      <c r="G3155">
        <v>94</v>
      </c>
      <c r="H3155">
        <v>9886</v>
      </c>
      <c r="I3155">
        <v>0</v>
      </c>
      <c r="J3155">
        <v>110</v>
      </c>
      <c r="K3155">
        <v>103</v>
      </c>
      <c r="L3155">
        <v>-9886</v>
      </c>
      <c r="M3155">
        <v>1</v>
      </c>
      <c r="N3155">
        <v>0</v>
      </c>
      <c r="O3155" s="1" t="s">
        <v>5231</v>
      </c>
      <c r="P3155">
        <v>0</v>
      </c>
      <c r="Q3155">
        <v>0</v>
      </c>
      <c r="R3155">
        <v>0</v>
      </c>
      <c r="S3155">
        <v>0</v>
      </c>
      <c r="T3155">
        <v>13.62458097</v>
      </c>
      <c r="U3155">
        <f t="shared" si="98"/>
        <v>0</v>
      </c>
      <c r="V3155">
        <f t="shared" si="99"/>
        <v>0</v>
      </c>
    </row>
    <row r="3156" spans="1:22" x14ac:dyDescent="0.2">
      <c r="A3156" t="s">
        <v>2010</v>
      </c>
      <c r="B3156" t="s">
        <v>27</v>
      </c>
      <c r="C3156" t="s">
        <v>76</v>
      </c>
      <c r="D3156" t="s">
        <v>77</v>
      </c>
      <c r="E3156">
        <v>16</v>
      </c>
      <c r="F3156" t="s">
        <v>95</v>
      </c>
      <c r="G3156">
        <v>85</v>
      </c>
      <c r="H3156">
        <v>1510</v>
      </c>
      <c r="I3156">
        <v>0</v>
      </c>
      <c r="J3156">
        <v>145</v>
      </c>
      <c r="K3156">
        <v>117</v>
      </c>
      <c r="L3156">
        <v>-1510</v>
      </c>
      <c r="M3156">
        <v>1</v>
      </c>
      <c r="N3156">
        <v>0</v>
      </c>
      <c r="O3156" s="1" t="s">
        <v>5232</v>
      </c>
      <c r="P3156">
        <v>0</v>
      </c>
      <c r="Q3156">
        <v>0</v>
      </c>
      <c r="R3156">
        <v>0</v>
      </c>
      <c r="S3156">
        <v>0</v>
      </c>
      <c r="T3156">
        <v>13.62458097</v>
      </c>
      <c r="U3156">
        <f t="shared" si="98"/>
        <v>0</v>
      </c>
      <c r="V3156">
        <f t="shared" si="99"/>
        <v>0</v>
      </c>
    </row>
    <row r="3157" spans="1:22" x14ac:dyDescent="0.2">
      <c r="A3157" t="s">
        <v>2010</v>
      </c>
      <c r="B3157" t="s">
        <v>27</v>
      </c>
      <c r="C3157" t="s">
        <v>76</v>
      </c>
      <c r="D3157" t="s">
        <v>77</v>
      </c>
      <c r="E3157" s="1" t="s">
        <v>82</v>
      </c>
      <c r="F3157" t="s">
        <v>83</v>
      </c>
      <c r="G3157" s="1" t="s">
        <v>99</v>
      </c>
      <c r="H3157">
        <v>0</v>
      </c>
      <c r="I3157">
        <v>45544</v>
      </c>
      <c r="J3157">
        <v>106</v>
      </c>
      <c r="K3157">
        <v>65</v>
      </c>
      <c r="L3157">
        <v>45544</v>
      </c>
      <c r="M3157">
        <v>0</v>
      </c>
      <c r="N3157">
        <v>1</v>
      </c>
      <c r="O3157" s="1" t="s">
        <v>5233</v>
      </c>
      <c r="P3157">
        <v>0</v>
      </c>
      <c r="Q3157">
        <v>0</v>
      </c>
      <c r="R3157">
        <v>0</v>
      </c>
      <c r="S3157">
        <v>0</v>
      </c>
      <c r="T3157">
        <v>13.62458097</v>
      </c>
      <c r="U3157">
        <f t="shared" si="98"/>
        <v>0</v>
      </c>
      <c r="V3157">
        <f t="shared" si="99"/>
        <v>0</v>
      </c>
    </row>
    <row r="3158" spans="1:22" x14ac:dyDescent="0.2">
      <c r="A3158" t="s">
        <v>2212</v>
      </c>
      <c r="B3158" t="s">
        <v>29</v>
      </c>
      <c r="C3158" t="s">
        <v>76</v>
      </c>
      <c r="D3158" t="s">
        <v>77</v>
      </c>
      <c r="E3158" s="1" t="s">
        <v>110</v>
      </c>
      <c r="F3158" t="s">
        <v>111</v>
      </c>
      <c r="G3158">
        <v>15</v>
      </c>
      <c r="H3158">
        <v>390564</v>
      </c>
      <c r="I3158">
        <v>5141</v>
      </c>
      <c r="J3158">
        <v>72</v>
      </c>
      <c r="K3158">
        <v>76</v>
      </c>
      <c r="L3158">
        <v>-385423</v>
      </c>
      <c r="M3158" s="1" t="s">
        <v>5234</v>
      </c>
      <c r="N3158" s="1" t="s">
        <v>5235</v>
      </c>
      <c r="O3158" s="1" t="s">
        <v>5236</v>
      </c>
      <c r="P3158">
        <v>0</v>
      </c>
      <c r="Q3158">
        <v>0</v>
      </c>
      <c r="R3158">
        <v>0</v>
      </c>
      <c r="S3158">
        <v>0</v>
      </c>
      <c r="T3158">
        <v>25.232029140000002</v>
      </c>
      <c r="U3158">
        <f t="shared" si="98"/>
        <v>0</v>
      </c>
      <c r="V3158">
        <f t="shared" si="99"/>
        <v>0</v>
      </c>
    </row>
    <row r="3159" spans="1:22" x14ac:dyDescent="0.2">
      <c r="A3159" t="s">
        <v>2212</v>
      </c>
      <c r="B3159" t="s">
        <v>29</v>
      </c>
      <c r="C3159" t="s">
        <v>76</v>
      </c>
      <c r="D3159" t="s">
        <v>77</v>
      </c>
      <c r="E3159" s="1" t="s">
        <v>89</v>
      </c>
      <c r="F3159" t="s">
        <v>90</v>
      </c>
      <c r="G3159">
        <v>36</v>
      </c>
      <c r="H3159">
        <v>187333</v>
      </c>
      <c r="I3159">
        <v>0</v>
      </c>
      <c r="J3159">
        <v>38</v>
      </c>
      <c r="K3159">
        <v>37</v>
      </c>
      <c r="L3159">
        <v>-187333</v>
      </c>
      <c r="M3159">
        <v>1</v>
      </c>
      <c r="N3159">
        <v>0</v>
      </c>
      <c r="O3159" s="1" t="s">
        <v>5237</v>
      </c>
      <c r="P3159">
        <v>0</v>
      </c>
      <c r="Q3159">
        <v>0</v>
      </c>
      <c r="R3159">
        <v>0</v>
      </c>
      <c r="S3159">
        <v>0</v>
      </c>
      <c r="T3159">
        <v>25.232029140000002</v>
      </c>
      <c r="U3159">
        <f t="shared" si="98"/>
        <v>0</v>
      </c>
      <c r="V3159">
        <f t="shared" si="99"/>
        <v>0</v>
      </c>
    </row>
    <row r="3160" spans="1:22" x14ac:dyDescent="0.2">
      <c r="A3160" t="s">
        <v>2212</v>
      </c>
      <c r="B3160" t="s">
        <v>29</v>
      </c>
      <c r="C3160" t="s">
        <v>76</v>
      </c>
      <c r="D3160" t="s">
        <v>77</v>
      </c>
      <c r="E3160" s="1" t="s">
        <v>85</v>
      </c>
      <c r="F3160" t="s">
        <v>86</v>
      </c>
      <c r="G3160">
        <v>26</v>
      </c>
      <c r="H3160">
        <v>7674</v>
      </c>
      <c r="I3160">
        <v>0</v>
      </c>
      <c r="J3160">
        <v>56</v>
      </c>
      <c r="K3160">
        <v>66</v>
      </c>
      <c r="L3160">
        <v>-7674</v>
      </c>
      <c r="M3160">
        <v>1</v>
      </c>
      <c r="N3160">
        <v>0</v>
      </c>
      <c r="O3160" s="1" t="s">
        <v>5238</v>
      </c>
      <c r="P3160">
        <v>0</v>
      </c>
      <c r="Q3160">
        <v>0</v>
      </c>
      <c r="R3160">
        <v>0</v>
      </c>
      <c r="S3160">
        <v>0</v>
      </c>
      <c r="T3160">
        <v>25.232029140000002</v>
      </c>
      <c r="U3160">
        <f t="shared" si="98"/>
        <v>0</v>
      </c>
      <c r="V3160">
        <f t="shared" si="99"/>
        <v>0</v>
      </c>
    </row>
    <row r="3161" spans="1:22" x14ac:dyDescent="0.2">
      <c r="A3161" t="s">
        <v>2212</v>
      </c>
      <c r="B3161" t="s">
        <v>29</v>
      </c>
      <c r="C3161" t="s">
        <v>76</v>
      </c>
      <c r="D3161" t="s">
        <v>77</v>
      </c>
      <c r="E3161">
        <v>99</v>
      </c>
      <c r="F3161" t="s">
        <v>78</v>
      </c>
      <c r="G3161">
        <v>99</v>
      </c>
      <c r="H3161">
        <v>1487103</v>
      </c>
      <c r="I3161">
        <v>71616</v>
      </c>
      <c r="J3161">
        <v>54</v>
      </c>
      <c r="K3161">
        <v>69</v>
      </c>
      <c r="L3161">
        <v>-1415487</v>
      </c>
      <c r="M3161" s="1" t="s">
        <v>5239</v>
      </c>
      <c r="N3161">
        <v>4.5945420566503602E-2</v>
      </c>
      <c r="O3161" s="1" t="s">
        <v>5240</v>
      </c>
      <c r="P3161">
        <v>0</v>
      </c>
      <c r="Q3161">
        <v>0</v>
      </c>
      <c r="R3161">
        <v>0</v>
      </c>
      <c r="S3161">
        <v>0</v>
      </c>
      <c r="T3161">
        <v>25.232029140000002</v>
      </c>
      <c r="U3161">
        <f t="shared" si="98"/>
        <v>0</v>
      </c>
      <c r="V3161">
        <f t="shared" si="99"/>
        <v>0</v>
      </c>
    </row>
    <row r="3162" spans="1:22" x14ac:dyDescent="0.2">
      <c r="A3162" t="s">
        <v>2299</v>
      </c>
      <c r="B3162" t="s">
        <v>30</v>
      </c>
      <c r="C3162" t="s">
        <v>76</v>
      </c>
      <c r="D3162" t="s">
        <v>77</v>
      </c>
      <c r="E3162">
        <v>11</v>
      </c>
      <c r="F3162" t="s">
        <v>127</v>
      </c>
      <c r="G3162">
        <v>50</v>
      </c>
      <c r="H3162">
        <v>704</v>
      </c>
      <c r="I3162">
        <v>116110</v>
      </c>
      <c r="J3162">
        <v>17</v>
      </c>
      <c r="K3162">
        <v>17</v>
      </c>
      <c r="L3162">
        <v>115406</v>
      </c>
      <c r="M3162">
        <v>6.02667488485969E-3</v>
      </c>
      <c r="N3162" s="1" t="s">
        <v>5241</v>
      </c>
      <c r="O3162" s="1" t="s">
        <v>5242</v>
      </c>
      <c r="P3162">
        <v>0</v>
      </c>
      <c r="Q3162">
        <v>0</v>
      </c>
      <c r="R3162">
        <v>0</v>
      </c>
      <c r="S3162">
        <v>0</v>
      </c>
      <c r="T3162">
        <v>215.2532736</v>
      </c>
      <c r="U3162">
        <f t="shared" si="98"/>
        <v>0</v>
      </c>
      <c r="V3162">
        <f t="shared" si="99"/>
        <v>0</v>
      </c>
    </row>
    <row r="3163" spans="1:22" x14ac:dyDescent="0.2">
      <c r="A3163" t="s">
        <v>2471</v>
      </c>
      <c r="B3163" t="s">
        <v>31</v>
      </c>
      <c r="C3163" t="s">
        <v>76</v>
      </c>
      <c r="D3163" t="s">
        <v>77</v>
      </c>
      <c r="E3163">
        <v>10</v>
      </c>
      <c r="F3163" t="s">
        <v>119</v>
      </c>
      <c r="G3163">
        <v>48</v>
      </c>
      <c r="H3163">
        <v>569254</v>
      </c>
      <c r="I3163">
        <v>0</v>
      </c>
      <c r="J3163">
        <v>116</v>
      </c>
      <c r="K3163">
        <v>97</v>
      </c>
      <c r="L3163">
        <v>-569254</v>
      </c>
      <c r="M3163">
        <v>1</v>
      </c>
      <c r="N3163">
        <v>0</v>
      </c>
      <c r="O3163">
        <v>2.7305270408752198E-3</v>
      </c>
      <c r="P3163">
        <v>0</v>
      </c>
      <c r="Q3163">
        <v>0</v>
      </c>
      <c r="R3163">
        <v>0</v>
      </c>
      <c r="S3163">
        <v>0</v>
      </c>
      <c r="T3163">
        <v>11.22870996</v>
      </c>
      <c r="U3163">
        <f t="shared" si="98"/>
        <v>0</v>
      </c>
      <c r="V3163">
        <f t="shared" si="99"/>
        <v>0</v>
      </c>
    </row>
    <row r="3164" spans="1:22" x14ac:dyDescent="0.2">
      <c r="A3164" t="s">
        <v>2471</v>
      </c>
      <c r="B3164" t="s">
        <v>31</v>
      </c>
      <c r="C3164" t="s">
        <v>76</v>
      </c>
      <c r="D3164" t="s">
        <v>77</v>
      </c>
      <c r="E3164">
        <v>18</v>
      </c>
      <c r="F3164" t="s">
        <v>147</v>
      </c>
      <c r="G3164">
        <v>90</v>
      </c>
      <c r="H3164">
        <v>7064</v>
      </c>
      <c r="I3164">
        <v>0</v>
      </c>
      <c r="J3164">
        <v>135</v>
      </c>
      <c r="K3164">
        <v>103</v>
      </c>
      <c r="L3164">
        <v>-7064</v>
      </c>
      <c r="M3164">
        <v>1</v>
      </c>
      <c r="N3164">
        <v>0</v>
      </c>
      <c r="O3164" s="1" t="s">
        <v>5243</v>
      </c>
      <c r="P3164">
        <v>0</v>
      </c>
      <c r="Q3164">
        <v>0</v>
      </c>
      <c r="R3164">
        <v>0</v>
      </c>
      <c r="S3164">
        <v>0</v>
      </c>
      <c r="T3164">
        <v>11.22870996</v>
      </c>
      <c r="U3164">
        <f t="shared" si="98"/>
        <v>0</v>
      </c>
      <c r="V3164">
        <f t="shared" si="99"/>
        <v>0</v>
      </c>
    </row>
    <row r="3165" spans="1:22" x14ac:dyDescent="0.2">
      <c r="A3165" t="s">
        <v>2471</v>
      </c>
      <c r="B3165" t="s">
        <v>31</v>
      </c>
      <c r="C3165" t="s">
        <v>76</v>
      </c>
      <c r="D3165" t="s">
        <v>77</v>
      </c>
      <c r="E3165" s="1" t="s">
        <v>99</v>
      </c>
      <c r="F3165" t="s">
        <v>100</v>
      </c>
      <c r="G3165">
        <v>40</v>
      </c>
      <c r="H3165">
        <v>396</v>
      </c>
      <c r="I3165">
        <v>0</v>
      </c>
      <c r="J3165">
        <v>140</v>
      </c>
      <c r="K3165">
        <v>97</v>
      </c>
      <c r="L3165">
        <v>-396</v>
      </c>
      <c r="M3165">
        <v>1</v>
      </c>
      <c r="N3165">
        <v>0</v>
      </c>
      <c r="O3165" s="1" t="s">
        <v>5244</v>
      </c>
      <c r="P3165">
        <v>0</v>
      </c>
      <c r="Q3165">
        <v>0</v>
      </c>
      <c r="R3165">
        <v>0</v>
      </c>
      <c r="S3165">
        <v>0</v>
      </c>
      <c r="T3165">
        <v>11.22870996</v>
      </c>
      <c r="U3165">
        <f t="shared" si="98"/>
        <v>0</v>
      </c>
      <c r="V3165">
        <f t="shared" si="99"/>
        <v>0</v>
      </c>
    </row>
    <row r="3166" spans="1:22" x14ac:dyDescent="0.2">
      <c r="A3166" t="s">
        <v>2495</v>
      </c>
      <c r="B3166" t="s">
        <v>32</v>
      </c>
      <c r="C3166" t="s">
        <v>76</v>
      </c>
      <c r="D3166" t="s">
        <v>77</v>
      </c>
      <c r="E3166">
        <v>11</v>
      </c>
      <c r="F3166" t="s">
        <v>127</v>
      </c>
      <c r="G3166">
        <v>51</v>
      </c>
      <c r="H3166">
        <v>226849</v>
      </c>
      <c r="I3166">
        <v>0</v>
      </c>
      <c r="J3166">
        <v>18</v>
      </c>
      <c r="K3166">
        <v>56</v>
      </c>
      <c r="L3166">
        <v>-226849</v>
      </c>
      <c r="M3166">
        <v>1</v>
      </c>
      <c r="N3166">
        <v>0</v>
      </c>
      <c r="O3166" s="1" t="s">
        <v>5245</v>
      </c>
      <c r="P3166">
        <v>0</v>
      </c>
      <c r="Q3166">
        <v>0</v>
      </c>
      <c r="R3166">
        <v>0</v>
      </c>
      <c r="S3166">
        <v>0</v>
      </c>
      <c r="T3166">
        <v>12.2149565</v>
      </c>
      <c r="U3166">
        <f t="shared" si="98"/>
        <v>0</v>
      </c>
      <c r="V3166">
        <f t="shared" si="99"/>
        <v>0</v>
      </c>
    </row>
    <row r="3167" spans="1:22" x14ac:dyDescent="0.2">
      <c r="A3167" t="s">
        <v>2495</v>
      </c>
      <c r="B3167" t="s">
        <v>32</v>
      </c>
      <c r="C3167" t="s">
        <v>76</v>
      </c>
      <c r="D3167" t="s">
        <v>77</v>
      </c>
      <c r="E3167" s="1" t="s">
        <v>155</v>
      </c>
      <c r="F3167" t="s">
        <v>156</v>
      </c>
      <c r="G3167" s="1" t="s">
        <v>85</v>
      </c>
      <c r="H3167">
        <v>525465</v>
      </c>
      <c r="I3167">
        <v>0</v>
      </c>
      <c r="J3167">
        <v>35</v>
      </c>
      <c r="K3167">
        <v>72</v>
      </c>
      <c r="L3167">
        <v>-525465</v>
      </c>
      <c r="M3167">
        <v>1</v>
      </c>
      <c r="N3167">
        <v>0</v>
      </c>
      <c r="O3167" s="1" t="s">
        <v>5246</v>
      </c>
      <c r="P3167">
        <v>0</v>
      </c>
      <c r="Q3167">
        <v>0</v>
      </c>
      <c r="R3167">
        <v>0</v>
      </c>
      <c r="S3167">
        <v>0</v>
      </c>
      <c r="T3167">
        <v>12.2149565</v>
      </c>
      <c r="U3167">
        <f t="shared" si="98"/>
        <v>0</v>
      </c>
      <c r="V3167">
        <f t="shared" si="99"/>
        <v>0</v>
      </c>
    </row>
    <row r="3168" spans="1:22" x14ac:dyDescent="0.2">
      <c r="A3168" t="s">
        <v>2495</v>
      </c>
      <c r="B3168" t="s">
        <v>32</v>
      </c>
      <c r="C3168" t="s">
        <v>76</v>
      </c>
      <c r="D3168" t="s">
        <v>77</v>
      </c>
      <c r="E3168">
        <v>17</v>
      </c>
      <c r="F3168" t="s">
        <v>97</v>
      </c>
      <c r="G3168">
        <v>89</v>
      </c>
      <c r="H3168">
        <v>183571</v>
      </c>
      <c r="I3168">
        <v>185845</v>
      </c>
      <c r="J3168">
        <v>51</v>
      </c>
      <c r="K3168">
        <v>47</v>
      </c>
      <c r="L3168">
        <v>2274</v>
      </c>
      <c r="M3168" s="1" t="s">
        <v>5247</v>
      </c>
      <c r="N3168" s="1" t="s">
        <v>5248</v>
      </c>
      <c r="O3168" s="1" t="s">
        <v>5249</v>
      </c>
      <c r="P3168">
        <v>0</v>
      </c>
      <c r="Q3168">
        <v>0</v>
      </c>
      <c r="R3168">
        <v>0</v>
      </c>
      <c r="S3168">
        <v>0</v>
      </c>
      <c r="T3168">
        <v>12.2149565</v>
      </c>
      <c r="U3168">
        <f t="shared" si="98"/>
        <v>0</v>
      </c>
      <c r="V3168">
        <f t="shared" si="99"/>
        <v>0</v>
      </c>
    </row>
    <row r="3169" spans="1:22" x14ac:dyDescent="0.2">
      <c r="A3169" t="s">
        <v>2495</v>
      </c>
      <c r="B3169" t="s">
        <v>32</v>
      </c>
      <c r="C3169" t="s">
        <v>76</v>
      </c>
      <c r="D3169" t="s">
        <v>77</v>
      </c>
      <c r="E3169" s="1" t="s">
        <v>89</v>
      </c>
      <c r="F3169" t="s">
        <v>90</v>
      </c>
      <c r="G3169">
        <v>36</v>
      </c>
      <c r="H3169">
        <v>559305</v>
      </c>
      <c r="I3169">
        <v>0</v>
      </c>
      <c r="J3169">
        <v>26</v>
      </c>
      <c r="K3169">
        <v>37</v>
      </c>
      <c r="L3169">
        <v>-559305</v>
      </c>
      <c r="M3169">
        <v>1</v>
      </c>
      <c r="N3169">
        <v>0</v>
      </c>
      <c r="O3169" s="1" t="s">
        <v>5250</v>
      </c>
      <c r="P3169">
        <v>0</v>
      </c>
      <c r="Q3169">
        <v>0</v>
      </c>
      <c r="R3169">
        <v>0</v>
      </c>
      <c r="S3169">
        <v>0</v>
      </c>
      <c r="T3169">
        <v>12.2149565</v>
      </c>
      <c r="U3169">
        <f t="shared" si="98"/>
        <v>0</v>
      </c>
      <c r="V3169">
        <f t="shared" si="99"/>
        <v>0</v>
      </c>
    </row>
    <row r="3170" spans="1:22" x14ac:dyDescent="0.2">
      <c r="A3170" t="s">
        <v>2495</v>
      </c>
      <c r="B3170" t="s">
        <v>32</v>
      </c>
      <c r="C3170" t="s">
        <v>76</v>
      </c>
      <c r="D3170" t="s">
        <v>77</v>
      </c>
      <c r="E3170" s="1" t="s">
        <v>138</v>
      </c>
      <c r="F3170" t="s">
        <v>139</v>
      </c>
      <c r="G3170">
        <v>17</v>
      </c>
      <c r="H3170">
        <v>497909</v>
      </c>
      <c r="I3170">
        <v>129400</v>
      </c>
      <c r="J3170">
        <v>60</v>
      </c>
      <c r="K3170">
        <v>65</v>
      </c>
      <c r="L3170">
        <v>-368509</v>
      </c>
      <c r="M3170" s="1" t="s">
        <v>5251</v>
      </c>
      <c r="N3170" s="1" t="s">
        <v>5252</v>
      </c>
      <c r="O3170" s="1" t="s">
        <v>5253</v>
      </c>
      <c r="P3170">
        <v>0</v>
      </c>
      <c r="Q3170">
        <v>0</v>
      </c>
      <c r="R3170">
        <v>0</v>
      </c>
      <c r="S3170">
        <v>0</v>
      </c>
      <c r="T3170">
        <v>12.2149565</v>
      </c>
      <c r="U3170">
        <f t="shared" si="98"/>
        <v>0</v>
      </c>
      <c r="V3170">
        <f t="shared" si="99"/>
        <v>0</v>
      </c>
    </row>
    <row r="3171" spans="1:22" x14ac:dyDescent="0.2">
      <c r="A3171" t="s">
        <v>2634</v>
      </c>
      <c r="B3171" t="s">
        <v>33</v>
      </c>
      <c r="C3171" t="s">
        <v>76</v>
      </c>
      <c r="D3171" t="s">
        <v>77</v>
      </c>
      <c r="E3171">
        <v>19</v>
      </c>
      <c r="F3171" t="s">
        <v>838</v>
      </c>
      <c r="G3171">
        <v>93</v>
      </c>
      <c r="H3171">
        <v>424587</v>
      </c>
      <c r="I3171">
        <v>0</v>
      </c>
      <c r="J3171">
        <v>38</v>
      </c>
      <c r="K3171">
        <v>36</v>
      </c>
      <c r="L3171">
        <v>-424587</v>
      </c>
      <c r="M3171">
        <v>1</v>
      </c>
      <c r="N3171">
        <v>0</v>
      </c>
      <c r="O3171">
        <v>1.7068819866263899E-3</v>
      </c>
      <c r="P3171">
        <v>0</v>
      </c>
      <c r="Q3171">
        <v>0</v>
      </c>
      <c r="R3171">
        <v>0</v>
      </c>
      <c r="S3171">
        <v>0</v>
      </c>
      <c r="T3171">
        <v>172.9377106</v>
      </c>
      <c r="U3171">
        <f t="shared" si="98"/>
        <v>0</v>
      </c>
      <c r="V3171">
        <f t="shared" si="99"/>
        <v>0</v>
      </c>
    </row>
    <row r="3172" spans="1:22" x14ac:dyDescent="0.2">
      <c r="A3172" t="s">
        <v>2634</v>
      </c>
      <c r="B3172" t="s">
        <v>33</v>
      </c>
      <c r="C3172" t="s">
        <v>76</v>
      </c>
      <c r="D3172" t="s">
        <v>77</v>
      </c>
      <c r="E3172" s="1" t="s">
        <v>82</v>
      </c>
      <c r="F3172" t="s">
        <v>83</v>
      </c>
      <c r="G3172" s="1" t="s">
        <v>93</v>
      </c>
      <c r="H3172">
        <v>197757</v>
      </c>
      <c r="I3172">
        <v>153690</v>
      </c>
      <c r="J3172">
        <v>51</v>
      </c>
      <c r="K3172">
        <v>75</v>
      </c>
      <c r="L3172">
        <v>-44067</v>
      </c>
      <c r="M3172" s="1" t="s">
        <v>5254</v>
      </c>
      <c r="N3172" s="1" t="s">
        <v>5255</v>
      </c>
      <c r="O3172">
        <v>1.4128519091585101E-3</v>
      </c>
      <c r="P3172">
        <v>0</v>
      </c>
      <c r="Q3172">
        <v>0</v>
      </c>
      <c r="R3172">
        <v>0</v>
      </c>
      <c r="S3172">
        <v>0</v>
      </c>
      <c r="T3172">
        <v>172.9377106</v>
      </c>
      <c r="U3172">
        <f t="shared" si="98"/>
        <v>0</v>
      </c>
      <c r="V3172">
        <f t="shared" si="99"/>
        <v>0</v>
      </c>
    </row>
    <row r="3173" spans="1:22" x14ac:dyDescent="0.2">
      <c r="A3173" t="s">
        <v>2634</v>
      </c>
      <c r="B3173" t="s">
        <v>33</v>
      </c>
      <c r="C3173" t="s">
        <v>76</v>
      </c>
      <c r="D3173" t="s">
        <v>77</v>
      </c>
      <c r="E3173">
        <v>15</v>
      </c>
      <c r="F3173" t="s">
        <v>88</v>
      </c>
      <c r="G3173">
        <v>82</v>
      </c>
      <c r="H3173">
        <v>11818</v>
      </c>
      <c r="I3173">
        <v>0</v>
      </c>
      <c r="J3173">
        <v>120</v>
      </c>
      <c r="K3173">
        <v>96</v>
      </c>
      <c r="L3173">
        <v>-11818</v>
      </c>
      <c r="M3173">
        <v>1</v>
      </c>
      <c r="N3173">
        <v>0</v>
      </c>
      <c r="O3173" s="1" t="s">
        <v>5256</v>
      </c>
      <c r="P3173">
        <v>0</v>
      </c>
      <c r="Q3173">
        <v>0</v>
      </c>
      <c r="R3173">
        <v>0</v>
      </c>
      <c r="S3173">
        <v>0</v>
      </c>
      <c r="T3173">
        <v>172.9377106</v>
      </c>
      <c r="U3173">
        <f t="shared" si="98"/>
        <v>0</v>
      </c>
      <c r="V3173">
        <f t="shared" si="99"/>
        <v>0</v>
      </c>
    </row>
    <row r="3174" spans="1:22" x14ac:dyDescent="0.2">
      <c r="A3174" t="s">
        <v>2634</v>
      </c>
      <c r="B3174" t="s">
        <v>33</v>
      </c>
      <c r="C3174" t="s">
        <v>76</v>
      </c>
      <c r="D3174" t="s">
        <v>77</v>
      </c>
      <c r="E3174">
        <v>17</v>
      </c>
      <c r="F3174" t="s">
        <v>97</v>
      </c>
      <c r="G3174">
        <v>86</v>
      </c>
      <c r="H3174">
        <v>6741</v>
      </c>
      <c r="I3174">
        <v>0</v>
      </c>
      <c r="J3174">
        <v>70</v>
      </c>
      <c r="K3174">
        <v>64</v>
      </c>
      <c r="L3174">
        <v>-6741</v>
      </c>
      <c r="M3174">
        <v>1</v>
      </c>
      <c r="N3174">
        <v>0</v>
      </c>
      <c r="O3174" s="1" t="s">
        <v>5257</v>
      </c>
      <c r="P3174">
        <v>0</v>
      </c>
      <c r="Q3174">
        <v>0</v>
      </c>
      <c r="R3174">
        <v>0</v>
      </c>
      <c r="S3174">
        <v>0</v>
      </c>
      <c r="T3174">
        <v>172.9377106</v>
      </c>
      <c r="U3174">
        <f t="shared" si="98"/>
        <v>0</v>
      </c>
      <c r="V3174">
        <f t="shared" si="99"/>
        <v>0</v>
      </c>
    </row>
    <row r="3175" spans="1:22" x14ac:dyDescent="0.2">
      <c r="A3175" t="s">
        <v>2634</v>
      </c>
      <c r="B3175" t="s">
        <v>33</v>
      </c>
      <c r="C3175" t="s">
        <v>76</v>
      </c>
      <c r="D3175" t="s">
        <v>77</v>
      </c>
      <c r="E3175">
        <v>17</v>
      </c>
      <c r="F3175" t="s">
        <v>97</v>
      </c>
      <c r="G3175">
        <v>89</v>
      </c>
      <c r="H3175">
        <v>3721</v>
      </c>
      <c r="I3175">
        <v>0</v>
      </c>
      <c r="J3175">
        <v>77</v>
      </c>
      <c r="K3175">
        <v>68</v>
      </c>
      <c r="L3175">
        <v>-3721</v>
      </c>
      <c r="M3175">
        <v>1</v>
      </c>
      <c r="N3175">
        <v>0</v>
      </c>
      <c r="O3175" s="1" t="s">
        <v>5258</v>
      </c>
      <c r="P3175">
        <v>0</v>
      </c>
      <c r="Q3175">
        <v>0</v>
      </c>
      <c r="R3175">
        <v>0</v>
      </c>
      <c r="S3175">
        <v>0</v>
      </c>
      <c r="T3175">
        <v>172.9377106</v>
      </c>
      <c r="U3175">
        <f t="shared" si="98"/>
        <v>0</v>
      </c>
      <c r="V3175">
        <f t="shared" si="99"/>
        <v>0</v>
      </c>
    </row>
    <row r="3176" spans="1:22" x14ac:dyDescent="0.2">
      <c r="A3176" t="s">
        <v>2634</v>
      </c>
      <c r="B3176" t="s">
        <v>33</v>
      </c>
      <c r="C3176" t="s">
        <v>76</v>
      </c>
      <c r="D3176" t="s">
        <v>77</v>
      </c>
      <c r="E3176">
        <v>13</v>
      </c>
      <c r="F3176" t="s">
        <v>91</v>
      </c>
      <c r="G3176">
        <v>68</v>
      </c>
      <c r="H3176">
        <v>758</v>
      </c>
      <c r="I3176">
        <v>0</v>
      </c>
      <c r="J3176">
        <v>116</v>
      </c>
      <c r="K3176">
        <v>85</v>
      </c>
      <c r="L3176">
        <v>-758</v>
      </c>
      <c r="M3176">
        <v>1</v>
      </c>
      <c r="N3176">
        <v>0</v>
      </c>
      <c r="O3176" s="1" t="s">
        <v>5259</v>
      </c>
      <c r="P3176">
        <v>0</v>
      </c>
      <c r="Q3176">
        <v>0</v>
      </c>
      <c r="R3176">
        <v>0</v>
      </c>
      <c r="S3176">
        <v>0</v>
      </c>
      <c r="T3176">
        <v>172.9377106</v>
      </c>
      <c r="U3176">
        <f t="shared" si="98"/>
        <v>0</v>
      </c>
      <c r="V3176">
        <f t="shared" si="99"/>
        <v>0</v>
      </c>
    </row>
    <row r="3177" spans="1:22" x14ac:dyDescent="0.2">
      <c r="A3177" t="s">
        <v>2634</v>
      </c>
      <c r="B3177" t="s">
        <v>33</v>
      </c>
      <c r="C3177" t="s">
        <v>76</v>
      </c>
      <c r="D3177" t="s">
        <v>77</v>
      </c>
      <c r="E3177">
        <v>13</v>
      </c>
      <c r="F3177" t="s">
        <v>91</v>
      </c>
      <c r="G3177">
        <v>70</v>
      </c>
      <c r="H3177">
        <v>613</v>
      </c>
      <c r="I3177">
        <v>0</v>
      </c>
      <c r="J3177">
        <v>124</v>
      </c>
      <c r="K3177">
        <v>88</v>
      </c>
      <c r="L3177">
        <v>-613</v>
      </c>
      <c r="M3177">
        <v>1</v>
      </c>
      <c r="N3177">
        <v>0</v>
      </c>
      <c r="O3177" s="1" t="s">
        <v>5260</v>
      </c>
      <c r="P3177">
        <v>0</v>
      </c>
      <c r="Q3177">
        <v>0</v>
      </c>
      <c r="R3177">
        <v>0</v>
      </c>
      <c r="S3177">
        <v>0</v>
      </c>
      <c r="T3177">
        <v>172.9377106</v>
      </c>
      <c r="U3177">
        <f t="shared" si="98"/>
        <v>0</v>
      </c>
      <c r="V3177">
        <f t="shared" si="99"/>
        <v>0</v>
      </c>
    </row>
    <row r="3178" spans="1:22" x14ac:dyDescent="0.2">
      <c r="A3178" t="s">
        <v>2634</v>
      </c>
      <c r="B3178" t="s">
        <v>33</v>
      </c>
      <c r="C3178" t="s">
        <v>76</v>
      </c>
      <c r="D3178" t="s">
        <v>77</v>
      </c>
      <c r="E3178">
        <v>12</v>
      </c>
      <c r="F3178" t="s">
        <v>194</v>
      </c>
      <c r="G3178">
        <v>65</v>
      </c>
      <c r="H3178">
        <v>29</v>
      </c>
      <c r="I3178">
        <v>0</v>
      </c>
      <c r="J3178">
        <v>102</v>
      </c>
      <c r="K3178">
        <v>84</v>
      </c>
      <c r="L3178">
        <v>-29</v>
      </c>
      <c r="M3178">
        <v>1</v>
      </c>
      <c r="N3178">
        <v>0</v>
      </c>
      <c r="O3178" s="1" t="s">
        <v>5261</v>
      </c>
      <c r="P3178">
        <v>0</v>
      </c>
      <c r="Q3178">
        <v>0</v>
      </c>
      <c r="R3178">
        <v>0</v>
      </c>
      <c r="S3178">
        <v>0</v>
      </c>
      <c r="T3178">
        <v>172.9377106</v>
      </c>
      <c r="U3178">
        <f t="shared" si="98"/>
        <v>0</v>
      </c>
      <c r="V3178">
        <f t="shared" si="99"/>
        <v>0</v>
      </c>
    </row>
    <row r="3179" spans="1:22" x14ac:dyDescent="0.2">
      <c r="A3179" t="s">
        <v>2634</v>
      </c>
      <c r="B3179" t="s">
        <v>33</v>
      </c>
      <c r="C3179" t="s">
        <v>76</v>
      </c>
      <c r="D3179" t="s">
        <v>77</v>
      </c>
      <c r="E3179" s="1" t="s">
        <v>85</v>
      </c>
      <c r="F3179" t="s">
        <v>86</v>
      </c>
      <c r="G3179">
        <v>25</v>
      </c>
      <c r="H3179">
        <v>28211</v>
      </c>
      <c r="I3179">
        <v>27</v>
      </c>
      <c r="J3179">
        <v>98</v>
      </c>
      <c r="K3179">
        <v>91</v>
      </c>
      <c r="L3179">
        <v>-28184</v>
      </c>
      <c r="M3179" s="1" t="s">
        <v>5262</v>
      </c>
      <c r="N3179" s="1" t="s">
        <v>5263</v>
      </c>
      <c r="O3179" s="1" t="s">
        <v>5264</v>
      </c>
      <c r="P3179">
        <v>0</v>
      </c>
      <c r="Q3179">
        <v>0</v>
      </c>
      <c r="R3179">
        <v>0</v>
      </c>
      <c r="S3179">
        <v>0</v>
      </c>
      <c r="T3179">
        <v>172.9377106</v>
      </c>
      <c r="U3179">
        <f t="shared" si="98"/>
        <v>0</v>
      </c>
      <c r="V3179">
        <f t="shared" si="99"/>
        <v>0</v>
      </c>
    </row>
    <row r="3180" spans="1:22" x14ac:dyDescent="0.2">
      <c r="A3180" t="s">
        <v>2634</v>
      </c>
      <c r="B3180" t="s">
        <v>33</v>
      </c>
      <c r="C3180" t="s">
        <v>76</v>
      </c>
      <c r="D3180" t="s">
        <v>77</v>
      </c>
      <c r="E3180">
        <v>11</v>
      </c>
      <c r="F3180" t="s">
        <v>127</v>
      </c>
      <c r="G3180">
        <v>62</v>
      </c>
      <c r="H3180">
        <v>0</v>
      </c>
      <c r="I3180">
        <v>17082</v>
      </c>
      <c r="J3180">
        <v>131</v>
      </c>
      <c r="K3180">
        <v>81</v>
      </c>
      <c r="L3180">
        <v>17082</v>
      </c>
      <c r="M3180">
        <v>0</v>
      </c>
      <c r="N3180">
        <v>1</v>
      </c>
      <c r="O3180" s="1" t="s">
        <v>5265</v>
      </c>
      <c r="P3180">
        <v>0</v>
      </c>
      <c r="Q3180">
        <v>0</v>
      </c>
      <c r="R3180">
        <v>0</v>
      </c>
      <c r="S3180">
        <v>0</v>
      </c>
      <c r="T3180">
        <v>172.9377106</v>
      </c>
      <c r="U3180">
        <f t="shared" si="98"/>
        <v>0</v>
      </c>
      <c r="V3180">
        <f t="shared" si="99"/>
        <v>0</v>
      </c>
    </row>
    <row r="3181" spans="1:22" x14ac:dyDescent="0.2">
      <c r="A3181" t="s">
        <v>2634</v>
      </c>
      <c r="B3181" t="s">
        <v>33</v>
      </c>
      <c r="C3181" t="s">
        <v>76</v>
      </c>
      <c r="D3181" t="s">
        <v>77</v>
      </c>
      <c r="E3181" s="1" t="s">
        <v>82</v>
      </c>
      <c r="F3181" t="s">
        <v>83</v>
      </c>
      <c r="G3181" s="1" t="s">
        <v>163</v>
      </c>
      <c r="H3181">
        <v>0</v>
      </c>
      <c r="I3181">
        <v>18764</v>
      </c>
      <c r="J3181">
        <v>74</v>
      </c>
      <c r="K3181">
        <v>91</v>
      </c>
      <c r="L3181">
        <v>18764</v>
      </c>
      <c r="M3181">
        <v>0</v>
      </c>
      <c r="N3181">
        <v>1</v>
      </c>
      <c r="O3181" s="1" t="s">
        <v>5266</v>
      </c>
      <c r="P3181">
        <v>0</v>
      </c>
      <c r="Q3181">
        <v>0</v>
      </c>
      <c r="R3181">
        <v>0</v>
      </c>
      <c r="S3181">
        <v>0</v>
      </c>
      <c r="T3181">
        <v>172.9377106</v>
      </c>
      <c r="U3181">
        <f t="shared" si="98"/>
        <v>0</v>
      </c>
      <c r="V3181">
        <f t="shared" si="99"/>
        <v>0</v>
      </c>
    </row>
    <row r="3182" spans="1:22" x14ac:dyDescent="0.2">
      <c r="A3182" t="s">
        <v>2666</v>
      </c>
      <c r="B3182" t="s">
        <v>34</v>
      </c>
      <c r="C3182" t="s">
        <v>76</v>
      </c>
      <c r="D3182" t="s">
        <v>77</v>
      </c>
      <c r="E3182" s="1" t="s">
        <v>89</v>
      </c>
      <c r="F3182" t="s">
        <v>90</v>
      </c>
      <c r="G3182">
        <v>29</v>
      </c>
      <c r="H3182">
        <v>1836850</v>
      </c>
      <c r="I3182">
        <v>0</v>
      </c>
      <c r="J3182">
        <v>82</v>
      </c>
      <c r="K3182">
        <v>81</v>
      </c>
      <c r="L3182">
        <v>-1836850</v>
      </c>
      <c r="M3182">
        <v>1</v>
      </c>
      <c r="N3182">
        <v>0</v>
      </c>
      <c r="O3182">
        <v>1.6509490092347901E-3</v>
      </c>
      <c r="P3182">
        <v>0</v>
      </c>
      <c r="Q3182">
        <v>0</v>
      </c>
      <c r="R3182">
        <v>0</v>
      </c>
      <c r="S3182">
        <v>0</v>
      </c>
      <c r="T3182">
        <v>25.946113820000001</v>
      </c>
      <c r="U3182">
        <f t="shared" si="98"/>
        <v>0</v>
      </c>
      <c r="V3182">
        <f t="shared" si="99"/>
        <v>0</v>
      </c>
    </row>
    <row r="3183" spans="1:22" x14ac:dyDescent="0.2">
      <c r="A3183" t="s">
        <v>2666</v>
      </c>
      <c r="B3183" t="s">
        <v>34</v>
      </c>
      <c r="C3183" t="s">
        <v>76</v>
      </c>
      <c r="D3183" t="s">
        <v>77</v>
      </c>
      <c r="E3183">
        <v>13</v>
      </c>
      <c r="F3183" t="s">
        <v>91</v>
      </c>
      <c r="G3183">
        <v>68</v>
      </c>
      <c r="H3183">
        <v>24611</v>
      </c>
      <c r="I3183">
        <v>0</v>
      </c>
      <c r="J3183">
        <v>97</v>
      </c>
      <c r="K3183">
        <v>85</v>
      </c>
      <c r="L3183">
        <v>-24611</v>
      </c>
      <c r="M3183">
        <v>1</v>
      </c>
      <c r="N3183">
        <v>0</v>
      </c>
      <c r="O3183" s="1" t="s">
        <v>5267</v>
      </c>
      <c r="P3183">
        <v>0</v>
      </c>
      <c r="Q3183">
        <v>0</v>
      </c>
      <c r="R3183">
        <v>0</v>
      </c>
      <c r="S3183">
        <v>0</v>
      </c>
      <c r="T3183">
        <v>25.946113820000001</v>
      </c>
      <c r="U3183">
        <f t="shared" si="98"/>
        <v>0</v>
      </c>
      <c r="V3183">
        <f t="shared" si="99"/>
        <v>0</v>
      </c>
    </row>
    <row r="3184" spans="1:22" x14ac:dyDescent="0.2">
      <c r="A3184" t="s">
        <v>2666</v>
      </c>
      <c r="B3184" t="s">
        <v>34</v>
      </c>
      <c r="C3184" t="s">
        <v>76</v>
      </c>
      <c r="D3184" t="s">
        <v>77</v>
      </c>
      <c r="E3184" s="1" t="s">
        <v>110</v>
      </c>
      <c r="F3184" t="s">
        <v>111</v>
      </c>
      <c r="G3184">
        <v>15</v>
      </c>
      <c r="H3184">
        <v>4538</v>
      </c>
      <c r="I3184">
        <v>0</v>
      </c>
      <c r="J3184">
        <v>96</v>
      </c>
      <c r="K3184">
        <v>86</v>
      </c>
      <c r="L3184">
        <v>-4538</v>
      </c>
      <c r="M3184">
        <v>1</v>
      </c>
      <c r="N3184">
        <v>0</v>
      </c>
      <c r="O3184" s="1" t="s">
        <v>5268</v>
      </c>
      <c r="P3184">
        <v>0</v>
      </c>
      <c r="Q3184">
        <v>0</v>
      </c>
      <c r="R3184">
        <v>0</v>
      </c>
      <c r="S3184">
        <v>0</v>
      </c>
      <c r="T3184">
        <v>25.946113820000001</v>
      </c>
      <c r="U3184">
        <f t="shared" si="98"/>
        <v>0</v>
      </c>
      <c r="V3184">
        <f t="shared" si="99"/>
        <v>0</v>
      </c>
    </row>
    <row r="3185" spans="1:22" x14ac:dyDescent="0.2">
      <c r="A3185" t="s">
        <v>2666</v>
      </c>
      <c r="B3185" t="s">
        <v>34</v>
      </c>
      <c r="C3185" t="s">
        <v>76</v>
      </c>
      <c r="D3185" t="s">
        <v>77</v>
      </c>
      <c r="E3185">
        <v>11</v>
      </c>
      <c r="F3185" t="s">
        <v>127</v>
      </c>
      <c r="G3185">
        <v>62</v>
      </c>
      <c r="H3185">
        <v>0</v>
      </c>
      <c r="I3185">
        <v>309</v>
      </c>
      <c r="J3185">
        <v>131</v>
      </c>
      <c r="K3185">
        <v>97</v>
      </c>
      <c r="L3185">
        <v>309</v>
      </c>
      <c r="M3185">
        <v>0</v>
      </c>
      <c r="N3185">
        <v>1</v>
      </c>
      <c r="O3185" s="1" t="s">
        <v>5269</v>
      </c>
      <c r="P3185">
        <v>0</v>
      </c>
      <c r="Q3185">
        <v>0</v>
      </c>
      <c r="R3185">
        <v>0</v>
      </c>
      <c r="S3185">
        <v>0</v>
      </c>
      <c r="T3185">
        <v>25.946113820000001</v>
      </c>
      <c r="U3185">
        <f t="shared" si="98"/>
        <v>0</v>
      </c>
      <c r="V3185">
        <f t="shared" si="99"/>
        <v>0</v>
      </c>
    </row>
    <row r="3186" spans="1:22" x14ac:dyDescent="0.2">
      <c r="A3186" t="s">
        <v>2676</v>
      </c>
      <c r="B3186" t="s">
        <v>35</v>
      </c>
      <c r="C3186" t="s">
        <v>76</v>
      </c>
      <c r="D3186" t="s">
        <v>77</v>
      </c>
      <c r="E3186">
        <v>15</v>
      </c>
      <c r="F3186" t="s">
        <v>88</v>
      </c>
      <c r="G3186">
        <v>79</v>
      </c>
      <c r="H3186">
        <v>141</v>
      </c>
      <c r="I3186">
        <v>0</v>
      </c>
      <c r="J3186">
        <v>65</v>
      </c>
      <c r="K3186">
        <v>54</v>
      </c>
      <c r="L3186">
        <v>-141</v>
      </c>
      <c r="M3186">
        <v>1</v>
      </c>
      <c r="N3186">
        <v>0</v>
      </c>
      <c r="O3186" s="1" t="s">
        <v>5270</v>
      </c>
      <c r="P3186">
        <v>0</v>
      </c>
      <c r="Q3186">
        <v>0</v>
      </c>
      <c r="R3186">
        <v>0</v>
      </c>
      <c r="S3186">
        <v>0</v>
      </c>
      <c r="T3186">
        <v>19.93039817</v>
      </c>
      <c r="U3186">
        <f t="shared" si="98"/>
        <v>0</v>
      </c>
      <c r="V3186">
        <f t="shared" si="99"/>
        <v>0</v>
      </c>
    </row>
    <row r="3187" spans="1:22" x14ac:dyDescent="0.2">
      <c r="A3187" t="s">
        <v>2676</v>
      </c>
      <c r="B3187" t="s">
        <v>35</v>
      </c>
      <c r="C3187" t="s">
        <v>76</v>
      </c>
      <c r="D3187" t="s">
        <v>77</v>
      </c>
      <c r="E3187">
        <v>12</v>
      </c>
      <c r="F3187" t="s">
        <v>194</v>
      </c>
      <c r="G3187">
        <v>66</v>
      </c>
      <c r="H3187">
        <v>63</v>
      </c>
      <c r="I3187">
        <v>0</v>
      </c>
      <c r="J3187">
        <v>61</v>
      </c>
      <c r="K3187">
        <v>57</v>
      </c>
      <c r="L3187">
        <v>-63</v>
      </c>
      <c r="M3187">
        <v>1</v>
      </c>
      <c r="N3187">
        <v>0</v>
      </c>
      <c r="O3187" s="1" t="s">
        <v>5271</v>
      </c>
      <c r="P3187">
        <v>0</v>
      </c>
      <c r="Q3187">
        <v>0</v>
      </c>
      <c r="R3187">
        <v>0</v>
      </c>
      <c r="S3187">
        <v>0</v>
      </c>
      <c r="T3187">
        <v>19.93039817</v>
      </c>
      <c r="U3187">
        <f t="shared" si="98"/>
        <v>0</v>
      </c>
      <c r="V3187">
        <f t="shared" si="99"/>
        <v>0</v>
      </c>
    </row>
    <row r="3188" spans="1:22" x14ac:dyDescent="0.2">
      <c r="A3188" t="s">
        <v>2676</v>
      </c>
      <c r="B3188" t="s">
        <v>35</v>
      </c>
      <c r="C3188" t="s">
        <v>76</v>
      </c>
      <c r="D3188" t="s">
        <v>77</v>
      </c>
      <c r="E3188">
        <v>12</v>
      </c>
      <c r="F3188" t="s">
        <v>194</v>
      </c>
      <c r="G3188">
        <v>65</v>
      </c>
      <c r="H3188">
        <v>30</v>
      </c>
      <c r="I3188">
        <v>31</v>
      </c>
      <c r="J3188">
        <v>101</v>
      </c>
      <c r="K3188">
        <v>81</v>
      </c>
      <c r="L3188">
        <v>1</v>
      </c>
      <c r="M3188" s="1" t="s">
        <v>5272</v>
      </c>
      <c r="N3188" s="1" t="s">
        <v>5273</v>
      </c>
      <c r="O3188" s="1" t="s">
        <v>5274</v>
      </c>
      <c r="P3188">
        <v>0</v>
      </c>
      <c r="Q3188">
        <v>0</v>
      </c>
      <c r="R3188">
        <v>0</v>
      </c>
      <c r="S3188">
        <v>0</v>
      </c>
      <c r="T3188">
        <v>19.93039817</v>
      </c>
      <c r="U3188">
        <f t="shared" si="98"/>
        <v>0</v>
      </c>
      <c r="V3188">
        <f t="shared" si="99"/>
        <v>0</v>
      </c>
    </row>
    <row r="3189" spans="1:22" x14ac:dyDescent="0.2">
      <c r="A3189" t="s">
        <v>2676</v>
      </c>
      <c r="B3189" t="s">
        <v>35</v>
      </c>
      <c r="C3189" t="s">
        <v>76</v>
      </c>
      <c r="D3189" t="s">
        <v>77</v>
      </c>
      <c r="E3189">
        <v>21</v>
      </c>
      <c r="F3189" t="s">
        <v>212</v>
      </c>
      <c r="G3189">
        <v>97</v>
      </c>
      <c r="H3189">
        <v>0</v>
      </c>
      <c r="I3189">
        <v>4238</v>
      </c>
      <c r="J3189">
        <v>97</v>
      </c>
      <c r="K3189">
        <v>65</v>
      </c>
      <c r="L3189">
        <v>4238</v>
      </c>
      <c r="M3189">
        <v>0</v>
      </c>
      <c r="N3189">
        <v>1</v>
      </c>
      <c r="O3189" s="1" t="s">
        <v>5275</v>
      </c>
      <c r="P3189">
        <v>0</v>
      </c>
      <c r="Q3189">
        <v>0</v>
      </c>
      <c r="R3189">
        <v>0</v>
      </c>
      <c r="S3189">
        <v>0</v>
      </c>
      <c r="T3189">
        <v>19.93039817</v>
      </c>
      <c r="U3189">
        <f t="shared" si="98"/>
        <v>0</v>
      </c>
      <c r="V3189">
        <f t="shared" si="99"/>
        <v>0</v>
      </c>
    </row>
    <row r="3190" spans="1:22" x14ac:dyDescent="0.2">
      <c r="A3190" t="s">
        <v>4657</v>
      </c>
      <c r="B3190" t="s">
        <v>55</v>
      </c>
      <c r="C3190" t="s">
        <v>76</v>
      </c>
      <c r="D3190" t="s">
        <v>77</v>
      </c>
      <c r="E3190" s="1" t="s">
        <v>85</v>
      </c>
      <c r="F3190" t="s">
        <v>86</v>
      </c>
      <c r="G3190">
        <v>27</v>
      </c>
      <c r="H3190">
        <v>3067262</v>
      </c>
      <c r="I3190">
        <v>0</v>
      </c>
      <c r="J3190">
        <v>110</v>
      </c>
      <c r="K3190">
        <v>91</v>
      </c>
      <c r="L3190">
        <v>-3067262</v>
      </c>
      <c r="M3190">
        <v>1</v>
      </c>
      <c r="N3190">
        <v>0</v>
      </c>
      <c r="O3190" s="1" t="s">
        <v>5276</v>
      </c>
      <c r="P3190">
        <v>0</v>
      </c>
      <c r="Q3190">
        <v>0</v>
      </c>
      <c r="R3190">
        <v>0</v>
      </c>
      <c r="S3190">
        <v>0</v>
      </c>
      <c r="T3190">
        <v>64.132670540000007</v>
      </c>
      <c r="U3190">
        <f t="shared" si="98"/>
        <v>0</v>
      </c>
      <c r="V3190">
        <f t="shared" si="99"/>
        <v>0</v>
      </c>
    </row>
    <row r="3191" spans="1:22" x14ac:dyDescent="0.2">
      <c r="A3191" t="s">
        <v>4657</v>
      </c>
      <c r="B3191" t="s">
        <v>55</v>
      </c>
      <c r="C3191" t="s">
        <v>76</v>
      </c>
      <c r="D3191" t="s">
        <v>77</v>
      </c>
      <c r="E3191">
        <v>10</v>
      </c>
      <c r="F3191" t="s">
        <v>119</v>
      </c>
      <c r="G3191">
        <v>48</v>
      </c>
      <c r="H3191">
        <v>1034984</v>
      </c>
      <c r="I3191">
        <v>0</v>
      </c>
      <c r="J3191">
        <v>111</v>
      </c>
      <c r="K3191">
        <v>97</v>
      </c>
      <c r="L3191">
        <v>-1034984</v>
      </c>
      <c r="M3191">
        <v>1</v>
      </c>
      <c r="N3191">
        <v>0</v>
      </c>
      <c r="O3191">
        <v>3.8223311646531301E-3</v>
      </c>
      <c r="P3191">
        <v>0</v>
      </c>
      <c r="Q3191">
        <v>0</v>
      </c>
      <c r="R3191">
        <v>0</v>
      </c>
      <c r="S3191">
        <v>0</v>
      </c>
      <c r="T3191">
        <v>64.132670540000007</v>
      </c>
      <c r="U3191">
        <f t="shared" si="98"/>
        <v>0</v>
      </c>
      <c r="V3191">
        <f t="shared" si="99"/>
        <v>0</v>
      </c>
    </row>
    <row r="3192" spans="1:22" x14ac:dyDescent="0.2">
      <c r="A3192" t="s">
        <v>4657</v>
      </c>
      <c r="B3192" t="s">
        <v>55</v>
      </c>
      <c r="C3192" t="s">
        <v>76</v>
      </c>
      <c r="D3192" t="s">
        <v>77</v>
      </c>
      <c r="E3192" s="1" t="s">
        <v>155</v>
      </c>
      <c r="F3192" t="s">
        <v>156</v>
      </c>
      <c r="G3192" s="1" t="s">
        <v>110</v>
      </c>
      <c r="H3192">
        <v>328620</v>
      </c>
      <c r="I3192">
        <v>114966</v>
      </c>
      <c r="J3192">
        <v>70</v>
      </c>
      <c r="K3192">
        <v>52</v>
      </c>
      <c r="L3192">
        <v>-213654</v>
      </c>
      <c r="M3192" s="1" t="s">
        <v>5277</v>
      </c>
      <c r="N3192" s="1" t="s">
        <v>5278</v>
      </c>
      <c r="O3192">
        <v>1.63822106622307E-3</v>
      </c>
      <c r="P3192">
        <v>0</v>
      </c>
      <c r="Q3192">
        <v>0</v>
      </c>
      <c r="R3192">
        <v>0</v>
      </c>
      <c r="S3192">
        <v>0</v>
      </c>
      <c r="T3192">
        <v>64.132670540000007</v>
      </c>
      <c r="U3192">
        <f t="shared" si="98"/>
        <v>0</v>
      </c>
      <c r="V3192">
        <f t="shared" si="99"/>
        <v>0</v>
      </c>
    </row>
    <row r="3193" spans="1:22" x14ac:dyDescent="0.2">
      <c r="A3193" t="s">
        <v>4657</v>
      </c>
      <c r="B3193" t="s">
        <v>55</v>
      </c>
      <c r="C3193" t="s">
        <v>76</v>
      </c>
      <c r="D3193" t="s">
        <v>77</v>
      </c>
      <c r="E3193" s="1" t="s">
        <v>138</v>
      </c>
      <c r="F3193" t="s">
        <v>139</v>
      </c>
      <c r="G3193">
        <v>16</v>
      </c>
      <c r="H3193">
        <v>11746</v>
      </c>
      <c r="I3193">
        <v>0</v>
      </c>
      <c r="J3193">
        <v>69</v>
      </c>
      <c r="K3193">
        <v>73</v>
      </c>
      <c r="L3193">
        <v>-11746</v>
      </c>
      <c r="M3193">
        <v>1</v>
      </c>
      <c r="N3193">
        <v>0</v>
      </c>
      <c r="O3193" s="1" t="s">
        <v>5279</v>
      </c>
      <c r="P3193">
        <v>0</v>
      </c>
      <c r="Q3193">
        <v>0</v>
      </c>
      <c r="R3193">
        <v>0</v>
      </c>
      <c r="S3193">
        <v>0</v>
      </c>
      <c r="T3193">
        <v>64.132670540000007</v>
      </c>
      <c r="U3193">
        <f t="shared" si="98"/>
        <v>0</v>
      </c>
      <c r="V3193">
        <f t="shared" si="99"/>
        <v>0</v>
      </c>
    </row>
    <row r="3194" spans="1:22" x14ac:dyDescent="0.2">
      <c r="A3194" t="s">
        <v>4657</v>
      </c>
      <c r="B3194" t="s">
        <v>55</v>
      </c>
      <c r="C3194" t="s">
        <v>76</v>
      </c>
      <c r="D3194" t="s">
        <v>77</v>
      </c>
      <c r="E3194">
        <v>18</v>
      </c>
      <c r="F3194" t="s">
        <v>147</v>
      </c>
      <c r="G3194">
        <v>90</v>
      </c>
      <c r="H3194">
        <v>14292</v>
      </c>
      <c r="I3194">
        <v>0</v>
      </c>
      <c r="J3194">
        <v>131</v>
      </c>
      <c r="K3194">
        <v>103</v>
      </c>
      <c r="L3194">
        <v>-14292</v>
      </c>
      <c r="M3194">
        <v>1</v>
      </c>
      <c r="N3194">
        <v>0</v>
      </c>
      <c r="O3194" s="1" t="s">
        <v>5280</v>
      </c>
      <c r="P3194">
        <v>0</v>
      </c>
      <c r="Q3194">
        <v>0</v>
      </c>
      <c r="R3194">
        <v>0</v>
      </c>
      <c r="S3194">
        <v>0</v>
      </c>
      <c r="T3194">
        <v>64.132670540000007</v>
      </c>
      <c r="U3194">
        <f t="shared" si="98"/>
        <v>0</v>
      </c>
      <c r="V3194">
        <f t="shared" si="99"/>
        <v>0</v>
      </c>
    </row>
    <row r="3195" spans="1:22" x14ac:dyDescent="0.2">
      <c r="A3195" t="s">
        <v>4657</v>
      </c>
      <c r="B3195" t="s">
        <v>55</v>
      </c>
      <c r="C3195" t="s">
        <v>76</v>
      </c>
      <c r="D3195" t="s">
        <v>77</v>
      </c>
      <c r="E3195" s="1" t="s">
        <v>89</v>
      </c>
      <c r="F3195" t="s">
        <v>90</v>
      </c>
      <c r="G3195">
        <v>29</v>
      </c>
      <c r="H3195">
        <v>1428</v>
      </c>
      <c r="I3195">
        <v>0</v>
      </c>
      <c r="J3195">
        <v>120</v>
      </c>
      <c r="K3195">
        <v>81</v>
      </c>
      <c r="L3195">
        <v>-1428</v>
      </c>
      <c r="M3195">
        <v>1</v>
      </c>
      <c r="N3195">
        <v>0</v>
      </c>
      <c r="O3195" s="1" t="s">
        <v>5281</v>
      </c>
      <c r="P3195">
        <v>0</v>
      </c>
      <c r="Q3195">
        <v>0</v>
      </c>
      <c r="R3195">
        <v>0</v>
      </c>
      <c r="S3195">
        <v>0</v>
      </c>
      <c r="T3195">
        <v>64.132670540000007</v>
      </c>
      <c r="U3195">
        <f t="shared" si="98"/>
        <v>0</v>
      </c>
      <c r="V3195">
        <f t="shared" si="99"/>
        <v>0</v>
      </c>
    </row>
    <row r="3196" spans="1:22" x14ac:dyDescent="0.2">
      <c r="A3196" t="s">
        <v>4657</v>
      </c>
      <c r="B3196" t="s">
        <v>55</v>
      </c>
      <c r="C3196" t="s">
        <v>76</v>
      </c>
      <c r="D3196" t="s">
        <v>77</v>
      </c>
      <c r="E3196" s="1" t="s">
        <v>85</v>
      </c>
      <c r="F3196" t="s">
        <v>86</v>
      </c>
      <c r="G3196">
        <v>25</v>
      </c>
      <c r="H3196">
        <v>0</v>
      </c>
      <c r="I3196">
        <v>189493</v>
      </c>
      <c r="J3196">
        <v>118</v>
      </c>
      <c r="K3196">
        <v>59</v>
      </c>
      <c r="L3196">
        <v>189493</v>
      </c>
      <c r="M3196">
        <v>0</v>
      </c>
      <c r="N3196">
        <v>1</v>
      </c>
      <c r="O3196" s="1" t="s">
        <v>5282</v>
      </c>
      <c r="P3196">
        <v>0</v>
      </c>
      <c r="Q3196">
        <v>0</v>
      </c>
      <c r="R3196">
        <v>0</v>
      </c>
      <c r="S3196">
        <v>0</v>
      </c>
      <c r="T3196">
        <v>64.132670540000007</v>
      </c>
      <c r="U3196">
        <f t="shared" si="98"/>
        <v>0</v>
      </c>
      <c r="V3196">
        <f t="shared" si="99"/>
        <v>0</v>
      </c>
    </row>
    <row r="3197" spans="1:22" x14ac:dyDescent="0.2">
      <c r="A3197" t="s">
        <v>2813</v>
      </c>
      <c r="B3197" t="s">
        <v>36</v>
      </c>
      <c r="C3197" t="s">
        <v>76</v>
      </c>
      <c r="D3197" t="s">
        <v>77</v>
      </c>
      <c r="E3197" s="1" t="s">
        <v>155</v>
      </c>
      <c r="F3197" t="s">
        <v>156</v>
      </c>
      <c r="G3197" s="1" t="s">
        <v>110</v>
      </c>
      <c r="H3197">
        <v>5347237</v>
      </c>
      <c r="I3197">
        <v>1036453</v>
      </c>
      <c r="J3197">
        <v>51</v>
      </c>
      <c r="K3197">
        <v>38</v>
      </c>
      <c r="L3197">
        <v>-4310784</v>
      </c>
      <c r="M3197" s="1" t="s">
        <v>5283</v>
      </c>
      <c r="N3197" s="1" t="s">
        <v>5284</v>
      </c>
      <c r="O3197" s="1" t="s">
        <v>5285</v>
      </c>
      <c r="P3197">
        <v>0</v>
      </c>
      <c r="Q3197">
        <v>0</v>
      </c>
      <c r="R3197">
        <v>0</v>
      </c>
      <c r="S3197">
        <v>0</v>
      </c>
      <c r="T3197">
        <v>25.83542374</v>
      </c>
      <c r="U3197">
        <f t="shared" si="98"/>
        <v>0</v>
      </c>
      <c r="V3197">
        <f t="shared" si="99"/>
        <v>0</v>
      </c>
    </row>
    <row r="3198" spans="1:22" x14ac:dyDescent="0.2">
      <c r="A3198" t="s">
        <v>2813</v>
      </c>
      <c r="B3198" t="s">
        <v>36</v>
      </c>
      <c r="C3198" t="s">
        <v>76</v>
      </c>
      <c r="D3198" t="s">
        <v>77</v>
      </c>
      <c r="E3198">
        <v>11</v>
      </c>
      <c r="F3198" t="s">
        <v>127</v>
      </c>
      <c r="G3198">
        <v>62</v>
      </c>
      <c r="H3198">
        <v>90</v>
      </c>
      <c r="I3198">
        <v>25</v>
      </c>
      <c r="J3198">
        <v>127</v>
      </c>
      <c r="K3198">
        <v>101</v>
      </c>
      <c r="L3198">
        <v>-65</v>
      </c>
      <c r="M3198">
        <v>0.78260869565217395</v>
      </c>
      <c r="N3198" s="1" t="s">
        <v>5286</v>
      </c>
      <c r="O3198" s="1" t="s">
        <v>5287</v>
      </c>
      <c r="P3198">
        <v>0</v>
      </c>
      <c r="Q3198">
        <v>0</v>
      </c>
      <c r="R3198">
        <v>0</v>
      </c>
      <c r="S3198">
        <v>0</v>
      </c>
      <c r="T3198">
        <v>25.83542374</v>
      </c>
      <c r="U3198">
        <f t="shared" si="98"/>
        <v>0</v>
      </c>
      <c r="V3198">
        <f t="shared" si="99"/>
        <v>0</v>
      </c>
    </row>
    <row r="3199" spans="1:22" x14ac:dyDescent="0.2">
      <c r="A3199" t="s">
        <v>2813</v>
      </c>
      <c r="B3199" t="s">
        <v>36</v>
      </c>
      <c r="C3199" t="s">
        <v>76</v>
      </c>
      <c r="D3199" t="s">
        <v>77</v>
      </c>
      <c r="E3199">
        <v>15</v>
      </c>
      <c r="F3199" t="s">
        <v>88</v>
      </c>
      <c r="G3199">
        <v>72</v>
      </c>
      <c r="H3199">
        <v>0</v>
      </c>
      <c r="I3199">
        <v>133</v>
      </c>
      <c r="J3199">
        <v>128</v>
      </c>
      <c r="K3199">
        <v>73</v>
      </c>
      <c r="L3199">
        <v>133</v>
      </c>
      <c r="M3199">
        <v>0</v>
      </c>
      <c r="N3199">
        <v>1</v>
      </c>
      <c r="O3199" s="1" t="s">
        <v>5288</v>
      </c>
      <c r="P3199">
        <v>0</v>
      </c>
      <c r="Q3199">
        <v>0</v>
      </c>
      <c r="R3199">
        <v>0</v>
      </c>
      <c r="S3199">
        <v>0</v>
      </c>
      <c r="T3199">
        <v>25.83542374</v>
      </c>
      <c r="U3199">
        <f t="shared" si="98"/>
        <v>0</v>
      </c>
      <c r="V3199">
        <f t="shared" si="99"/>
        <v>0</v>
      </c>
    </row>
    <row r="3200" spans="1:22" x14ac:dyDescent="0.2">
      <c r="A3200" t="s">
        <v>2813</v>
      </c>
      <c r="B3200" t="s">
        <v>36</v>
      </c>
      <c r="C3200" t="s">
        <v>76</v>
      </c>
      <c r="D3200" t="s">
        <v>77</v>
      </c>
      <c r="E3200">
        <v>13</v>
      </c>
      <c r="F3200" t="s">
        <v>91</v>
      </c>
      <c r="G3200">
        <v>70</v>
      </c>
      <c r="H3200">
        <v>29</v>
      </c>
      <c r="I3200">
        <v>1157</v>
      </c>
      <c r="J3200">
        <v>138</v>
      </c>
      <c r="K3200">
        <v>73</v>
      </c>
      <c r="L3200">
        <v>1128</v>
      </c>
      <c r="M3200" s="1" t="s">
        <v>5289</v>
      </c>
      <c r="N3200">
        <v>0.97554806070826305</v>
      </c>
      <c r="O3200" s="1" t="s">
        <v>5290</v>
      </c>
      <c r="P3200">
        <v>0</v>
      </c>
      <c r="Q3200">
        <v>0</v>
      </c>
      <c r="R3200">
        <v>0</v>
      </c>
      <c r="S3200">
        <v>0</v>
      </c>
      <c r="T3200">
        <v>25.83542374</v>
      </c>
      <c r="U3200">
        <f t="shared" si="98"/>
        <v>0</v>
      </c>
      <c r="V3200">
        <f t="shared" si="99"/>
        <v>0</v>
      </c>
    </row>
    <row r="3201" spans="1:22" x14ac:dyDescent="0.2">
      <c r="A3201" t="s">
        <v>2898</v>
      </c>
      <c r="B3201" t="s">
        <v>37</v>
      </c>
      <c r="C3201" t="s">
        <v>76</v>
      </c>
      <c r="D3201" t="s">
        <v>77</v>
      </c>
      <c r="E3201" s="1" t="s">
        <v>138</v>
      </c>
      <c r="F3201" t="s">
        <v>139</v>
      </c>
      <c r="G3201">
        <v>18</v>
      </c>
      <c r="H3201">
        <v>1977885</v>
      </c>
      <c r="I3201">
        <v>0</v>
      </c>
      <c r="J3201">
        <v>46</v>
      </c>
      <c r="K3201">
        <v>82</v>
      </c>
      <c r="L3201">
        <v>-1977885</v>
      </c>
      <c r="M3201">
        <v>1</v>
      </c>
      <c r="N3201">
        <v>0</v>
      </c>
      <c r="O3201">
        <v>2.7055119982618E-2</v>
      </c>
      <c r="P3201">
        <v>0</v>
      </c>
      <c r="Q3201">
        <v>0</v>
      </c>
      <c r="R3201">
        <v>0</v>
      </c>
      <c r="S3201">
        <v>0</v>
      </c>
      <c r="T3201">
        <v>25.226674899999999</v>
      </c>
      <c r="U3201">
        <f t="shared" si="98"/>
        <v>0</v>
      </c>
      <c r="V3201">
        <f t="shared" si="99"/>
        <v>0</v>
      </c>
    </row>
    <row r="3202" spans="1:22" x14ac:dyDescent="0.2">
      <c r="A3202" t="s">
        <v>2898</v>
      </c>
      <c r="B3202" t="s">
        <v>37</v>
      </c>
      <c r="C3202" t="s">
        <v>76</v>
      </c>
      <c r="D3202" t="s">
        <v>77</v>
      </c>
      <c r="E3202">
        <v>13</v>
      </c>
      <c r="F3202" t="s">
        <v>91</v>
      </c>
      <c r="G3202">
        <v>68</v>
      </c>
      <c r="H3202">
        <v>24146</v>
      </c>
      <c r="I3202">
        <v>0</v>
      </c>
      <c r="J3202">
        <v>98</v>
      </c>
      <c r="K3202">
        <v>85</v>
      </c>
      <c r="L3202">
        <v>-24146</v>
      </c>
      <c r="M3202">
        <v>1</v>
      </c>
      <c r="N3202">
        <v>0</v>
      </c>
      <c r="O3202" s="1" t="s">
        <v>5291</v>
      </c>
      <c r="P3202">
        <v>0</v>
      </c>
      <c r="Q3202">
        <v>0</v>
      </c>
      <c r="R3202">
        <v>0</v>
      </c>
      <c r="S3202">
        <v>0</v>
      </c>
      <c r="T3202">
        <v>25.226674899999999</v>
      </c>
      <c r="U3202">
        <f t="shared" si="98"/>
        <v>0</v>
      </c>
      <c r="V3202">
        <f t="shared" si="99"/>
        <v>0</v>
      </c>
    </row>
    <row r="3203" spans="1:22" x14ac:dyDescent="0.2">
      <c r="A3203" t="s">
        <v>2898</v>
      </c>
      <c r="B3203" t="s">
        <v>37</v>
      </c>
      <c r="C3203" t="s">
        <v>76</v>
      </c>
      <c r="D3203" t="s">
        <v>77</v>
      </c>
      <c r="E3203" s="1" t="s">
        <v>89</v>
      </c>
      <c r="F3203" t="s">
        <v>90</v>
      </c>
      <c r="G3203">
        <v>38</v>
      </c>
      <c r="H3203">
        <v>3757</v>
      </c>
      <c r="I3203">
        <v>0</v>
      </c>
      <c r="J3203">
        <v>124</v>
      </c>
      <c r="K3203">
        <v>87</v>
      </c>
      <c r="L3203">
        <v>-3757</v>
      </c>
      <c r="M3203">
        <v>1</v>
      </c>
      <c r="N3203">
        <v>0</v>
      </c>
      <c r="O3203" s="1" t="s">
        <v>5292</v>
      </c>
      <c r="P3203">
        <v>0</v>
      </c>
      <c r="Q3203">
        <v>0</v>
      </c>
      <c r="R3203">
        <v>0</v>
      </c>
      <c r="S3203">
        <v>0</v>
      </c>
      <c r="T3203">
        <v>25.226674899999999</v>
      </c>
      <c r="U3203">
        <f t="shared" ref="U3203:U3266" si="100">IF(OR(P3203=1,Q3203=1),1,0)</f>
        <v>0</v>
      </c>
      <c r="V3203">
        <f t="shared" ref="V3203:V3266" si="101">IF(OR(R3203=1,S3203=1),1,0)</f>
        <v>0</v>
      </c>
    </row>
    <row r="3204" spans="1:22" x14ac:dyDescent="0.2">
      <c r="A3204" t="s">
        <v>2898</v>
      </c>
      <c r="B3204" t="s">
        <v>37</v>
      </c>
      <c r="C3204" t="s">
        <v>76</v>
      </c>
      <c r="D3204" t="s">
        <v>77</v>
      </c>
      <c r="E3204">
        <v>15</v>
      </c>
      <c r="F3204" t="s">
        <v>88</v>
      </c>
      <c r="G3204">
        <v>73</v>
      </c>
      <c r="H3204">
        <v>2062</v>
      </c>
      <c r="I3204">
        <v>0</v>
      </c>
      <c r="J3204">
        <v>136</v>
      </c>
      <c r="K3204">
        <v>103</v>
      </c>
      <c r="L3204">
        <v>-2062</v>
      </c>
      <c r="M3204">
        <v>1</v>
      </c>
      <c r="N3204">
        <v>0</v>
      </c>
      <c r="O3204" s="1" t="s">
        <v>5293</v>
      </c>
      <c r="P3204">
        <v>0</v>
      </c>
      <c r="Q3204">
        <v>0</v>
      </c>
      <c r="R3204">
        <v>0</v>
      </c>
      <c r="S3204">
        <v>0</v>
      </c>
      <c r="T3204">
        <v>25.226674899999999</v>
      </c>
      <c r="U3204">
        <f t="shared" si="100"/>
        <v>0</v>
      </c>
      <c r="V3204">
        <f t="shared" si="101"/>
        <v>0</v>
      </c>
    </row>
    <row r="3205" spans="1:22" x14ac:dyDescent="0.2">
      <c r="A3205" t="s">
        <v>2898</v>
      </c>
      <c r="B3205" t="s">
        <v>37</v>
      </c>
      <c r="C3205" t="s">
        <v>76</v>
      </c>
      <c r="D3205" t="s">
        <v>77</v>
      </c>
      <c r="E3205" s="1" t="s">
        <v>89</v>
      </c>
      <c r="F3205" t="s">
        <v>90</v>
      </c>
      <c r="G3205">
        <v>29</v>
      </c>
      <c r="H3205">
        <v>989</v>
      </c>
      <c r="I3205">
        <v>0</v>
      </c>
      <c r="J3205">
        <v>122</v>
      </c>
      <c r="K3205">
        <v>81</v>
      </c>
      <c r="L3205">
        <v>-989</v>
      </c>
      <c r="M3205">
        <v>1</v>
      </c>
      <c r="N3205">
        <v>0</v>
      </c>
      <c r="O3205" s="1" t="s">
        <v>5294</v>
      </c>
      <c r="P3205">
        <v>0</v>
      </c>
      <c r="Q3205">
        <v>0</v>
      </c>
      <c r="R3205">
        <v>0</v>
      </c>
      <c r="S3205">
        <v>0</v>
      </c>
      <c r="T3205">
        <v>25.226674899999999</v>
      </c>
      <c r="U3205">
        <f t="shared" si="100"/>
        <v>0</v>
      </c>
      <c r="V3205">
        <f t="shared" si="101"/>
        <v>0</v>
      </c>
    </row>
    <row r="3206" spans="1:22" x14ac:dyDescent="0.2">
      <c r="A3206" t="s">
        <v>2898</v>
      </c>
      <c r="B3206" t="s">
        <v>37</v>
      </c>
      <c r="C3206" t="s">
        <v>76</v>
      </c>
      <c r="D3206" t="s">
        <v>77</v>
      </c>
      <c r="E3206">
        <v>13</v>
      </c>
      <c r="F3206" t="s">
        <v>91</v>
      </c>
      <c r="G3206">
        <v>69</v>
      </c>
      <c r="H3206">
        <v>29</v>
      </c>
      <c r="I3206">
        <v>0</v>
      </c>
      <c r="J3206">
        <v>117</v>
      </c>
      <c r="K3206">
        <v>91</v>
      </c>
      <c r="L3206">
        <v>-29</v>
      </c>
      <c r="M3206">
        <v>1</v>
      </c>
      <c r="N3206">
        <v>0</v>
      </c>
      <c r="O3206" s="1" t="s">
        <v>5295</v>
      </c>
      <c r="P3206">
        <v>0</v>
      </c>
      <c r="Q3206">
        <v>0</v>
      </c>
      <c r="R3206">
        <v>0</v>
      </c>
      <c r="S3206">
        <v>0</v>
      </c>
      <c r="T3206">
        <v>25.226674899999999</v>
      </c>
      <c r="U3206">
        <f t="shared" si="100"/>
        <v>0</v>
      </c>
      <c r="V3206">
        <f t="shared" si="101"/>
        <v>0</v>
      </c>
    </row>
    <row r="3207" spans="1:22" x14ac:dyDescent="0.2">
      <c r="A3207" t="s">
        <v>2898</v>
      </c>
      <c r="B3207" t="s">
        <v>37</v>
      </c>
      <c r="C3207" t="s">
        <v>76</v>
      </c>
      <c r="D3207" t="s">
        <v>77</v>
      </c>
      <c r="E3207" s="1" t="s">
        <v>138</v>
      </c>
      <c r="F3207" t="s">
        <v>139</v>
      </c>
      <c r="G3207">
        <v>24</v>
      </c>
      <c r="H3207">
        <v>16</v>
      </c>
      <c r="I3207">
        <v>0</v>
      </c>
      <c r="J3207">
        <v>95</v>
      </c>
      <c r="K3207">
        <v>80</v>
      </c>
      <c r="L3207">
        <v>-16</v>
      </c>
      <c r="M3207">
        <v>1</v>
      </c>
      <c r="N3207">
        <v>0</v>
      </c>
      <c r="O3207" s="1" t="s">
        <v>5296</v>
      </c>
      <c r="P3207">
        <v>0</v>
      </c>
      <c r="Q3207">
        <v>0</v>
      </c>
      <c r="R3207">
        <v>0</v>
      </c>
      <c r="S3207">
        <v>0</v>
      </c>
      <c r="T3207">
        <v>25.226674899999999</v>
      </c>
      <c r="U3207">
        <f t="shared" si="100"/>
        <v>0</v>
      </c>
      <c r="V3207">
        <f t="shared" si="101"/>
        <v>0</v>
      </c>
    </row>
    <row r="3208" spans="1:22" x14ac:dyDescent="0.2">
      <c r="A3208" t="s">
        <v>2898</v>
      </c>
      <c r="B3208" t="s">
        <v>37</v>
      </c>
      <c r="C3208" t="s">
        <v>76</v>
      </c>
      <c r="D3208" t="s">
        <v>77</v>
      </c>
      <c r="E3208" s="1" t="s">
        <v>138</v>
      </c>
      <c r="F3208" t="s">
        <v>139</v>
      </c>
      <c r="G3208">
        <v>17</v>
      </c>
      <c r="H3208">
        <v>28</v>
      </c>
      <c r="I3208">
        <v>28</v>
      </c>
      <c r="J3208">
        <v>115</v>
      </c>
      <c r="K3208">
        <v>85</v>
      </c>
      <c r="L3208">
        <v>0</v>
      </c>
      <c r="M3208">
        <v>0.5</v>
      </c>
      <c r="N3208">
        <v>0.5</v>
      </c>
      <c r="O3208" s="1" t="s">
        <v>5297</v>
      </c>
      <c r="P3208">
        <v>0</v>
      </c>
      <c r="Q3208">
        <v>0</v>
      </c>
      <c r="R3208">
        <v>0</v>
      </c>
      <c r="S3208">
        <v>0</v>
      </c>
      <c r="T3208">
        <v>25.226674899999999</v>
      </c>
      <c r="U3208">
        <f t="shared" si="100"/>
        <v>0</v>
      </c>
      <c r="V3208">
        <f t="shared" si="101"/>
        <v>0</v>
      </c>
    </row>
    <row r="3209" spans="1:22" x14ac:dyDescent="0.2">
      <c r="A3209" t="s">
        <v>2898</v>
      </c>
      <c r="B3209" t="s">
        <v>37</v>
      </c>
      <c r="C3209" t="s">
        <v>76</v>
      </c>
      <c r="D3209" t="s">
        <v>77</v>
      </c>
      <c r="E3209">
        <v>12</v>
      </c>
      <c r="F3209" t="s">
        <v>194</v>
      </c>
      <c r="G3209">
        <v>65</v>
      </c>
      <c r="H3209">
        <v>193</v>
      </c>
      <c r="I3209">
        <v>32242</v>
      </c>
      <c r="J3209">
        <v>90</v>
      </c>
      <c r="K3209">
        <v>53</v>
      </c>
      <c r="L3209">
        <v>32049</v>
      </c>
      <c r="M3209">
        <v>5.9503622629875101E-3</v>
      </c>
      <c r="N3209" s="1" t="s">
        <v>5298</v>
      </c>
      <c r="O3209" s="1" t="s">
        <v>5299</v>
      </c>
      <c r="P3209">
        <v>0</v>
      </c>
      <c r="Q3209">
        <v>0</v>
      </c>
      <c r="R3209">
        <v>0</v>
      </c>
      <c r="S3209">
        <v>0</v>
      </c>
      <c r="T3209">
        <v>25.226674899999999</v>
      </c>
      <c r="U3209">
        <f t="shared" si="100"/>
        <v>0</v>
      </c>
      <c r="V3209">
        <f t="shared" si="101"/>
        <v>0</v>
      </c>
    </row>
    <row r="3210" spans="1:22" x14ac:dyDescent="0.2">
      <c r="A3210" t="s">
        <v>2948</v>
      </c>
      <c r="B3210" t="s">
        <v>38</v>
      </c>
      <c r="C3210" t="s">
        <v>76</v>
      </c>
      <c r="D3210" t="s">
        <v>77</v>
      </c>
      <c r="E3210">
        <v>12</v>
      </c>
      <c r="F3210" t="s">
        <v>194</v>
      </c>
      <c r="G3210">
        <v>64</v>
      </c>
      <c r="H3210">
        <v>1089</v>
      </c>
      <c r="I3210">
        <v>0</v>
      </c>
      <c r="J3210">
        <v>99</v>
      </c>
      <c r="K3210">
        <v>94</v>
      </c>
      <c r="L3210">
        <v>-1089</v>
      </c>
      <c r="M3210">
        <v>1</v>
      </c>
      <c r="N3210">
        <v>0</v>
      </c>
      <c r="O3210" s="1" t="s">
        <v>5300</v>
      </c>
      <c r="P3210">
        <v>0</v>
      </c>
      <c r="Q3210">
        <v>0</v>
      </c>
      <c r="R3210">
        <v>0</v>
      </c>
      <c r="S3210">
        <v>0</v>
      </c>
      <c r="T3210">
        <v>71.887944790000006</v>
      </c>
      <c r="U3210">
        <f t="shared" si="100"/>
        <v>0</v>
      </c>
      <c r="V3210">
        <f t="shared" si="101"/>
        <v>0</v>
      </c>
    </row>
    <row r="3211" spans="1:22" x14ac:dyDescent="0.2">
      <c r="A3211" t="s">
        <v>2948</v>
      </c>
      <c r="B3211" t="s">
        <v>38</v>
      </c>
      <c r="C3211" t="s">
        <v>76</v>
      </c>
      <c r="D3211" t="s">
        <v>77</v>
      </c>
      <c r="E3211" s="1" t="s">
        <v>138</v>
      </c>
      <c r="F3211" t="s">
        <v>139</v>
      </c>
      <c r="G3211">
        <v>21</v>
      </c>
      <c r="H3211">
        <v>428</v>
      </c>
      <c r="I3211">
        <v>26</v>
      </c>
      <c r="J3211">
        <v>114</v>
      </c>
      <c r="K3211">
        <v>97</v>
      </c>
      <c r="L3211">
        <v>-402</v>
      </c>
      <c r="M3211" s="1" t="s">
        <v>5301</v>
      </c>
      <c r="N3211">
        <v>5.7268722466960298E-2</v>
      </c>
      <c r="O3211" s="1" t="s">
        <v>5302</v>
      </c>
      <c r="P3211">
        <v>0</v>
      </c>
      <c r="Q3211">
        <v>0</v>
      </c>
      <c r="R3211">
        <v>0</v>
      </c>
      <c r="S3211">
        <v>0</v>
      </c>
      <c r="T3211">
        <v>71.887944790000006</v>
      </c>
      <c r="U3211">
        <f t="shared" si="100"/>
        <v>0</v>
      </c>
      <c r="V3211">
        <f t="shared" si="101"/>
        <v>0</v>
      </c>
    </row>
    <row r="3212" spans="1:22" x14ac:dyDescent="0.2">
      <c r="A3212" t="s">
        <v>2948</v>
      </c>
      <c r="B3212" t="s">
        <v>38</v>
      </c>
      <c r="C3212" t="s">
        <v>76</v>
      </c>
      <c r="D3212" t="s">
        <v>77</v>
      </c>
      <c r="E3212">
        <v>12</v>
      </c>
      <c r="F3212" t="s">
        <v>194</v>
      </c>
      <c r="G3212">
        <v>65</v>
      </c>
      <c r="H3212">
        <v>415</v>
      </c>
      <c r="I3212">
        <v>1200</v>
      </c>
      <c r="J3212">
        <v>86</v>
      </c>
      <c r="K3212">
        <v>70</v>
      </c>
      <c r="L3212">
        <v>785</v>
      </c>
      <c r="M3212" s="1" t="s">
        <v>5303</v>
      </c>
      <c r="N3212" s="1" t="s">
        <v>5304</v>
      </c>
      <c r="O3212" s="1" t="s">
        <v>5305</v>
      </c>
      <c r="P3212">
        <v>0</v>
      </c>
      <c r="Q3212">
        <v>0</v>
      </c>
      <c r="R3212">
        <v>0</v>
      </c>
      <c r="S3212">
        <v>0</v>
      </c>
      <c r="T3212">
        <v>71.887944790000006</v>
      </c>
      <c r="U3212">
        <f t="shared" si="100"/>
        <v>0</v>
      </c>
      <c r="V3212">
        <f t="shared" si="101"/>
        <v>0</v>
      </c>
    </row>
    <row r="3213" spans="1:22" x14ac:dyDescent="0.2">
      <c r="A3213" t="s">
        <v>2948</v>
      </c>
      <c r="B3213" t="s">
        <v>38</v>
      </c>
      <c r="C3213" t="s">
        <v>76</v>
      </c>
      <c r="D3213" t="s">
        <v>77</v>
      </c>
      <c r="E3213">
        <v>11</v>
      </c>
      <c r="F3213" t="s">
        <v>127</v>
      </c>
      <c r="G3213">
        <v>59</v>
      </c>
      <c r="H3213">
        <v>2985</v>
      </c>
      <c r="I3213">
        <v>0</v>
      </c>
      <c r="J3213">
        <v>76</v>
      </c>
      <c r="K3213">
        <v>68</v>
      </c>
      <c r="L3213">
        <v>-2985</v>
      </c>
      <c r="M3213">
        <v>1</v>
      </c>
      <c r="N3213">
        <v>0</v>
      </c>
      <c r="O3213" s="1" t="s">
        <v>5306</v>
      </c>
      <c r="P3213">
        <v>0</v>
      </c>
      <c r="Q3213">
        <v>0</v>
      </c>
      <c r="R3213">
        <v>0</v>
      </c>
      <c r="S3213">
        <v>0</v>
      </c>
      <c r="T3213">
        <v>71.887944790000006</v>
      </c>
      <c r="U3213">
        <f t="shared" si="100"/>
        <v>0</v>
      </c>
      <c r="V3213">
        <f t="shared" si="101"/>
        <v>0</v>
      </c>
    </row>
    <row r="3214" spans="1:22" x14ac:dyDescent="0.2">
      <c r="A3214" t="s">
        <v>2948</v>
      </c>
      <c r="B3214" t="s">
        <v>38</v>
      </c>
      <c r="C3214" t="s">
        <v>76</v>
      </c>
      <c r="D3214" t="s">
        <v>77</v>
      </c>
      <c r="E3214" s="1" t="s">
        <v>163</v>
      </c>
      <c r="F3214" t="s">
        <v>224</v>
      </c>
      <c r="G3214">
        <v>42</v>
      </c>
      <c r="H3214">
        <v>706</v>
      </c>
      <c r="I3214">
        <v>1800</v>
      </c>
      <c r="J3214">
        <v>105</v>
      </c>
      <c r="K3214">
        <v>77</v>
      </c>
      <c r="L3214">
        <v>1094</v>
      </c>
      <c r="M3214" s="1" t="s">
        <v>5307</v>
      </c>
      <c r="N3214" s="1" t="s">
        <v>5308</v>
      </c>
      <c r="O3214" s="1" t="s">
        <v>5309</v>
      </c>
      <c r="P3214">
        <v>0</v>
      </c>
      <c r="Q3214">
        <v>0</v>
      </c>
      <c r="R3214">
        <v>0</v>
      </c>
      <c r="S3214">
        <v>0</v>
      </c>
      <c r="T3214">
        <v>71.887944790000006</v>
      </c>
      <c r="U3214">
        <f t="shared" si="100"/>
        <v>0</v>
      </c>
      <c r="V3214">
        <f t="shared" si="101"/>
        <v>0</v>
      </c>
    </row>
    <row r="3215" spans="1:22" x14ac:dyDescent="0.2">
      <c r="A3215" t="s">
        <v>2948</v>
      </c>
      <c r="B3215" t="s">
        <v>38</v>
      </c>
      <c r="C3215" t="s">
        <v>76</v>
      </c>
      <c r="D3215" t="s">
        <v>77</v>
      </c>
      <c r="E3215">
        <v>14</v>
      </c>
      <c r="F3215" t="s">
        <v>261</v>
      </c>
      <c r="G3215">
        <v>71</v>
      </c>
      <c r="H3215">
        <v>28</v>
      </c>
      <c r="I3215">
        <v>0</v>
      </c>
      <c r="J3215">
        <v>95</v>
      </c>
      <c r="K3215">
        <v>89</v>
      </c>
      <c r="L3215">
        <v>-28</v>
      </c>
      <c r="M3215">
        <v>1</v>
      </c>
      <c r="N3215">
        <v>0</v>
      </c>
      <c r="O3215" s="1" t="s">
        <v>5310</v>
      </c>
      <c r="P3215">
        <v>0</v>
      </c>
      <c r="Q3215">
        <v>0</v>
      </c>
      <c r="R3215">
        <v>0</v>
      </c>
      <c r="S3215">
        <v>0</v>
      </c>
      <c r="T3215">
        <v>71.887944790000006</v>
      </c>
      <c r="U3215">
        <f t="shared" si="100"/>
        <v>0</v>
      </c>
      <c r="V3215">
        <f t="shared" si="101"/>
        <v>0</v>
      </c>
    </row>
    <row r="3216" spans="1:22" x14ac:dyDescent="0.2">
      <c r="A3216" t="s">
        <v>2948</v>
      </c>
      <c r="B3216" t="s">
        <v>38</v>
      </c>
      <c r="C3216" t="s">
        <v>76</v>
      </c>
      <c r="D3216" t="s">
        <v>77</v>
      </c>
      <c r="E3216" s="1" t="s">
        <v>138</v>
      </c>
      <c r="F3216" t="s">
        <v>139</v>
      </c>
      <c r="G3216">
        <v>17</v>
      </c>
      <c r="H3216">
        <v>0</v>
      </c>
      <c r="I3216">
        <v>8</v>
      </c>
      <c r="J3216">
        <v>119</v>
      </c>
      <c r="K3216">
        <v>87</v>
      </c>
      <c r="L3216">
        <v>8</v>
      </c>
      <c r="M3216">
        <v>0</v>
      </c>
      <c r="N3216">
        <v>1</v>
      </c>
      <c r="O3216" s="1" t="s">
        <v>5311</v>
      </c>
      <c r="P3216">
        <v>0</v>
      </c>
      <c r="Q3216">
        <v>0</v>
      </c>
      <c r="R3216">
        <v>0</v>
      </c>
      <c r="S3216">
        <v>0</v>
      </c>
      <c r="T3216">
        <v>71.887944790000006</v>
      </c>
      <c r="U3216">
        <f t="shared" si="100"/>
        <v>0</v>
      </c>
      <c r="V3216">
        <f t="shared" si="101"/>
        <v>0</v>
      </c>
    </row>
    <row r="3217" spans="1:22" x14ac:dyDescent="0.2">
      <c r="A3217" t="s">
        <v>2948</v>
      </c>
      <c r="B3217" t="s">
        <v>38</v>
      </c>
      <c r="C3217" t="s">
        <v>76</v>
      </c>
      <c r="D3217" t="s">
        <v>77</v>
      </c>
      <c r="E3217" s="1" t="s">
        <v>138</v>
      </c>
      <c r="F3217" t="s">
        <v>139</v>
      </c>
      <c r="G3217">
        <v>20</v>
      </c>
      <c r="H3217">
        <v>0</v>
      </c>
      <c r="I3217">
        <v>3</v>
      </c>
      <c r="J3217">
        <v>88</v>
      </c>
      <c r="K3217">
        <v>92</v>
      </c>
      <c r="L3217">
        <v>3</v>
      </c>
      <c r="M3217">
        <v>0</v>
      </c>
      <c r="N3217">
        <v>1</v>
      </c>
      <c r="O3217" s="1" t="s">
        <v>5312</v>
      </c>
      <c r="P3217">
        <v>0</v>
      </c>
      <c r="Q3217">
        <v>0</v>
      </c>
      <c r="R3217">
        <v>0</v>
      </c>
      <c r="S3217">
        <v>0</v>
      </c>
      <c r="T3217">
        <v>71.887944790000006</v>
      </c>
      <c r="U3217">
        <f t="shared" si="100"/>
        <v>0</v>
      </c>
      <c r="V3217">
        <f t="shared" si="101"/>
        <v>0</v>
      </c>
    </row>
    <row r="3218" spans="1:22" x14ac:dyDescent="0.2">
      <c r="A3218" t="s">
        <v>2948</v>
      </c>
      <c r="B3218" t="s">
        <v>38</v>
      </c>
      <c r="C3218" t="s">
        <v>76</v>
      </c>
      <c r="D3218" t="s">
        <v>77</v>
      </c>
      <c r="E3218" s="1" t="s">
        <v>82</v>
      </c>
      <c r="F3218" t="s">
        <v>83</v>
      </c>
      <c r="G3218" s="1" t="s">
        <v>99</v>
      </c>
      <c r="H3218">
        <v>0</v>
      </c>
      <c r="I3218">
        <v>71</v>
      </c>
      <c r="J3218">
        <v>106</v>
      </c>
      <c r="K3218">
        <v>85</v>
      </c>
      <c r="L3218">
        <v>71</v>
      </c>
      <c r="M3218">
        <v>0</v>
      </c>
      <c r="N3218">
        <v>1</v>
      </c>
      <c r="O3218" s="1" t="s">
        <v>5313</v>
      </c>
      <c r="P3218">
        <v>0</v>
      </c>
      <c r="Q3218">
        <v>0</v>
      </c>
      <c r="R3218">
        <v>0</v>
      </c>
      <c r="S3218">
        <v>0</v>
      </c>
      <c r="T3218">
        <v>71.887944790000006</v>
      </c>
      <c r="U3218">
        <f t="shared" si="100"/>
        <v>0</v>
      </c>
      <c r="V3218">
        <f t="shared" si="101"/>
        <v>0</v>
      </c>
    </row>
    <row r="3219" spans="1:22" x14ac:dyDescent="0.2">
      <c r="A3219" t="s">
        <v>2948</v>
      </c>
      <c r="B3219" t="s">
        <v>38</v>
      </c>
      <c r="C3219" t="s">
        <v>76</v>
      </c>
      <c r="D3219" t="s">
        <v>77</v>
      </c>
      <c r="E3219" s="1" t="s">
        <v>155</v>
      </c>
      <c r="F3219" t="s">
        <v>156</v>
      </c>
      <c r="G3219" s="1" t="s">
        <v>138</v>
      </c>
      <c r="H3219">
        <v>0</v>
      </c>
      <c r="I3219">
        <v>100</v>
      </c>
      <c r="J3219">
        <v>75</v>
      </c>
      <c r="K3219">
        <v>71</v>
      </c>
      <c r="L3219">
        <v>100</v>
      </c>
      <c r="M3219">
        <v>0</v>
      </c>
      <c r="N3219">
        <v>1</v>
      </c>
      <c r="O3219" s="1" t="s">
        <v>5314</v>
      </c>
      <c r="P3219">
        <v>0</v>
      </c>
      <c r="Q3219">
        <v>0</v>
      </c>
      <c r="R3219">
        <v>0</v>
      </c>
      <c r="S3219">
        <v>0</v>
      </c>
      <c r="T3219">
        <v>71.887944790000006</v>
      </c>
      <c r="U3219">
        <f t="shared" si="100"/>
        <v>0</v>
      </c>
      <c r="V3219">
        <f t="shared" si="101"/>
        <v>0</v>
      </c>
    </row>
    <row r="3220" spans="1:22" x14ac:dyDescent="0.2">
      <c r="A3220" t="s">
        <v>2948</v>
      </c>
      <c r="B3220" t="s">
        <v>38</v>
      </c>
      <c r="C3220" t="s">
        <v>76</v>
      </c>
      <c r="D3220" t="s">
        <v>77</v>
      </c>
      <c r="E3220" s="1" t="s">
        <v>82</v>
      </c>
      <c r="F3220" t="s">
        <v>83</v>
      </c>
      <c r="G3220" s="1" t="s">
        <v>163</v>
      </c>
      <c r="H3220">
        <v>0</v>
      </c>
      <c r="I3220">
        <v>19388</v>
      </c>
      <c r="J3220">
        <v>74</v>
      </c>
      <c r="K3220">
        <v>90</v>
      </c>
      <c r="L3220">
        <v>19388</v>
      </c>
      <c r="M3220">
        <v>0</v>
      </c>
      <c r="N3220">
        <v>1</v>
      </c>
      <c r="O3220" s="1" t="s">
        <v>5315</v>
      </c>
      <c r="P3220">
        <v>0</v>
      </c>
      <c r="Q3220">
        <v>0</v>
      </c>
      <c r="R3220">
        <v>0</v>
      </c>
      <c r="S3220">
        <v>0</v>
      </c>
      <c r="T3220">
        <v>71.887944790000006</v>
      </c>
      <c r="U3220">
        <f t="shared" si="100"/>
        <v>0</v>
      </c>
      <c r="V3220">
        <f t="shared" si="101"/>
        <v>0</v>
      </c>
    </row>
    <row r="3221" spans="1:22" x14ac:dyDescent="0.2">
      <c r="A3221" t="s">
        <v>2948</v>
      </c>
      <c r="B3221" t="s">
        <v>38</v>
      </c>
      <c r="C3221" t="s">
        <v>76</v>
      </c>
      <c r="D3221" t="s">
        <v>77</v>
      </c>
      <c r="E3221" s="1" t="s">
        <v>138</v>
      </c>
      <c r="F3221" t="s">
        <v>139</v>
      </c>
      <c r="G3221">
        <v>19</v>
      </c>
      <c r="H3221">
        <v>0</v>
      </c>
      <c r="I3221">
        <v>66</v>
      </c>
      <c r="J3221">
        <v>106</v>
      </c>
      <c r="K3221">
        <v>81</v>
      </c>
      <c r="L3221">
        <v>66</v>
      </c>
      <c r="M3221">
        <v>0</v>
      </c>
      <c r="N3221">
        <v>1</v>
      </c>
      <c r="O3221" s="1" t="s">
        <v>5316</v>
      </c>
      <c r="P3221">
        <v>0</v>
      </c>
      <c r="Q3221">
        <v>0</v>
      </c>
      <c r="R3221">
        <v>0</v>
      </c>
      <c r="S3221">
        <v>0</v>
      </c>
      <c r="T3221">
        <v>71.887944790000006</v>
      </c>
      <c r="U3221">
        <f t="shared" si="100"/>
        <v>0</v>
      </c>
      <c r="V3221">
        <f t="shared" si="101"/>
        <v>0</v>
      </c>
    </row>
    <row r="3222" spans="1:22" x14ac:dyDescent="0.2">
      <c r="A3222" t="s">
        <v>2948</v>
      </c>
      <c r="B3222" t="s">
        <v>38</v>
      </c>
      <c r="C3222" t="s">
        <v>76</v>
      </c>
      <c r="D3222" t="s">
        <v>77</v>
      </c>
      <c r="E3222" s="1" t="s">
        <v>138</v>
      </c>
      <c r="F3222" t="s">
        <v>139</v>
      </c>
      <c r="G3222">
        <v>16</v>
      </c>
      <c r="H3222">
        <v>0</v>
      </c>
      <c r="I3222">
        <v>74</v>
      </c>
      <c r="J3222">
        <v>83</v>
      </c>
      <c r="K3222">
        <v>71</v>
      </c>
      <c r="L3222">
        <v>74</v>
      </c>
      <c r="M3222">
        <v>0</v>
      </c>
      <c r="N3222">
        <v>1</v>
      </c>
      <c r="O3222" s="1" t="s">
        <v>2990</v>
      </c>
      <c r="P3222">
        <v>0</v>
      </c>
      <c r="Q3222">
        <v>0</v>
      </c>
      <c r="R3222">
        <v>0</v>
      </c>
      <c r="S3222">
        <v>0</v>
      </c>
      <c r="T3222">
        <v>71.887944790000006</v>
      </c>
      <c r="U3222">
        <f t="shared" si="100"/>
        <v>0</v>
      </c>
      <c r="V3222">
        <f t="shared" si="101"/>
        <v>0</v>
      </c>
    </row>
    <row r="3223" spans="1:22" x14ac:dyDescent="0.2">
      <c r="A3223" t="s">
        <v>2999</v>
      </c>
      <c r="B3223" t="s">
        <v>39</v>
      </c>
      <c r="C3223" t="s">
        <v>76</v>
      </c>
      <c r="D3223" t="s">
        <v>77</v>
      </c>
      <c r="E3223" s="1" t="s">
        <v>89</v>
      </c>
      <c r="F3223" t="s">
        <v>90</v>
      </c>
      <c r="G3223">
        <v>38</v>
      </c>
      <c r="H3223">
        <v>3153</v>
      </c>
      <c r="I3223">
        <v>0</v>
      </c>
      <c r="J3223">
        <v>126</v>
      </c>
      <c r="K3223">
        <v>87</v>
      </c>
      <c r="L3223">
        <v>-3153</v>
      </c>
      <c r="M3223">
        <v>1</v>
      </c>
      <c r="N3223">
        <v>0</v>
      </c>
      <c r="O3223" s="1" t="s">
        <v>5317</v>
      </c>
      <c r="P3223">
        <v>0</v>
      </c>
      <c r="Q3223">
        <v>0</v>
      </c>
      <c r="R3223">
        <v>0</v>
      </c>
      <c r="S3223">
        <v>0</v>
      </c>
      <c r="T3223">
        <v>123.159243</v>
      </c>
      <c r="U3223">
        <f t="shared" si="100"/>
        <v>0</v>
      </c>
      <c r="V3223">
        <f t="shared" si="101"/>
        <v>0</v>
      </c>
    </row>
    <row r="3224" spans="1:22" x14ac:dyDescent="0.2">
      <c r="A3224" t="s">
        <v>2999</v>
      </c>
      <c r="B3224" t="s">
        <v>39</v>
      </c>
      <c r="C3224" t="s">
        <v>76</v>
      </c>
      <c r="D3224" t="s">
        <v>77</v>
      </c>
      <c r="E3224">
        <v>15</v>
      </c>
      <c r="F3224" t="s">
        <v>88</v>
      </c>
      <c r="G3224">
        <v>73</v>
      </c>
      <c r="H3224">
        <v>2059</v>
      </c>
      <c r="I3224">
        <v>0</v>
      </c>
      <c r="J3224">
        <v>137</v>
      </c>
      <c r="K3224">
        <v>103</v>
      </c>
      <c r="L3224">
        <v>-2059</v>
      </c>
      <c r="M3224">
        <v>1</v>
      </c>
      <c r="N3224">
        <v>0</v>
      </c>
      <c r="O3224" s="1" t="s">
        <v>5318</v>
      </c>
      <c r="P3224">
        <v>0</v>
      </c>
      <c r="Q3224">
        <v>0</v>
      </c>
      <c r="R3224">
        <v>0</v>
      </c>
      <c r="S3224">
        <v>0</v>
      </c>
      <c r="T3224">
        <v>123.159243</v>
      </c>
      <c r="U3224">
        <f t="shared" si="100"/>
        <v>0</v>
      </c>
      <c r="V3224">
        <f t="shared" si="101"/>
        <v>0</v>
      </c>
    </row>
    <row r="3225" spans="1:22" x14ac:dyDescent="0.2">
      <c r="A3225" t="s">
        <v>2999</v>
      </c>
      <c r="B3225" t="s">
        <v>39</v>
      </c>
      <c r="C3225" t="s">
        <v>76</v>
      </c>
      <c r="D3225" t="s">
        <v>77</v>
      </c>
      <c r="E3225">
        <v>15</v>
      </c>
      <c r="F3225" t="s">
        <v>88</v>
      </c>
      <c r="G3225">
        <v>83</v>
      </c>
      <c r="H3225">
        <v>756</v>
      </c>
      <c r="I3225">
        <v>0</v>
      </c>
      <c r="J3225">
        <v>116</v>
      </c>
      <c r="K3225">
        <v>85</v>
      </c>
      <c r="L3225">
        <v>-756</v>
      </c>
      <c r="M3225">
        <v>1</v>
      </c>
      <c r="N3225">
        <v>0</v>
      </c>
      <c r="O3225" s="1" t="s">
        <v>5319</v>
      </c>
      <c r="P3225">
        <v>0</v>
      </c>
      <c r="Q3225">
        <v>0</v>
      </c>
      <c r="R3225">
        <v>0</v>
      </c>
      <c r="S3225">
        <v>0</v>
      </c>
      <c r="T3225">
        <v>123.159243</v>
      </c>
      <c r="U3225">
        <f t="shared" si="100"/>
        <v>0</v>
      </c>
      <c r="V3225">
        <f t="shared" si="101"/>
        <v>0</v>
      </c>
    </row>
    <row r="3226" spans="1:22" x14ac:dyDescent="0.2">
      <c r="A3226" t="s">
        <v>2999</v>
      </c>
      <c r="B3226" t="s">
        <v>39</v>
      </c>
      <c r="C3226" t="s">
        <v>76</v>
      </c>
      <c r="D3226" t="s">
        <v>77</v>
      </c>
      <c r="E3226">
        <v>13</v>
      </c>
      <c r="F3226" t="s">
        <v>91</v>
      </c>
      <c r="G3226">
        <v>68</v>
      </c>
      <c r="H3226">
        <v>85</v>
      </c>
      <c r="I3226">
        <v>0</v>
      </c>
      <c r="J3226">
        <v>123</v>
      </c>
      <c r="K3226">
        <v>85</v>
      </c>
      <c r="L3226">
        <v>-85</v>
      </c>
      <c r="M3226">
        <v>1</v>
      </c>
      <c r="N3226">
        <v>0</v>
      </c>
      <c r="O3226" s="1" t="s">
        <v>5320</v>
      </c>
      <c r="P3226">
        <v>0</v>
      </c>
      <c r="Q3226">
        <v>0</v>
      </c>
      <c r="R3226">
        <v>0</v>
      </c>
      <c r="S3226">
        <v>0</v>
      </c>
      <c r="T3226">
        <v>123.159243</v>
      </c>
      <c r="U3226">
        <f t="shared" si="100"/>
        <v>0</v>
      </c>
      <c r="V3226">
        <f t="shared" si="101"/>
        <v>0</v>
      </c>
    </row>
    <row r="3227" spans="1:22" x14ac:dyDescent="0.2">
      <c r="A3227" t="s">
        <v>2999</v>
      </c>
      <c r="B3227" t="s">
        <v>39</v>
      </c>
      <c r="C3227" t="s">
        <v>76</v>
      </c>
      <c r="D3227" t="s">
        <v>77</v>
      </c>
      <c r="E3227">
        <v>11</v>
      </c>
      <c r="F3227" t="s">
        <v>127</v>
      </c>
      <c r="G3227">
        <v>61</v>
      </c>
      <c r="H3227">
        <v>0</v>
      </c>
      <c r="I3227">
        <v>5442</v>
      </c>
      <c r="J3227">
        <v>126</v>
      </c>
      <c r="K3227">
        <v>90</v>
      </c>
      <c r="L3227">
        <v>5442</v>
      </c>
      <c r="M3227">
        <v>0</v>
      </c>
      <c r="N3227">
        <v>1</v>
      </c>
      <c r="O3227" s="1" t="s">
        <v>5321</v>
      </c>
      <c r="P3227">
        <v>0</v>
      </c>
      <c r="Q3227">
        <v>0</v>
      </c>
      <c r="R3227">
        <v>0</v>
      </c>
      <c r="S3227">
        <v>0</v>
      </c>
      <c r="T3227">
        <v>123.159243</v>
      </c>
      <c r="U3227">
        <f t="shared" si="100"/>
        <v>0</v>
      </c>
      <c r="V3227">
        <f t="shared" si="101"/>
        <v>0</v>
      </c>
    </row>
    <row r="3228" spans="1:22" x14ac:dyDescent="0.2">
      <c r="A3228" t="s">
        <v>3011</v>
      </c>
      <c r="B3228" t="s">
        <v>40</v>
      </c>
      <c r="C3228" t="s">
        <v>76</v>
      </c>
      <c r="D3228" t="s">
        <v>77</v>
      </c>
      <c r="E3228">
        <v>17</v>
      </c>
      <c r="F3228" t="s">
        <v>97</v>
      </c>
      <c r="G3228">
        <v>88</v>
      </c>
      <c r="H3228">
        <v>16241152</v>
      </c>
      <c r="I3228">
        <v>0</v>
      </c>
      <c r="J3228">
        <v>36</v>
      </c>
      <c r="K3228">
        <v>87</v>
      </c>
      <c r="L3228">
        <v>-16241152</v>
      </c>
      <c r="M3228">
        <v>1</v>
      </c>
      <c r="N3228">
        <v>0</v>
      </c>
      <c r="O3228">
        <v>3.9125890458694803E-3</v>
      </c>
      <c r="P3228">
        <v>0</v>
      </c>
      <c r="Q3228">
        <v>0</v>
      </c>
      <c r="R3228">
        <v>0</v>
      </c>
      <c r="S3228">
        <v>0</v>
      </c>
      <c r="T3228">
        <v>12.30838397</v>
      </c>
      <c r="U3228">
        <f t="shared" si="100"/>
        <v>0</v>
      </c>
      <c r="V3228">
        <f t="shared" si="101"/>
        <v>0</v>
      </c>
    </row>
    <row r="3229" spans="1:22" x14ac:dyDescent="0.2">
      <c r="A3229" t="s">
        <v>3011</v>
      </c>
      <c r="B3229" t="s">
        <v>40</v>
      </c>
      <c r="C3229" t="s">
        <v>76</v>
      </c>
      <c r="D3229" t="s">
        <v>77</v>
      </c>
      <c r="E3229" s="1" t="s">
        <v>82</v>
      </c>
      <c r="F3229" t="s">
        <v>83</v>
      </c>
      <c r="G3229" s="1" t="s">
        <v>99</v>
      </c>
      <c r="H3229">
        <v>1064296</v>
      </c>
      <c r="I3229">
        <v>395059</v>
      </c>
      <c r="J3229">
        <v>59</v>
      </c>
      <c r="K3229">
        <v>51</v>
      </c>
      <c r="L3229">
        <v>-669237</v>
      </c>
      <c r="M3229" s="1" t="s">
        <v>5322</v>
      </c>
      <c r="N3229" s="1" t="s">
        <v>5323</v>
      </c>
      <c r="O3229" s="1" t="s">
        <v>5324</v>
      </c>
      <c r="P3229">
        <v>0</v>
      </c>
      <c r="Q3229">
        <v>0</v>
      </c>
      <c r="R3229">
        <v>0</v>
      </c>
      <c r="S3229">
        <v>0</v>
      </c>
      <c r="T3229">
        <v>12.30838397</v>
      </c>
      <c r="U3229">
        <f t="shared" si="100"/>
        <v>0</v>
      </c>
      <c r="V3229">
        <f t="shared" si="101"/>
        <v>0</v>
      </c>
    </row>
    <row r="3230" spans="1:22" x14ac:dyDescent="0.2">
      <c r="A3230" t="s">
        <v>3011</v>
      </c>
      <c r="B3230" t="s">
        <v>40</v>
      </c>
      <c r="C3230" t="s">
        <v>76</v>
      </c>
      <c r="D3230" t="s">
        <v>77</v>
      </c>
      <c r="E3230" s="1" t="s">
        <v>85</v>
      </c>
      <c r="F3230" t="s">
        <v>86</v>
      </c>
      <c r="G3230">
        <v>25</v>
      </c>
      <c r="H3230">
        <v>1755590</v>
      </c>
      <c r="I3230">
        <v>87107</v>
      </c>
      <c r="J3230">
        <v>66</v>
      </c>
      <c r="K3230">
        <v>66</v>
      </c>
      <c r="L3230">
        <v>-1668483</v>
      </c>
      <c r="M3230" s="1" t="s">
        <v>5325</v>
      </c>
      <c r="N3230" s="1" t="s">
        <v>5326</v>
      </c>
      <c r="O3230" s="1" t="s">
        <v>5327</v>
      </c>
      <c r="P3230">
        <v>0</v>
      </c>
      <c r="Q3230">
        <v>0</v>
      </c>
      <c r="R3230">
        <v>0</v>
      </c>
      <c r="S3230">
        <v>0</v>
      </c>
      <c r="T3230">
        <v>12.30838397</v>
      </c>
      <c r="U3230">
        <f t="shared" si="100"/>
        <v>0</v>
      </c>
      <c r="V3230">
        <f t="shared" si="101"/>
        <v>0</v>
      </c>
    </row>
    <row r="3231" spans="1:22" x14ac:dyDescent="0.2">
      <c r="A3231" t="s">
        <v>3011</v>
      </c>
      <c r="B3231" t="s">
        <v>40</v>
      </c>
      <c r="C3231" t="s">
        <v>76</v>
      </c>
      <c r="D3231" t="s">
        <v>77</v>
      </c>
      <c r="E3231">
        <v>13</v>
      </c>
      <c r="F3231" t="s">
        <v>91</v>
      </c>
      <c r="G3231">
        <v>69</v>
      </c>
      <c r="H3231">
        <v>2602</v>
      </c>
      <c r="I3231">
        <v>0</v>
      </c>
      <c r="J3231">
        <v>95</v>
      </c>
      <c r="K3231">
        <v>91</v>
      </c>
      <c r="L3231">
        <v>-2602</v>
      </c>
      <c r="M3231">
        <v>1</v>
      </c>
      <c r="N3231">
        <v>0</v>
      </c>
      <c r="O3231" s="1" t="s">
        <v>5328</v>
      </c>
      <c r="P3231">
        <v>0</v>
      </c>
      <c r="Q3231">
        <v>0</v>
      </c>
      <c r="R3231">
        <v>0</v>
      </c>
      <c r="S3231">
        <v>0</v>
      </c>
      <c r="T3231">
        <v>12.30838397</v>
      </c>
      <c r="U3231">
        <f t="shared" si="100"/>
        <v>0</v>
      </c>
      <c r="V3231">
        <f t="shared" si="101"/>
        <v>0</v>
      </c>
    </row>
    <row r="3232" spans="1:22" x14ac:dyDescent="0.2">
      <c r="A3232" t="s">
        <v>3011</v>
      </c>
      <c r="B3232" t="s">
        <v>40</v>
      </c>
      <c r="C3232" t="s">
        <v>76</v>
      </c>
      <c r="D3232" t="s">
        <v>77</v>
      </c>
      <c r="E3232">
        <v>11</v>
      </c>
      <c r="F3232" t="s">
        <v>127</v>
      </c>
      <c r="G3232">
        <v>63</v>
      </c>
      <c r="H3232">
        <v>15134</v>
      </c>
      <c r="I3232">
        <v>22299</v>
      </c>
      <c r="J3232">
        <v>90</v>
      </c>
      <c r="K3232">
        <v>75</v>
      </c>
      <c r="L3232">
        <v>7165</v>
      </c>
      <c r="M3232" s="1" t="s">
        <v>5329</v>
      </c>
      <c r="N3232" s="1" t="s">
        <v>5330</v>
      </c>
      <c r="O3232" s="1" t="s">
        <v>5331</v>
      </c>
      <c r="P3232">
        <v>0</v>
      </c>
      <c r="Q3232">
        <v>0</v>
      </c>
      <c r="R3232">
        <v>0</v>
      </c>
      <c r="S3232">
        <v>0</v>
      </c>
      <c r="T3232">
        <v>12.30838397</v>
      </c>
      <c r="U3232">
        <f t="shared" si="100"/>
        <v>0</v>
      </c>
      <c r="V3232">
        <f t="shared" si="101"/>
        <v>0</v>
      </c>
    </row>
    <row r="3233" spans="1:22" x14ac:dyDescent="0.2">
      <c r="A3233" t="s">
        <v>3011</v>
      </c>
      <c r="B3233" t="s">
        <v>40</v>
      </c>
      <c r="C3233" t="s">
        <v>76</v>
      </c>
      <c r="D3233" t="s">
        <v>77</v>
      </c>
      <c r="E3233" s="1" t="s">
        <v>155</v>
      </c>
      <c r="F3233" t="s">
        <v>156</v>
      </c>
      <c r="G3233" s="1" t="s">
        <v>155</v>
      </c>
      <c r="H3233">
        <v>374</v>
      </c>
      <c r="I3233">
        <v>0</v>
      </c>
      <c r="J3233">
        <v>84</v>
      </c>
      <c r="K3233">
        <v>76</v>
      </c>
      <c r="L3233">
        <v>-374</v>
      </c>
      <c r="M3233">
        <v>1</v>
      </c>
      <c r="N3233">
        <v>0</v>
      </c>
      <c r="O3233" s="1" t="s">
        <v>5332</v>
      </c>
      <c r="P3233">
        <v>0</v>
      </c>
      <c r="Q3233">
        <v>0</v>
      </c>
      <c r="R3233">
        <v>0</v>
      </c>
      <c r="S3233">
        <v>0</v>
      </c>
      <c r="T3233">
        <v>12.30838397</v>
      </c>
      <c r="U3233">
        <f t="shared" si="100"/>
        <v>0</v>
      </c>
      <c r="V3233">
        <f t="shared" si="101"/>
        <v>0</v>
      </c>
    </row>
    <row r="3234" spans="1:22" x14ac:dyDescent="0.2">
      <c r="A3234" t="s">
        <v>3011</v>
      </c>
      <c r="B3234" t="s">
        <v>40</v>
      </c>
      <c r="C3234" t="s">
        <v>76</v>
      </c>
      <c r="D3234" t="s">
        <v>77</v>
      </c>
      <c r="E3234">
        <v>20</v>
      </c>
      <c r="F3234" t="s">
        <v>104</v>
      </c>
      <c r="G3234">
        <v>95</v>
      </c>
      <c r="H3234">
        <v>642</v>
      </c>
      <c r="I3234">
        <v>0</v>
      </c>
      <c r="J3234">
        <v>118</v>
      </c>
      <c r="K3234">
        <v>91</v>
      </c>
      <c r="L3234">
        <v>-642</v>
      </c>
      <c r="M3234">
        <v>1</v>
      </c>
      <c r="N3234">
        <v>0</v>
      </c>
      <c r="O3234" s="1" t="s">
        <v>5333</v>
      </c>
      <c r="P3234">
        <v>0</v>
      </c>
      <c r="Q3234">
        <v>0</v>
      </c>
      <c r="R3234">
        <v>0</v>
      </c>
      <c r="S3234">
        <v>0</v>
      </c>
      <c r="T3234">
        <v>12.30838397</v>
      </c>
      <c r="U3234">
        <f t="shared" si="100"/>
        <v>0</v>
      </c>
      <c r="V3234">
        <f t="shared" si="101"/>
        <v>0</v>
      </c>
    </row>
    <row r="3235" spans="1:22" x14ac:dyDescent="0.2">
      <c r="A3235" t="s">
        <v>3011</v>
      </c>
      <c r="B3235" t="s">
        <v>40</v>
      </c>
      <c r="C3235" t="s">
        <v>76</v>
      </c>
      <c r="D3235" t="s">
        <v>77</v>
      </c>
      <c r="E3235">
        <v>12</v>
      </c>
      <c r="F3235" t="s">
        <v>194</v>
      </c>
      <c r="G3235">
        <v>67</v>
      </c>
      <c r="H3235">
        <v>131</v>
      </c>
      <c r="I3235">
        <v>0</v>
      </c>
      <c r="J3235">
        <v>70</v>
      </c>
      <c r="K3235">
        <v>62</v>
      </c>
      <c r="L3235">
        <v>-131</v>
      </c>
      <c r="M3235">
        <v>1</v>
      </c>
      <c r="N3235">
        <v>0</v>
      </c>
      <c r="O3235" s="1" t="s">
        <v>5334</v>
      </c>
      <c r="P3235">
        <v>0</v>
      </c>
      <c r="Q3235">
        <v>0</v>
      </c>
      <c r="R3235">
        <v>0</v>
      </c>
      <c r="S3235">
        <v>0</v>
      </c>
      <c r="T3235">
        <v>12.30838397</v>
      </c>
      <c r="U3235">
        <f t="shared" si="100"/>
        <v>0</v>
      </c>
      <c r="V3235">
        <f t="shared" si="101"/>
        <v>0</v>
      </c>
    </row>
    <row r="3236" spans="1:22" x14ac:dyDescent="0.2">
      <c r="A3236" t="s">
        <v>3011</v>
      </c>
      <c r="B3236" t="s">
        <v>40</v>
      </c>
      <c r="C3236" t="s">
        <v>76</v>
      </c>
      <c r="D3236" t="s">
        <v>77</v>
      </c>
      <c r="E3236" s="1" t="s">
        <v>82</v>
      </c>
      <c r="F3236" t="s">
        <v>83</v>
      </c>
      <c r="G3236">
        <v>11</v>
      </c>
      <c r="H3236">
        <v>5</v>
      </c>
      <c r="I3236">
        <v>0</v>
      </c>
      <c r="J3236">
        <v>104</v>
      </c>
      <c r="K3236">
        <v>71</v>
      </c>
      <c r="L3236">
        <v>-5</v>
      </c>
      <c r="M3236">
        <v>1</v>
      </c>
      <c r="N3236">
        <v>0</v>
      </c>
      <c r="O3236" s="1" t="s">
        <v>5335</v>
      </c>
      <c r="P3236">
        <v>0</v>
      </c>
      <c r="Q3236">
        <v>0</v>
      </c>
      <c r="R3236">
        <v>0</v>
      </c>
      <c r="S3236">
        <v>0</v>
      </c>
      <c r="T3236">
        <v>12.30838397</v>
      </c>
      <c r="U3236">
        <f t="shared" si="100"/>
        <v>0</v>
      </c>
      <c r="V3236">
        <f t="shared" si="101"/>
        <v>0</v>
      </c>
    </row>
    <row r="3237" spans="1:22" x14ac:dyDescent="0.2">
      <c r="A3237" t="s">
        <v>3011</v>
      </c>
      <c r="B3237" t="s">
        <v>40</v>
      </c>
      <c r="C3237" t="s">
        <v>76</v>
      </c>
      <c r="D3237" t="s">
        <v>77</v>
      </c>
      <c r="E3237" s="1" t="s">
        <v>82</v>
      </c>
      <c r="F3237" t="s">
        <v>83</v>
      </c>
      <c r="G3237" s="1" t="s">
        <v>93</v>
      </c>
      <c r="H3237">
        <v>0</v>
      </c>
      <c r="I3237">
        <v>24499</v>
      </c>
      <c r="J3237">
        <v>105</v>
      </c>
      <c r="K3237">
        <v>89</v>
      </c>
      <c r="L3237">
        <v>24499</v>
      </c>
      <c r="M3237">
        <v>0</v>
      </c>
      <c r="N3237">
        <v>1</v>
      </c>
      <c r="O3237" s="1" t="s">
        <v>5336</v>
      </c>
      <c r="P3237">
        <v>0</v>
      </c>
      <c r="Q3237">
        <v>0</v>
      </c>
      <c r="R3237">
        <v>0</v>
      </c>
      <c r="S3237">
        <v>0</v>
      </c>
      <c r="T3237">
        <v>12.30838397</v>
      </c>
      <c r="U3237">
        <f t="shared" si="100"/>
        <v>0</v>
      </c>
      <c r="V3237">
        <f t="shared" si="101"/>
        <v>0</v>
      </c>
    </row>
    <row r="3238" spans="1:22" x14ac:dyDescent="0.2">
      <c r="A3238" t="s">
        <v>3011</v>
      </c>
      <c r="B3238" t="s">
        <v>40</v>
      </c>
      <c r="C3238" t="s">
        <v>76</v>
      </c>
      <c r="D3238" t="s">
        <v>77</v>
      </c>
      <c r="E3238" s="1" t="s">
        <v>82</v>
      </c>
      <c r="F3238" t="s">
        <v>83</v>
      </c>
      <c r="G3238">
        <v>12</v>
      </c>
      <c r="H3238">
        <v>11</v>
      </c>
      <c r="I3238">
        <v>3050781</v>
      </c>
      <c r="J3238">
        <v>102</v>
      </c>
      <c r="K3238">
        <v>39</v>
      </c>
      <c r="L3238">
        <v>3050770</v>
      </c>
      <c r="M3238" s="1" t="s">
        <v>5337</v>
      </c>
      <c r="N3238" s="1" t="s">
        <v>5338</v>
      </c>
      <c r="O3238" s="1" t="s">
        <v>5339</v>
      </c>
      <c r="P3238">
        <v>0</v>
      </c>
      <c r="Q3238">
        <v>0</v>
      </c>
      <c r="R3238">
        <v>0</v>
      </c>
      <c r="S3238">
        <v>0</v>
      </c>
      <c r="T3238">
        <v>12.30838397</v>
      </c>
      <c r="U3238">
        <f t="shared" si="100"/>
        <v>0</v>
      </c>
      <c r="V3238">
        <f t="shared" si="101"/>
        <v>0</v>
      </c>
    </row>
    <row r="3239" spans="1:22" x14ac:dyDescent="0.2">
      <c r="A3239" t="s">
        <v>3050</v>
      </c>
      <c r="B3239" t="s">
        <v>41</v>
      </c>
      <c r="C3239" t="s">
        <v>76</v>
      </c>
      <c r="D3239" t="s">
        <v>77</v>
      </c>
      <c r="E3239" s="1" t="s">
        <v>138</v>
      </c>
      <c r="F3239" t="s">
        <v>139</v>
      </c>
      <c r="G3239">
        <v>23</v>
      </c>
      <c r="H3239">
        <v>1069114</v>
      </c>
      <c r="I3239">
        <v>0</v>
      </c>
      <c r="J3239">
        <v>55</v>
      </c>
      <c r="K3239">
        <v>61</v>
      </c>
      <c r="L3239">
        <v>-1069114</v>
      </c>
      <c r="M3239">
        <v>1</v>
      </c>
      <c r="N3239">
        <v>0</v>
      </c>
      <c r="O3239" s="1" t="s">
        <v>5340</v>
      </c>
      <c r="P3239">
        <v>0</v>
      </c>
      <c r="Q3239">
        <v>0</v>
      </c>
      <c r="R3239">
        <v>0</v>
      </c>
      <c r="S3239">
        <v>0</v>
      </c>
      <c r="T3239">
        <v>29.702585079999999</v>
      </c>
      <c r="U3239">
        <f t="shared" si="100"/>
        <v>0</v>
      </c>
      <c r="V3239">
        <f t="shared" si="101"/>
        <v>0</v>
      </c>
    </row>
    <row r="3240" spans="1:22" x14ac:dyDescent="0.2">
      <c r="A3240" t="s">
        <v>3050</v>
      </c>
      <c r="B3240" t="s">
        <v>41</v>
      </c>
      <c r="C3240" t="s">
        <v>76</v>
      </c>
      <c r="D3240" t="s">
        <v>77</v>
      </c>
      <c r="E3240" s="1" t="s">
        <v>89</v>
      </c>
      <c r="F3240" t="s">
        <v>90</v>
      </c>
      <c r="G3240">
        <v>35</v>
      </c>
      <c r="H3240">
        <v>181</v>
      </c>
      <c r="I3240">
        <v>875</v>
      </c>
      <c r="J3240">
        <v>87</v>
      </c>
      <c r="K3240">
        <v>67</v>
      </c>
      <c r="L3240">
        <v>694</v>
      </c>
      <c r="M3240" s="1" t="s">
        <v>5341</v>
      </c>
      <c r="N3240" s="1" t="s">
        <v>5342</v>
      </c>
      <c r="O3240" s="1" t="s">
        <v>5343</v>
      </c>
      <c r="P3240">
        <v>0</v>
      </c>
      <c r="Q3240">
        <v>0</v>
      </c>
      <c r="R3240">
        <v>0</v>
      </c>
      <c r="S3240">
        <v>0</v>
      </c>
      <c r="T3240">
        <v>29.702585079999999</v>
      </c>
      <c r="U3240">
        <f t="shared" si="100"/>
        <v>0</v>
      </c>
      <c r="V3240">
        <f t="shared" si="101"/>
        <v>0</v>
      </c>
    </row>
    <row r="3241" spans="1:22" x14ac:dyDescent="0.2">
      <c r="A3241" t="s">
        <v>3050</v>
      </c>
      <c r="B3241" t="s">
        <v>41</v>
      </c>
      <c r="C3241" t="s">
        <v>76</v>
      </c>
      <c r="D3241" t="s">
        <v>77</v>
      </c>
      <c r="E3241">
        <v>13</v>
      </c>
      <c r="F3241" t="s">
        <v>91</v>
      </c>
      <c r="G3241">
        <v>70</v>
      </c>
      <c r="H3241">
        <v>201</v>
      </c>
      <c r="I3241">
        <v>214</v>
      </c>
      <c r="J3241">
        <v>130</v>
      </c>
      <c r="K3241">
        <v>83</v>
      </c>
      <c r="L3241">
        <v>13</v>
      </c>
      <c r="M3241" s="1" t="s">
        <v>5344</v>
      </c>
      <c r="N3241" s="1" t="s">
        <v>5345</v>
      </c>
      <c r="O3241" s="1" t="s">
        <v>5346</v>
      </c>
      <c r="P3241">
        <v>0</v>
      </c>
      <c r="Q3241">
        <v>0</v>
      </c>
      <c r="R3241">
        <v>0</v>
      </c>
      <c r="S3241">
        <v>0</v>
      </c>
      <c r="T3241">
        <v>29.702585079999999</v>
      </c>
      <c r="U3241">
        <f t="shared" si="100"/>
        <v>0</v>
      </c>
      <c r="V3241">
        <f t="shared" si="101"/>
        <v>0</v>
      </c>
    </row>
    <row r="3242" spans="1:22" x14ac:dyDescent="0.2">
      <c r="A3242" t="s">
        <v>3050</v>
      </c>
      <c r="B3242" t="s">
        <v>41</v>
      </c>
      <c r="C3242" t="s">
        <v>76</v>
      </c>
      <c r="D3242" t="s">
        <v>77</v>
      </c>
      <c r="E3242" s="1" t="s">
        <v>82</v>
      </c>
      <c r="F3242" t="s">
        <v>83</v>
      </c>
      <c r="G3242">
        <v>11</v>
      </c>
      <c r="H3242">
        <v>112307</v>
      </c>
      <c r="I3242">
        <v>8073</v>
      </c>
      <c r="J3242">
        <v>71</v>
      </c>
      <c r="K3242">
        <v>52</v>
      </c>
      <c r="L3242">
        <v>-104234</v>
      </c>
      <c r="M3242" s="1" t="s">
        <v>5347</v>
      </c>
      <c r="N3242">
        <v>6.7062634989200801E-2</v>
      </c>
      <c r="O3242" s="1" t="s">
        <v>5348</v>
      </c>
      <c r="P3242">
        <v>0</v>
      </c>
      <c r="Q3242">
        <v>0</v>
      </c>
      <c r="R3242">
        <v>0</v>
      </c>
      <c r="S3242">
        <v>0</v>
      </c>
      <c r="T3242">
        <v>29.702585079999999</v>
      </c>
      <c r="U3242">
        <f t="shared" si="100"/>
        <v>0</v>
      </c>
      <c r="V3242">
        <f t="shared" si="101"/>
        <v>0</v>
      </c>
    </row>
    <row r="3243" spans="1:22" x14ac:dyDescent="0.2">
      <c r="A3243" t="s">
        <v>3050</v>
      </c>
      <c r="B3243" t="s">
        <v>41</v>
      </c>
      <c r="C3243" t="s">
        <v>76</v>
      </c>
      <c r="D3243" t="s">
        <v>77</v>
      </c>
      <c r="E3243" s="1" t="s">
        <v>138</v>
      </c>
      <c r="F3243" t="s">
        <v>139</v>
      </c>
      <c r="G3243">
        <v>24</v>
      </c>
      <c r="H3243">
        <v>0</v>
      </c>
      <c r="I3243">
        <v>83368</v>
      </c>
      <c r="J3243">
        <v>98</v>
      </c>
      <c r="K3243">
        <v>67</v>
      </c>
      <c r="L3243">
        <v>83368</v>
      </c>
      <c r="M3243">
        <v>0</v>
      </c>
      <c r="N3243">
        <v>1</v>
      </c>
      <c r="O3243" s="1" t="s">
        <v>5349</v>
      </c>
      <c r="P3243">
        <v>0</v>
      </c>
      <c r="Q3243">
        <v>0</v>
      </c>
      <c r="R3243">
        <v>0</v>
      </c>
      <c r="S3243">
        <v>0</v>
      </c>
      <c r="T3243">
        <v>29.702585079999999</v>
      </c>
      <c r="U3243">
        <f t="shared" si="100"/>
        <v>0</v>
      </c>
      <c r="V3243">
        <f t="shared" si="101"/>
        <v>0</v>
      </c>
    </row>
    <row r="3244" spans="1:22" x14ac:dyDescent="0.2">
      <c r="A3244" t="s">
        <v>3148</v>
      </c>
      <c r="B3244" t="s">
        <v>42</v>
      </c>
      <c r="C3244" t="s">
        <v>76</v>
      </c>
      <c r="D3244" t="s">
        <v>77</v>
      </c>
      <c r="E3244">
        <v>20</v>
      </c>
      <c r="F3244" t="s">
        <v>104</v>
      </c>
      <c r="G3244">
        <v>95</v>
      </c>
      <c r="H3244">
        <v>3368</v>
      </c>
      <c r="I3244">
        <v>0</v>
      </c>
      <c r="J3244">
        <v>108</v>
      </c>
      <c r="K3244">
        <v>91</v>
      </c>
      <c r="L3244">
        <v>-3368</v>
      </c>
      <c r="M3244">
        <v>1</v>
      </c>
      <c r="N3244">
        <v>0</v>
      </c>
      <c r="O3244" s="1" t="s">
        <v>5350</v>
      </c>
      <c r="P3244">
        <v>0</v>
      </c>
      <c r="Q3244">
        <v>0</v>
      </c>
      <c r="R3244">
        <v>0</v>
      </c>
      <c r="S3244">
        <v>0</v>
      </c>
      <c r="T3244">
        <v>2.5920305099999998</v>
      </c>
      <c r="U3244">
        <f t="shared" si="100"/>
        <v>0</v>
      </c>
      <c r="V3244">
        <f t="shared" si="101"/>
        <v>0</v>
      </c>
    </row>
    <row r="3245" spans="1:22" x14ac:dyDescent="0.2">
      <c r="A3245" t="s">
        <v>3180</v>
      </c>
      <c r="B3245" t="s">
        <v>43</v>
      </c>
      <c r="C3245" t="s">
        <v>76</v>
      </c>
      <c r="D3245" t="s">
        <v>77</v>
      </c>
      <c r="E3245" s="1" t="s">
        <v>89</v>
      </c>
      <c r="F3245" t="s">
        <v>90</v>
      </c>
      <c r="G3245">
        <v>35</v>
      </c>
      <c r="H3245">
        <v>19650</v>
      </c>
      <c r="I3245">
        <v>0</v>
      </c>
      <c r="J3245">
        <v>57</v>
      </c>
      <c r="K3245">
        <v>73</v>
      </c>
      <c r="L3245">
        <v>-19650</v>
      </c>
      <c r="M3245">
        <v>1</v>
      </c>
      <c r="N3245">
        <v>0</v>
      </c>
      <c r="O3245" s="1" t="s">
        <v>5351</v>
      </c>
      <c r="P3245">
        <v>0</v>
      </c>
      <c r="Q3245">
        <v>0</v>
      </c>
      <c r="R3245">
        <v>0</v>
      </c>
      <c r="S3245">
        <v>0</v>
      </c>
      <c r="T3245">
        <v>134.31486390000001</v>
      </c>
      <c r="U3245">
        <f t="shared" si="100"/>
        <v>0</v>
      </c>
      <c r="V3245">
        <f t="shared" si="101"/>
        <v>0</v>
      </c>
    </row>
    <row r="3246" spans="1:22" x14ac:dyDescent="0.2">
      <c r="A3246" t="s">
        <v>3180</v>
      </c>
      <c r="B3246" t="s">
        <v>43</v>
      </c>
      <c r="C3246" t="s">
        <v>76</v>
      </c>
      <c r="D3246" t="s">
        <v>77</v>
      </c>
      <c r="E3246">
        <v>11</v>
      </c>
      <c r="F3246" t="s">
        <v>127</v>
      </c>
      <c r="G3246">
        <v>60</v>
      </c>
      <c r="H3246">
        <v>3</v>
      </c>
      <c r="I3246">
        <v>7238</v>
      </c>
      <c r="J3246">
        <v>58</v>
      </c>
      <c r="K3246">
        <v>52</v>
      </c>
      <c r="L3246">
        <v>7235</v>
      </c>
      <c r="M3246" s="1" t="s">
        <v>5352</v>
      </c>
      <c r="N3246" s="1" t="s">
        <v>5353</v>
      </c>
      <c r="O3246" s="1" t="s">
        <v>5354</v>
      </c>
      <c r="P3246">
        <v>0</v>
      </c>
      <c r="Q3246">
        <v>0</v>
      </c>
      <c r="R3246">
        <v>0</v>
      </c>
      <c r="S3246">
        <v>0</v>
      </c>
      <c r="T3246">
        <v>134.31486390000001</v>
      </c>
      <c r="U3246">
        <f t="shared" si="100"/>
        <v>0</v>
      </c>
      <c r="V3246">
        <f t="shared" si="101"/>
        <v>0</v>
      </c>
    </row>
    <row r="3247" spans="1:22" x14ac:dyDescent="0.2">
      <c r="A3247" t="s">
        <v>3180</v>
      </c>
      <c r="B3247" t="s">
        <v>43</v>
      </c>
      <c r="C3247" t="s">
        <v>76</v>
      </c>
      <c r="D3247" t="s">
        <v>77</v>
      </c>
      <c r="E3247">
        <v>99</v>
      </c>
      <c r="F3247" t="s">
        <v>78</v>
      </c>
      <c r="G3247">
        <v>99</v>
      </c>
      <c r="H3247">
        <v>0</v>
      </c>
      <c r="I3247">
        <v>97</v>
      </c>
      <c r="J3247">
        <v>117</v>
      </c>
      <c r="K3247">
        <v>96</v>
      </c>
      <c r="L3247">
        <v>97</v>
      </c>
      <c r="M3247">
        <v>0</v>
      </c>
      <c r="N3247">
        <v>1</v>
      </c>
      <c r="O3247" s="1" t="s">
        <v>5355</v>
      </c>
      <c r="P3247">
        <v>0</v>
      </c>
      <c r="Q3247">
        <v>0</v>
      </c>
      <c r="R3247">
        <v>0</v>
      </c>
      <c r="S3247">
        <v>0</v>
      </c>
      <c r="T3247">
        <v>134.31486390000001</v>
      </c>
      <c r="U3247">
        <f t="shared" si="100"/>
        <v>0</v>
      </c>
      <c r="V3247">
        <f t="shared" si="101"/>
        <v>0</v>
      </c>
    </row>
    <row r="3248" spans="1:22" x14ac:dyDescent="0.2">
      <c r="A3248" t="s">
        <v>3180</v>
      </c>
      <c r="B3248" t="s">
        <v>43</v>
      </c>
      <c r="C3248" t="s">
        <v>76</v>
      </c>
      <c r="D3248" t="s">
        <v>77</v>
      </c>
      <c r="E3248" s="1" t="s">
        <v>82</v>
      </c>
      <c r="F3248" t="s">
        <v>83</v>
      </c>
      <c r="G3248" s="1" t="s">
        <v>89</v>
      </c>
      <c r="H3248">
        <v>0</v>
      </c>
      <c r="I3248">
        <v>5586</v>
      </c>
      <c r="J3248">
        <v>49</v>
      </c>
      <c r="K3248">
        <v>63</v>
      </c>
      <c r="L3248">
        <v>5586</v>
      </c>
      <c r="M3248">
        <v>0</v>
      </c>
      <c r="N3248">
        <v>1</v>
      </c>
      <c r="O3248" s="1" t="s">
        <v>5356</v>
      </c>
      <c r="P3248">
        <v>0</v>
      </c>
      <c r="Q3248">
        <v>0</v>
      </c>
      <c r="R3248">
        <v>0</v>
      </c>
      <c r="S3248">
        <v>0</v>
      </c>
      <c r="T3248">
        <v>134.31486390000001</v>
      </c>
      <c r="U3248">
        <f t="shared" si="100"/>
        <v>0</v>
      </c>
      <c r="V3248">
        <f t="shared" si="101"/>
        <v>0</v>
      </c>
    </row>
    <row r="3249" spans="1:22" x14ac:dyDescent="0.2">
      <c r="A3249" t="s">
        <v>4774</v>
      </c>
      <c r="B3249" t="s">
        <v>56</v>
      </c>
      <c r="C3249" t="s">
        <v>76</v>
      </c>
      <c r="D3249" t="s">
        <v>77</v>
      </c>
      <c r="E3249" s="1" t="s">
        <v>82</v>
      </c>
      <c r="F3249" t="s">
        <v>83</v>
      </c>
      <c r="G3249">
        <v>12</v>
      </c>
      <c r="H3249">
        <v>2530530</v>
      </c>
      <c r="I3249">
        <v>137182</v>
      </c>
      <c r="J3249">
        <v>45</v>
      </c>
      <c r="K3249">
        <v>68</v>
      </c>
      <c r="L3249">
        <v>-2393348</v>
      </c>
      <c r="M3249">
        <v>0.94857690785212201</v>
      </c>
      <c r="N3249">
        <v>5.1423092147877998E-2</v>
      </c>
      <c r="O3249" s="1" t="s">
        <v>5357</v>
      </c>
      <c r="P3249">
        <v>0</v>
      </c>
      <c r="Q3249">
        <v>0</v>
      </c>
      <c r="R3249">
        <v>0</v>
      </c>
      <c r="S3249">
        <v>0</v>
      </c>
      <c r="T3249">
        <v>12.286384809999999</v>
      </c>
      <c r="U3249">
        <f t="shared" si="100"/>
        <v>0</v>
      </c>
      <c r="V3249">
        <f t="shared" si="101"/>
        <v>0</v>
      </c>
    </row>
    <row r="3250" spans="1:22" x14ac:dyDescent="0.2">
      <c r="A3250" t="s">
        <v>4774</v>
      </c>
      <c r="B3250" t="s">
        <v>56</v>
      </c>
      <c r="C3250" t="s">
        <v>76</v>
      </c>
      <c r="D3250" t="s">
        <v>77</v>
      </c>
      <c r="E3250">
        <v>11</v>
      </c>
      <c r="F3250" t="s">
        <v>127</v>
      </c>
      <c r="G3250">
        <v>59</v>
      </c>
      <c r="H3250">
        <v>217005</v>
      </c>
      <c r="I3250">
        <v>0</v>
      </c>
      <c r="J3250">
        <v>32</v>
      </c>
      <c r="K3250">
        <v>68</v>
      </c>
      <c r="L3250">
        <v>-217005</v>
      </c>
      <c r="M3250">
        <v>1</v>
      </c>
      <c r="N3250">
        <v>0</v>
      </c>
      <c r="O3250" s="1" t="s">
        <v>5358</v>
      </c>
      <c r="P3250">
        <v>0</v>
      </c>
      <c r="Q3250">
        <v>0</v>
      </c>
      <c r="R3250">
        <v>0</v>
      </c>
      <c r="S3250">
        <v>0</v>
      </c>
      <c r="T3250">
        <v>12.286384809999999</v>
      </c>
      <c r="U3250">
        <f t="shared" si="100"/>
        <v>0</v>
      </c>
      <c r="V3250">
        <f t="shared" si="101"/>
        <v>0</v>
      </c>
    </row>
    <row r="3251" spans="1:22" x14ac:dyDescent="0.2">
      <c r="A3251" t="s">
        <v>4774</v>
      </c>
      <c r="B3251" t="s">
        <v>56</v>
      </c>
      <c r="C3251" t="s">
        <v>76</v>
      </c>
      <c r="D3251" t="s">
        <v>77</v>
      </c>
      <c r="E3251" s="1" t="s">
        <v>89</v>
      </c>
      <c r="F3251" t="s">
        <v>90</v>
      </c>
      <c r="G3251">
        <v>30</v>
      </c>
      <c r="H3251">
        <v>520348</v>
      </c>
      <c r="I3251">
        <v>340833</v>
      </c>
      <c r="J3251">
        <v>71</v>
      </c>
      <c r="K3251">
        <v>69</v>
      </c>
      <c r="L3251">
        <v>-179515</v>
      </c>
      <c r="M3251" s="1" t="s">
        <v>5359</v>
      </c>
      <c r="N3251" s="1" t="s">
        <v>5360</v>
      </c>
      <c r="O3251" s="1" t="s">
        <v>5361</v>
      </c>
      <c r="P3251">
        <v>0</v>
      </c>
      <c r="Q3251">
        <v>0</v>
      </c>
      <c r="R3251">
        <v>0</v>
      </c>
      <c r="S3251">
        <v>0</v>
      </c>
      <c r="T3251">
        <v>12.286384809999999</v>
      </c>
      <c r="U3251">
        <f t="shared" si="100"/>
        <v>0</v>
      </c>
      <c r="V3251">
        <f t="shared" si="101"/>
        <v>0</v>
      </c>
    </row>
    <row r="3252" spans="1:22" x14ac:dyDescent="0.2">
      <c r="A3252" t="s">
        <v>4774</v>
      </c>
      <c r="B3252" t="s">
        <v>56</v>
      </c>
      <c r="C3252" t="s">
        <v>76</v>
      </c>
      <c r="D3252" t="s">
        <v>77</v>
      </c>
      <c r="E3252">
        <v>11</v>
      </c>
      <c r="F3252" t="s">
        <v>127</v>
      </c>
      <c r="G3252">
        <v>54</v>
      </c>
      <c r="H3252">
        <v>50820</v>
      </c>
      <c r="I3252">
        <v>0</v>
      </c>
      <c r="J3252">
        <v>49</v>
      </c>
      <c r="K3252">
        <v>68</v>
      </c>
      <c r="L3252">
        <v>-50820</v>
      </c>
      <c r="M3252">
        <v>1</v>
      </c>
      <c r="N3252">
        <v>0</v>
      </c>
      <c r="O3252" s="1" t="s">
        <v>5362</v>
      </c>
      <c r="P3252">
        <v>0</v>
      </c>
      <c r="Q3252">
        <v>0</v>
      </c>
      <c r="R3252">
        <v>0</v>
      </c>
      <c r="S3252">
        <v>0</v>
      </c>
      <c r="T3252">
        <v>12.286384809999999</v>
      </c>
      <c r="U3252">
        <f t="shared" si="100"/>
        <v>0</v>
      </c>
      <c r="V3252">
        <f t="shared" si="101"/>
        <v>0</v>
      </c>
    </row>
    <row r="3253" spans="1:22" x14ac:dyDescent="0.2">
      <c r="A3253" t="s">
        <v>4774</v>
      </c>
      <c r="B3253" t="s">
        <v>56</v>
      </c>
      <c r="C3253" t="s">
        <v>76</v>
      </c>
      <c r="D3253" t="s">
        <v>77</v>
      </c>
      <c r="E3253">
        <v>15</v>
      </c>
      <c r="F3253" t="s">
        <v>88</v>
      </c>
      <c r="G3253">
        <v>81</v>
      </c>
      <c r="H3253">
        <v>12778</v>
      </c>
      <c r="I3253">
        <v>0</v>
      </c>
      <c r="J3253">
        <v>71</v>
      </c>
      <c r="K3253">
        <v>59</v>
      </c>
      <c r="L3253">
        <v>-12778</v>
      </c>
      <c r="M3253">
        <v>1</v>
      </c>
      <c r="N3253">
        <v>0</v>
      </c>
      <c r="O3253" s="1" t="s">
        <v>5363</v>
      </c>
      <c r="P3253">
        <v>0</v>
      </c>
      <c r="Q3253">
        <v>0</v>
      </c>
      <c r="R3253">
        <v>0</v>
      </c>
      <c r="S3253">
        <v>0</v>
      </c>
      <c r="T3253">
        <v>12.286384809999999</v>
      </c>
      <c r="U3253">
        <f t="shared" si="100"/>
        <v>0</v>
      </c>
      <c r="V3253">
        <f t="shared" si="101"/>
        <v>0</v>
      </c>
    </row>
    <row r="3254" spans="1:22" x14ac:dyDescent="0.2">
      <c r="A3254" t="s">
        <v>4774</v>
      </c>
      <c r="B3254" t="s">
        <v>56</v>
      </c>
      <c r="C3254" t="s">
        <v>76</v>
      </c>
      <c r="D3254" t="s">
        <v>77</v>
      </c>
      <c r="E3254">
        <v>18</v>
      </c>
      <c r="F3254" t="s">
        <v>147</v>
      </c>
      <c r="G3254">
        <v>92</v>
      </c>
      <c r="H3254">
        <v>560</v>
      </c>
      <c r="I3254">
        <v>1745</v>
      </c>
      <c r="J3254">
        <v>80</v>
      </c>
      <c r="K3254">
        <v>56</v>
      </c>
      <c r="L3254">
        <v>1185</v>
      </c>
      <c r="M3254" s="1" t="s">
        <v>5364</v>
      </c>
      <c r="N3254" s="1" t="s">
        <v>5365</v>
      </c>
      <c r="O3254" s="1" t="s">
        <v>5366</v>
      </c>
      <c r="P3254">
        <v>0</v>
      </c>
      <c r="Q3254">
        <v>0</v>
      </c>
      <c r="R3254">
        <v>0</v>
      </c>
      <c r="S3254">
        <v>0</v>
      </c>
      <c r="T3254">
        <v>12.286384809999999</v>
      </c>
      <c r="U3254">
        <f t="shared" si="100"/>
        <v>0</v>
      </c>
      <c r="V3254">
        <f t="shared" si="101"/>
        <v>0</v>
      </c>
    </row>
    <row r="3255" spans="1:22" x14ac:dyDescent="0.2">
      <c r="A3255" t="s">
        <v>4774</v>
      </c>
      <c r="B3255" t="s">
        <v>56</v>
      </c>
      <c r="C3255" t="s">
        <v>76</v>
      </c>
      <c r="D3255" t="s">
        <v>77</v>
      </c>
      <c r="E3255" s="1" t="s">
        <v>89</v>
      </c>
      <c r="F3255" t="s">
        <v>90</v>
      </c>
      <c r="G3255">
        <v>35</v>
      </c>
      <c r="H3255">
        <v>0</v>
      </c>
      <c r="I3255">
        <v>823037</v>
      </c>
      <c r="J3255">
        <v>94</v>
      </c>
      <c r="K3255">
        <v>50</v>
      </c>
      <c r="L3255">
        <v>823037</v>
      </c>
      <c r="M3255">
        <v>0</v>
      </c>
      <c r="N3255">
        <v>1</v>
      </c>
      <c r="O3255" s="1" t="s">
        <v>5367</v>
      </c>
      <c r="P3255">
        <v>0</v>
      </c>
      <c r="Q3255">
        <v>0</v>
      </c>
      <c r="R3255">
        <v>0</v>
      </c>
      <c r="S3255">
        <v>0</v>
      </c>
      <c r="T3255">
        <v>12.286384809999999</v>
      </c>
      <c r="U3255">
        <f t="shared" si="100"/>
        <v>0</v>
      </c>
      <c r="V3255">
        <f t="shared" si="101"/>
        <v>0</v>
      </c>
    </row>
    <row r="3256" spans="1:22" x14ac:dyDescent="0.2">
      <c r="A3256" t="s">
        <v>4774</v>
      </c>
      <c r="B3256" t="s">
        <v>56</v>
      </c>
      <c r="C3256" t="s">
        <v>76</v>
      </c>
      <c r="D3256" t="s">
        <v>77</v>
      </c>
      <c r="E3256" s="1" t="s">
        <v>89</v>
      </c>
      <c r="F3256" t="s">
        <v>90</v>
      </c>
      <c r="G3256">
        <v>34</v>
      </c>
      <c r="H3256">
        <v>2181733</v>
      </c>
      <c r="I3256">
        <v>790013</v>
      </c>
      <c r="J3256">
        <v>38</v>
      </c>
      <c r="K3256">
        <v>50</v>
      </c>
      <c r="L3256">
        <v>-1391720</v>
      </c>
      <c r="M3256" s="1" t="s">
        <v>5368</v>
      </c>
      <c r="N3256" s="1" t="s">
        <v>5369</v>
      </c>
      <c r="O3256" s="1" t="s">
        <v>5370</v>
      </c>
      <c r="P3256">
        <v>0</v>
      </c>
      <c r="Q3256">
        <v>0</v>
      </c>
      <c r="R3256">
        <v>0</v>
      </c>
      <c r="S3256">
        <v>0</v>
      </c>
      <c r="T3256">
        <v>12.286384809999999</v>
      </c>
      <c r="U3256">
        <f t="shared" si="100"/>
        <v>0</v>
      </c>
      <c r="V3256">
        <f t="shared" si="101"/>
        <v>0</v>
      </c>
    </row>
    <row r="3257" spans="1:22" x14ac:dyDescent="0.2">
      <c r="A3257" t="s">
        <v>3288</v>
      </c>
      <c r="B3257" t="s">
        <v>44</v>
      </c>
      <c r="C3257" t="s">
        <v>76</v>
      </c>
      <c r="D3257" t="s">
        <v>77</v>
      </c>
      <c r="E3257" s="1" t="s">
        <v>85</v>
      </c>
      <c r="F3257" t="s">
        <v>86</v>
      </c>
      <c r="G3257">
        <v>27</v>
      </c>
      <c r="H3257">
        <v>531156</v>
      </c>
      <c r="I3257">
        <v>0</v>
      </c>
      <c r="J3257">
        <v>123</v>
      </c>
      <c r="K3257">
        <v>91</v>
      </c>
      <c r="L3257">
        <v>-531156</v>
      </c>
      <c r="M3257">
        <v>1</v>
      </c>
      <c r="N3257">
        <v>0</v>
      </c>
      <c r="O3257">
        <v>2.8503499467352998E-3</v>
      </c>
      <c r="P3257">
        <v>0</v>
      </c>
      <c r="Q3257">
        <v>0</v>
      </c>
      <c r="R3257">
        <v>0</v>
      </c>
      <c r="S3257">
        <v>0</v>
      </c>
      <c r="T3257">
        <v>45.061213709999997</v>
      </c>
      <c r="U3257">
        <f t="shared" si="100"/>
        <v>0</v>
      </c>
      <c r="V3257">
        <f t="shared" si="101"/>
        <v>0</v>
      </c>
    </row>
    <row r="3258" spans="1:22" x14ac:dyDescent="0.2">
      <c r="A3258" t="s">
        <v>3288</v>
      </c>
      <c r="B3258" t="s">
        <v>44</v>
      </c>
      <c r="C3258" t="s">
        <v>76</v>
      </c>
      <c r="D3258" t="s">
        <v>77</v>
      </c>
      <c r="E3258" s="1" t="s">
        <v>89</v>
      </c>
      <c r="F3258" t="s">
        <v>90</v>
      </c>
      <c r="G3258">
        <v>29</v>
      </c>
      <c r="H3258">
        <v>4363</v>
      </c>
      <c r="I3258">
        <v>0</v>
      </c>
      <c r="J3258">
        <v>117</v>
      </c>
      <c r="K3258">
        <v>81</v>
      </c>
      <c r="L3258">
        <v>-4363</v>
      </c>
      <c r="M3258">
        <v>1</v>
      </c>
      <c r="N3258">
        <v>0</v>
      </c>
      <c r="O3258" s="1" t="s">
        <v>5371</v>
      </c>
      <c r="P3258">
        <v>0</v>
      </c>
      <c r="Q3258">
        <v>0</v>
      </c>
      <c r="R3258">
        <v>0</v>
      </c>
      <c r="S3258">
        <v>0</v>
      </c>
      <c r="T3258">
        <v>45.061213709999997</v>
      </c>
      <c r="U3258">
        <f t="shared" si="100"/>
        <v>0</v>
      </c>
      <c r="V3258">
        <f t="shared" si="101"/>
        <v>0</v>
      </c>
    </row>
    <row r="3259" spans="1:22" x14ac:dyDescent="0.2">
      <c r="A3259" t="s">
        <v>3288</v>
      </c>
      <c r="B3259" t="s">
        <v>44</v>
      </c>
      <c r="C3259" t="s">
        <v>76</v>
      </c>
      <c r="D3259" t="s">
        <v>77</v>
      </c>
      <c r="E3259" s="1" t="s">
        <v>89</v>
      </c>
      <c r="F3259" t="s">
        <v>90</v>
      </c>
      <c r="G3259">
        <v>32</v>
      </c>
      <c r="H3259">
        <v>10830</v>
      </c>
      <c r="I3259">
        <v>0</v>
      </c>
      <c r="J3259">
        <v>107</v>
      </c>
      <c r="K3259">
        <v>80</v>
      </c>
      <c r="L3259">
        <v>-10830</v>
      </c>
      <c r="M3259">
        <v>1</v>
      </c>
      <c r="N3259">
        <v>0</v>
      </c>
      <c r="O3259" s="1" t="s">
        <v>5372</v>
      </c>
      <c r="P3259">
        <v>0</v>
      </c>
      <c r="Q3259">
        <v>0</v>
      </c>
      <c r="R3259">
        <v>0</v>
      </c>
      <c r="S3259">
        <v>0</v>
      </c>
      <c r="T3259">
        <v>45.061213709999997</v>
      </c>
      <c r="U3259">
        <f t="shared" si="100"/>
        <v>0</v>
      </c>
      <c r="V3259">
        <f t="shared" si="101"/>
        <v>0</v>
      </c>
    </row>
    <row r="3260" spans="1:22" x14ac:dyDescent="0.2">
      <c r="A3260" t="s">
        <v>3288</v>
      </c>
      <c r="B3260" t="s">
        <v>44</v>
      </c>
      <c r="C3260" t="s">
        <v>76</v>
      </c>
      <c r="D3260" t="s">
        <v>77</v>
      </c>
      <c r="E3260" s="1" t="s">
        <v>138</v>
      </c>
      <c r="F3260" t="s">
        <v>139</v>
      </c>
      <c r="G3260">
        <v>20</v>
      </c>
      <c r="H3260">
        <v>0</v>
      </c>
      <c r="I3260">
        <v>702</v>
      </c>
      <c r="J3260">
        <v>88</v>
      </c>
      <c r="K3260">
        <v>88</v>
      </c>
      <c r="L3260">
        <v>702</v>
      </c>
      <c r="M3260">
        <v>0</v>
      </c>
      <c r="N3260">
        <v>1</v>
      </c>
      <c r="O3260" s="1" t="s">
        <v>5373</v>
      </c>
      <c r="P3260">
        <v>0</v>
      </c>
      <c r="Q3260">
        <v>0</v>
      </c>
      <c r="R3260">
        <v>0</v>
      </c>
      <c r="S3260">
        <v>0</v>
      </c>
      <c r="T3260">
        <v>45.061213709999997</v>
      </c>
      <c r="U3260">
        <f t="shared" si="100"/>
        <v>0</v>
      </c>
      <c r="V3260">
        <f t="shared" si="101"/>
        <v>0</v>
      </c>
    </row>
    <row r="3261" spans="1:22" x14ac:dyDescent="0.2">
      <c r="A3261" t="s">
        <v>3324</v>
      </c>
      <c r="B3261" t="s">
        <v>45</v>
      </c>
      <c r="C3261" t="s">
        <v>76</v>
      </c>
      <c r="D3261" t="s">
        <v>77</v>
      </c>
      <c r="E3261" s="1" t="s">
        <v>82</v>
      </c>
      <c r="F3261" t="s">
        <v>83</v>
      </c>
      <c r="G3261" s="1" t="s">
        <v>93</v>
      </c>
      <c r="H3261">
        <v>141299</v>
      </c>
      <c r="I3261">
        <v>0</v>
      </c>
      <c r="J3261">
        <v>54</v>
      </c>
      <c r="K3261">
        <v>110</v>
      </c>
      <c r="L3261">
        <v>-141299</v>
      </c>
      <c r="M3261">
        <v>1</v>
      </c>
      <c r="N3261">
        <v>0</v>
      </c>
      <c r="O3261" s="1" t="s">
        <v>5374</v>
      </c>
      <c r="P3261">
        <v>0</v>
      </c>
      <c r="Q3261">
        <v>0</v>
      </c>
      <c r="R3261">
        <v>0</v>
      </c>
      <c r="S3261">
        <v>0</v>
      </c>
      <c r="T3261">
        <v>50.032637979999997</v>
      </c>
      <c r="U3261">
        <f t="shared" si="100"/>
        <v>0</v>
      </c>
      <c r="V3261">
        <f t="shared" si="101"/>
        <v>0</v>
      </c>
    </row>
    <row r="3262" spans="1:22" x14ac:dyDescent="0.2">
      <c r="A3262" t="s">
        <v>3324</v>
      </c>
      <c r="B3262" t="s">
        <v>45</v>
      </c>
      <c r="C3262" t="s">
        <v>76</v>
      </c>
      <c r="D3262" t="s">
        <v>77</v>
      </c>
      <c r="E3262" s="1" t="s">
        <v>89</v>
      </c>
      <c r="F3262" t="s">
        <v>90</v>
      </c>
      <c r="G3262">
        <v>32</v>
      </c>
      <c r="H3262">
        <v>224655</v>
      </c>
      <c r="I3262">
        <v>0</v>
      </c>
      <c r="J3262">
        <v>77</v>
      </c>
      <c r="K3262">
        <v>80</v>
      </c>
      <c r="L3262">
        <v>-224655</v>
      </c>
      <c r="M3262">
        <v>1</v>
      </c>
      <c r="N3262">
        <v>0</v>
      </c>
      <c r="O3262" s="1" t="s">
        <v>5375</v>
      </c>
      <c r="P3262">
        <v>0</v>
      </c>
      <c r="Q3262">
        <v>0</v>
      </c>
      <c r="R3262">
        <v>0</v>
      </c>
      <c r="S3262">
        <v>0</v>
      </c>
      <c r="T3262">
        <v>50.032637979999997</v>
      </c>
      <c r="U3262">
        <f t="shared" si="100"/>
        <v>0</v>
      </c>
      <c r="V3262">
        <f t="shared" si="101"/>
        <v>0</v>
      </c>
    </row>
    <row r="3263" spans="1:22" x14ac:dyDescent="0.2">
      <c r="A3263" t="s">
        <v>3324</v>
      </c>
      <c r="B3263" t="s">
        <v>45</v>
      </c>
      <c r="C3263" t="s">
        <v>76</v>
      </c>
      <c r="D3263" t="s">
        <v>77</v>
      </c>
      <c r="E3263" s="1" t="s">
        <v>82</v>
      </c>
      <c r="F3263" t="s">
        <v>83</v>
      </c>
      <c r="G3263">
        <v>12</v>
      </c>
      <c r="H3263">
        <v>25485</v>
      </c>
      <c r="I3263">
        <v>0</v>
      </c>
      <c r="J3263">
        <v>78</v>
      </c>
      <c r="K3263">
        <v>98</v>
      </c>
      <c r="L3263">
        <v>-25485</v>
      </c>
      <c r="M3263">
        <v>1</v>
      </c>
      <c r="N3263">
        <v>0</v>
      </c>
      <c r="O3263" s="1" t="s">
        <v>5376</v>
      </c>
      <c r="P3263">
        <v>0</v>
      </c>
      <c r="Q3263">
        <v>0</v>
      </c>
      <c r="R3263">
        <v>0</v>
      </c>
      <c r="S3263">
        <v>0</v>
      </c>
      <c r="T3263">
        <v>50.032637979999997</v>
      </c>
      <c r="U3263">
        <f t="shared" si="100"/>
        <v>0</v>
      </c>
      <c r="V3263">
        <f t="shared" si="101"/>
        <v>0</v>
      </c>
    </row>
    <row r="3264" spans="1:22" x14ac:dyDescent="0.2">
      <c r="A3264" t="s">
        <v>3324</v>
      </c>
      <c r="B3264" t="s">
        <v>45</v>
      </c>
      <c r="C3264" t="s">
        <v>76</v>
      </c>
      <c r="D3264" t="s">
        <v>77</v>
      </c>
      <c r="E3264">
        <v>20</v>
      </c>
      <c r="F3264" t="s">
        <v>104</v>
      </c>
      <c r="G3264">
        <v>96</v>
      </c>
      <c r="H3264">
        <v>5430</v>
      </c>
      <c r="I3264">
        <v>0</v>
      </c>
      <c r="J3264">
        <v>83</v>
      </c>
      <c r="K3264">
        <v>90</v>
      </c>
      <c r="L3264">
        <v>-5430</v>
      </c>
      <c r="M3264">
        <v>1</v>
      </c>
      <c r="N3264">
        <v>0</v>
      </c>
      <c r="O3264" s="1" t="s">
        <v>5377</v>
      </c>
      <c r="P3264">
        <v>0</v>
      </c>
      <c r="Q3264">
        <v>0</v>
      </c>
      <c r="R3264">
        <v>0</v>
      </c>
      <c r="S3264">
        <v>0</v>
      </c>
      <c r="T3264">
        <v>50.032637979999997</v>
      </c>
      <c r="U3264">
        <f t="shared" si="100"/>
        <v>0</v>
      </c>
      <c r="V3264">
        <f t="shared" si="101"/>
        <v>0</v>
      </c>
    </row>
    <row r="3265" spans="1:22" x14ac:dyDescent="0.2">
      <c r="A3265" t="s">
        <v>3324</v>
      </c>
      <c r="B3265" t="s">
        <v>45</v>
      </c>
      <c r="C3265" t="s">
        <v>76</v>
      </c>
      <c r="D3265" t="s">
        <v>77</v>
      </c>
      <c r="E3265" s="1" t="s">
        <v>89</v>
      </c>
      <c r="F3265" t="s">
        <v>90</v>
      </c>
      <c r="G3265">
        <v>29</v>
      </c>
      <c r="H3265">
        <v>48330</v>
      </c>
      <c r="I3265">
        <v>0</v>
      </c>
      <c r="J3265">
        <v>110</v>
      </c>
      <c r="K3265">
        <v>81</v>
      </c>
      <c r="L3265">
        <v>-48330</v>
      </c>
      <c r="M3265">
        <v>1</v>
      </c>
      <c r="N3265">
        <v>0</v>
      </c>
      <c r="O3265" s="1" t="s">
        <v>5378</v>
      </c>
      <c r="P3265">
        <v>0</v>
      </c>
      <c r="Q3265">
        <v>0</v>
      </c>
      <c r="R3265">
        <v>0</v>
      </c>
      <c r="S3265">
        <v>0</v>
      </c>
      <c r="T3265">
        <v>50.032637979999997</v>
      </c>
      <c r="U3265">
        <f t="shared" si="100"/>
        <v>0</v>
      </c>
      <c r="V3265">
        <f t="shared" si="101"/>
        <v>0</v>
      </c>
    </row>
    <row r="3266" spans="1:22" x14ac:dyDescent="0.2">
      <c r="A3266" t="s">
        <v>3324</v>
      </c>
      <c r="B3266" t="s">
        <v>45</v>
      </c>
      <c r="C3266" t="s">
        <v>76</v>
      </c>
      <c r="D3266" t="s">
        <v>77</v>
      </c>
      <c r="E3266" s="1" t="s">
        <v>82</v>
      </c>
      <c r="F3266" t="s">
        <v>83</v>
      </c>
      <c r="G3266" s="1" t="s">
        <v>163</v>
      </c>
      <c r="H3266">
        <v>0</v>
      </c>
      <c r="I3266">
        <v>267338</v>
      </c>
      <c r="J3266">
        <v>74</v>
      </c>
      <c r="K3266">
        <v>77</v>
      </c>
      <c r="L3266">
        <v>267338</v>
      </c>
      <c r="M3266">
        <v>0</v>
      </c>
      <c r="N3266">
        <v>1</v>
      </c>
      <c r="O3266" s="1" t="s">
        <v>5379</v>
      </c>
      <c r="P3266">
        <v>0</v>
      </c>
      <c r="Q3266">
        <v>0</v>
      </c>
      <c r="R3266">
        <v>0</v>
      </c>
      <c r="S3266">
        <v>0</v>
      </c>
      <c r="T3266">
        <v>50.032637979999997</v>
      </c>
      <c r="U3266">
        <f t="shared" si="100"/>
        <v>0</v>
      </c>
      <c r="V3266">
        <f t="shared" si="101"/>
        <v>0</v>
      </c>
    </row>
    <row r="3267" spans="1:22" x14ac:dyDescent="0.2">
      <c r="A3267" t="s">
        <v>3367</v>
      </c>
      <c r="B3267" t="s">
        <v>46</v>
      </c>
      <c r="C3267" t="s">
        <v>76</v>
      </c>
      <c r="D3267" t="s">
        <v>77</v>
      </c>
      <c r="E3267">
        <v>12</v>
      </c>
      <c r="F3267" t="s">
        <v>194</v>
      </c>
      <c r="G3267">
        <v>67</v>
      </c>
      <c r="H3267">
        <v>9699</v>
      </c>
      <c r="I3267">
        <v>97</v>
      </c>
      <c r="J3267">
        <v>41</v>
      </c>
      <c r="K3267">
        <v>52</v>
      </c>
      <c r="L3267">
        <v>-9602</v>
      </c>
      <c r="M3267" s="1" t="s">
        <v>5380</v>
      </c>
      <c r="N3267">
        <v>9.9020008166598606E-3</v>
      </c>
      <c r="O3267" s="1" t="s">
        <v>5381</v>
      </c>
      <c r="P3267">
        <v>0</v>
      </c>
      <c r="Q3267">
        <v>0</v>
      </c>
      <c r="R3267">
        <v>0</v>
      </c>
      <c r="S3267">
        <v>0</v>
      </c>
      <c r="T3267">
        <v>100.43846910000001</v>
      </c>
      <c r="U3267">
        <f t="shared" ref="U3267:U3330" si="102">IF(OR(P3267=1,Q3267=1),1,0)</f>
        <v>0</v>
      </c>
      <c r="V3267">
        <f t="shared" ref="V3267:V3330" si="103">IF(OR(R3267=1,S3267=1),1,0)</f>
        <v>0</v>
      </c>
    </row>
    <row r="3268" spans="1:22" x14ac:dyDescent="0.2">
      <c r="A3268" t="s">
        <v>3543</v>
      </c>
      <c r="B3268" t="s">
        <v>47</v>
      </c>
      <c r="C3268" t="s">
        <v>76</v>
      </c>
      <c r="D3268" t="s">
        <v>77</v>
      </c>
      <c r="E3268">
        <v>17</v>
      </c>
      <c r="F3268" t="s">
        <v>97</v>
      </c>
      <c r="G3268">
        <v>89</v>
      </c>
      <c r="H3268">
        <v>638</v>
      </c>
      <c r="I3268">
        <v>1961</v>
      </c>
      <c r="J3268">
        <v>81</v>
      </c>
      <c r="K3268">
        <v>63</v>
      </c>
      <c r="L3268">
        <v>1323</v>
      </c>
      <c r="M3268" s="1" t="s">
        <v>5382</v>
      </c>
      <c r="N3268" s="1" t="s">
        <v>5383</v>
      </c>
      <c r="O3268" s="1" t="s">
        <v>5384</v>
      </c>
      <c r="P3268">
        <v>0</v>
      </c>
      <c r="Q3268">
        <v>0</v>
      </c>
      <c r="R3268">
        <v>0</v>
      </c>
      <c r="S3268">
        <v>0</v>
      </c>
      <c r="T3268">
        <v>45.410769389999999</v>
      </c>
      <c r="U3268">
        <f t="shared" si="102"/>
        <v>0</v>
      </c>
      <c r="V3268">
        <f t="shared" si="103"/>
        <v>0</v>
      </c>
    </row>
    <row r="3269" spans="1:22" x14ac:dyDescent="0.2">
      <c r="A3269" t="s">
        <v>3543</v>
      </c>
      <c r="B3269" t="s">
        <v>47</v>
      </c>
      <c r="C3269" t="s">
        <v>76</v>
      </c>
      <c r="D3269" t="s">
        <v>77</v>
      </c>
      <c r="E3269" s="1" t="s">
        <v>82</v>
      </c>
      <c r="F3269" t="s">
        <v>83</v>
      </c>
      <c r="G3269">
        <v>13</v>
      </c>
      <c r="H3269">
        <v>293</v>
      </c>
      <c r="I3269">
        <v>95</v>
      </c>
      <c r="J3269">
        <v>53</v>
      </c>
      <c r="K3269">
        <v>57</v>
      </c>
      <c r="L3269">
        <v>-198</v>
      </c>
      <c r="M3269" s="1" t="s">
        <v>5385</v>
      </c>
      <c r="N3269" s="1" t="s">
        <v>5386</v>
      </c>
      <c r="O3269" s="1" t="s">
        <v>5387</v>
      </c>
      <c r="P3269">
        <v>0</v>
      </c>
      <c r="Q3269">
        <v>0</v>
      </c>
      <c r="R3269">
        <v>0</v>
      </c>
      <c r="S3269">
        <v>0</v>
      </c>
      <c r="T3269">
        <v>45.410769389999999</v>
      </c>
      <c r="U3269">
        <f t="shared" si="102"/>
        <v>0</v>
      </c>
      <c r="V3269">
        <f t="shared" si="103"/>
        <v>0</v>
      </c>
    </row>
    <row r="3270" spans="1:22" x14ac:dyDescent="0.2">
      <c r="A3270" t="s">
        <v>3543</v>
      </c>
      <c r="B3270" t="s">
        <v>47</v>
      </c>
      <c r="C3270" t="s">
        <v>76</v>
      </c>
      <c r="D3270" t="s">
        <v>77</v>
      </c>
      <c r="E3270">
        <v>11</v>
      </c>
      <c r="F3270" t="s">
        <v>127</v>
      </c>
      <c r="G3270">
        <v>55</v>
      </c>
      <c r="H3270">
        <v>1718</v>
      </c>
      <c r="I3270">
        <v>0</v>
      </c>
      <c r="J3270">
        <v>59</v>
      </c>
      <c r="K3270">
        <v>65</v>
      </c>
      <c r="L3270">
        <v>-1718</v>
      </c>
      <c r="M3270">
        <v>1</v>
      </c>
      <c r="N3270">
        <v>0</v>
      </c>
      <c r="O3270" s="1" t="s">
        <v>5388</v>
      </c>
      <c r="P3270">
        <v>0</v>
      </c>
      <c r="Q3270">
        <v>0</v>
      </c>
      <c r="R3270">
        <v>0</v>
      </c>
      <c r="S3270">
        <v>0</v>
      </c>
      <c r="T3270">
        <v>45.410769389999999</v>
      </c>
      <c r="U3270">
        <f t="shared" si="102"/>
        <v>0</v>
      </c>
      <c r="V3270">
        <f t="shared" si="103"/>
        <v>0</v>
      </c>
    </row>
    <row r="3271" spans="1:22" x14ac:dyDescent="0.2">
      <c r="A3271" t="s">
        <v>3543</v>
      </c>
      <c r="B3271" t="s">
        <v>47</v>
      </c>
      <c r="C3271" t="s">
        <v>76</v>
      </c>
      <c r="D3271" t="s">
        <v>77</v>
      </c>
      <c r="E3271" s="1" t="s">
        <v>155</v>
      </c>
      <c r="F3271" t="s">
        <v>156</v>
      </c>
      <c r="G3271" s="1" t="s">
        <v>82</v>
      </c>
      <c r="H3271">
        <v>0</v>
      </c>
      <c r="I3271">
        <v>470</v>
      </c>
      <c r="J3271">
        <v>61</v>
      </c>
      <c r="K3271">
        <v>55</v>
      </c>
      <c r="L3271">
        <v>470</v>
      </c>
      <c r="M3271">
        <v>0</v>
      </c>
      <c r="N3271">
        <v>1</v>
      </c>
      <c r="O3271" s="1" t="s">
        <v>5389</v>
      </c>
      <c r="P3271">
        <v>0</v>
      </c>
      <c r="Q3271">
        <v>0</v>
      </c>
      <c r="R3271">
        <v>0</v>
      </c>
      <c r="S3271">
        <v>0</v>
      </c>
      <c r="T3271">
        <v>45.410769389999999</v>
      </c>
      <c r="U3271">
        <f t="shared" si="102"/>
        <v>0</v>
      </c>
      <c r="V3271">
        <f t="shared" si="103"/>
        <v>0</v>
      </c>
    </row>
    <row r="3272" spans="1:22" x14ac:dyDescent="0.2">
      <c r="A3272" t="s">
        <v>3543</v>
      </c>
      <c r="B3272" t="s">
        <v>47</v>
      </c>
      <c r="C3272" t="s">
        <v>76</v>
      </c>
      <c r="D3272" t="s">
        <v>77</v>
      </c>
      <c r="E3272" s="1" t="s">
        <v>93</v>
      </c>
      <c r="F3272" t="s">
        <v>94</v>
      </c>
      <c r="G3272">
        <v>46</v>
      </c>
      <c r="H3272">
        <v>0</v>
      </c>
      <c r="I3272">
        <v>542</v>
      </c>
      <c r="J3272">
        <v>47</v>
      </c>
      <c r="K3272">
        <v>48</v>
      </c>
      <c r="L3272">
        <v>542</v>
      </c>
      <c r="M3272">
        <v>0</v>
      </c>
      <c r="N3272">
        <v>1</v>
      </c>
      <c r="O3272" s="1" t="s">
        <v>5390</v>
      </c>
      <c r="P3272">
        <v>0</v>
      </c>
      <c r="Q3272">
        <v>0</v>
      </c>
      <c r="R3272">
        <v>0</v>
      </c>
      <c r="S3272">
        <v>0</v>
      </c>
      <c r="T3272">
        <v>45.410769389999999</v>
      </c>
      <c r="U3272">
        <f t="shared" si="102"/>
        <v>0</v>
      </c>
      <c r="V3272">
        <f t="shared" si="103"/>
        <v>0</v>
      </c>
    </row>
    <row r="3273" spans="1:22" x14ac:dyDescent="0.2">
      <c r="A3273" t="s">
        <v>3845</v>
      </c>
      <c r="B3273" t="s">
        <v>49</v>
      </c>
      <c r="C3273" t="s">
        <v>76</v>
      </c>
      <c r="D3273" t="s">
        <v>77</v>
      </c>
      <c r="E3273">
        <v>11</v>
      </c>
      <c r="F3273" t="s">
        <v>127</v>
      </c>
      <c r="G3273">
        <v>53</v>
      </c>
      <c r="H3273">
        <v>117685</v>
      </c>
      <c r="I3273">
        <v>0</v>
      </c>
      <c r="J3273">
        <v>34</v>
      </c>
      <c r="K3273">
        <v>49</v>
      </c>
      <c r="L3273">
        <v>-117685</v>
      </c>
      <c r="M3273">
        <v>1</v>
      </c>
      <c r="N3273">
        <v>0</v>
      </c>
      <c r="O3273" s="1" t="s">
        <v>5391</v>
      </c>
      <c r="P3273">
        <v>0</v>
      </c>
      <c r="Q3273">
        <v>0</v>
      </c>
      <c r="R3273">
        <v>0</v>
      </c>
      <c r="S3273">
        <v>0</v>
      </c>
      <c r="T3273">
        <v>12.720721579999999</v>
      </c>
      <c r="U3273">
        <f t="shared" si="102"/>
        <v>0</v>
      </c>
      <c r="V3273">
        <f t="shared" si="103"/>
        <v>0</v>
      </c>
    </row>
    <row r="3274" spans="1:22" x14ac:dyDescent="0.2">
      <c r="A3274" t="s">
        <v>3845</v>
      </c>
      <c r="B3274" t="s">
        <v>49</v>
      </c>
      <c r="C3274" t="s">
        <v>76</v>
      </c>
      <c r="D3274" t="s">
        <v>77</v>
      </c>
      <c r="E3274">
        <v>11</v>
      </c>
      <c r="F3274" t="s">
        <v>127</v>
      </c>
      <c r="G3274">
        <v>59</v>
      </c>
      <c r="H3274">
        <v>0</v>
      </c>
      <c r="I3274">
        <v>2833</v>
      </c>
      <c r="J3274">
        <v>93</v>
      </c>
      <c r="K3274">
        <v>59</v>
      </c>
      <c r="L3274">
        <v>2833</v>
      </c>
      <c r="M3274">
        <v>0</v>
      </c>
      <c r="N3274">
        <v>1</v>
      </c>
      <c r="O3274" s="1" t="s">
        <v>5392</v>
      </c>
      <c r="P3274">
        <v>0</v>
      </c>
      <c r="Q3274">
        <v>0</v>
      </c>
      <c r="R3274">
        <v>0</v>
      </c>
      <c r="S3274">
        <v>0</v>
      </c>
      <c r="T3274">
        <v>12.720721579999999</v>
      </c>
      <c r="U3274">
        <f t="shared" si="102"/>
        <v>0</v>
      </c>
      <c r="V3274">
        <f t="shared" si="103"/>
        <v>0</v>
      </c>
    </row>
    <row r="3275" spans="1:22" x14ac:dyDescent="0.2">
      <c r="A3275" t="s">
        <v>3845</v>
      </c>
      <c r="B3275" t="s">
        <v>49</v>
      </c>
      <c r="C3275" t="s">
        <v>76</v>
      </c>
      <c r="D3275" t="s">
        <v>77</v>
      </c>
      <c r="E3275" s="1" t="s">
        <v>93</v>
      </c>
      <c r="F3275" t="s">
        <v>94</v>
      </c>
      <c r="G3275">
        <v>45</v>
      </c>
      <c r="H3275">
        <v>0</v>
      </c>
      <c r="I3275">
        <v>139176</v>
      </c>
      <c r="J3275">
        <v>48</v>
      </c>
      <c r="K3275">
        <v>16</v>
      </c>
      <c r="L3275">
        <v>139176</v>
      </c>
      <c r="M3275">
        <v>0</v>
      </c>
      <c r="N3275">
        <v>1</v>
      </c>
      <c r="O3275" s="1" t="s">
        <v>5393</v>
      </c>
      <c r="P3275">
        <v>0</v>
      </c>
      <c r="Q3275">
        <v>0</v>
      </c>
      <c r="R3275">
        <v>0</v>
      </c>
      <c r="S3275">
        <v>0</v>
      </c>
      <c r="T3275">
        <v>12.720721579999999</v>
      </c>
      <c r="U3275">
        <f t="shared" si="102"/>
        <v>0</v>
      </c>
      <c r="V3275">
        <f t="shared" si="103"/>
        <v>0</v>
      </c>
    </row>
    <row r="3276" spans="1:22" x14ac:dyDescent="0.2">
      <c r="A3276" t="s">
        <v>4118</v>
      </c>
      <c r="B3276" t="s">
        <v>51</v>
      </c>
      <c r="C3276" t="s">
        <v>76</v>
      </c>
      <c r="D3276" t="s">
        <v>77</v>
      </c>
      <c r="E3276" s="1" t="s">
        <v>93</v>
      </c>
      <c r="F3276" t="s">
        <v>94</v>
      </c>
      <c r="G3276">
        <v>44</v>
      </c>
      <c r="H3276">
        <v>259507</v>
      </c>
      <c r="I3276">
        <v>0</v>
      </c>
      <c r="J3276">
        <v>107</v>
      </c>
      <c r="K3276">
        <v>103</v>
      </c>
      <c r="L3276">
        <v>-259507</v>
      </c>
      <c r="M3276">
        <v>1</v>
      </c>
      <c r="N3276">
        <v>0</v>
      </c>
      <c r="O3276" s="1" t="s">
        <v>5394</v>
      </c>
      <c r="P3276">
        <v>0</v>
      </c>
      <c r="Q3276">
        <v>0</v>
      </c>
      <c r="R3276">
        <v>0</v>
      </c>
      <c r="S3276">
        <v>0</v>
      </c>
      <c r="T3276">
        <v>36.805438330000001</v>
      </c>
      <c r="U3276">
        <f t="shared" si="102"/>
        <v>0</v>
      </c>
      <c r="V3276">
        <f t="shared" si="103"/>
        <v>0</v>
      </c>
    </row>
    <row r="3277" spans="1:22" x14ac:dyDescent="0.2">
      <c r="A3277" t="s">
        <v>4118</v>
      </c>
      <c r="B3277" t="s">
        <v>51</v>
      </c>
      <c r="C3277" t="s">
        <v>76</v>
      </c>
      <c r="D3277" t="s">
        <v>77</v>
      </c>
      <c r="E3277" s="1" t="s">
        <v>89</v>
      </c>
      <c r="F3277" t="s">
        <v>90</v>
      </c>
      <c r="G3277">
        <v>34</v>
      </c>
      <c r="H3277">
        <v>971</v>
      </c>
      <c r="I3277">
        <v>0</v>
      </c>
      <c r="J3277">
        <v>119</v>
      </c>
      <c r="K3277">
        <v>87</v>
      </c>
      <c r="L3277">
        <v>-971</v>
      </c>
      <c r="M3277">
        <v>1</v>
      </c>
      <c r="N3277">
        <v>0</v>
      </c>
      <c r="O3277" s="1" t="s">
        <v>5395</v>
      </c>
      <c r="P3277">
        <v>0</v>
      </c>
      <c r="Q3277">
        <v>0</v>
      </c>
      <c r="R3277">
        <v>0</v>
      </c>
      <c r="S3277">
        <v>0</v>
      </c>
      <c r="T3277">
        <v>36.805438330000001</v>
      </c>
      <c r="U3277">
        <f t="shared" si="102"/>
        <v>0</v>
      </c>
      <c r="V3277">
        <f t="shared" si="103"/>
        <v>0</v>
      </c>
    </row>
    <row r="3278" spans="1:22" x14ac:dyDescent="0.2">
      <c r="A3278" t="s">
        <v>4118</v>
      </c>
      <c r="B3278" t="s">
        <v>51</v>
      </c>
      <c r="C3278" t="s">
        <v>76</v>
      </c>
      <c r="D3278" t="s">
        <v>77</v>
      </c>
      <c r="E3278" s="1" t="s">
        <v>89</v>
      </c>
      <c r="F3278" t="s">
        <v>90</v>
      </c>
      <c r="G3278">
        <v>32</v>
      </c>
      <c r="H3278">
        <v>140447</v>
      </c>
      <c r="I3278">
        <v>0</v>
      </c>
      <c r="J3278">
        <v>86</v>
      </c>
      <c r="K3278">
        <v>80</v>
      </c>
      <c r="L3278">
        <v>-140447</v>
      </c>
      <c r="M3278">
        <v>1</v>
      </c>
      <c r="N3278">
        <v>0</v>
      </c>
      <c r="O3278" s="1" t="s">
        <v>5396</v>
      </c>
      <c r="P3278">
        <v>0</v>
      </c>
      <c r="Q3278">
        <v>0</v>
      </c>
      <c r="R3278">
        <v>0</v>
      </c>
      <c r="S3278">
        <v>0</v>
      </c>
      <c r="T3278">
        <v>36.805438330000001</v>
      </c>
      <c r="U3278">
        <f t="shared" si="102"/>
        <v>0</v>
      </c>
      <c r="V3278">
        <f t="shared" si="103"/>
        <v>0</v>
      </c>
    </row>
    <row r="3279" spans="1:22" x14ac:dyDescent="0.2">
      <c r="A3279" t="s">
        <v>4118</v>
      </c>
      <c r="B3279" t="s">
        <v>51</v>
      </c>
      <c r="C3279" t="s">
        <v>76</v>
      </c>
      <c r="D3279" t="s">
        <v>77</v>
      </c>
      <c r="E3279" s="1" t="s">
        <v>138</v>
      </c>
      <c r="F3279" t="s">
        <v>139</v>
      </c>
      <c r="G3279">
        <v>24</v>
      </c>
      <c r="H3279">
        <v>0</v>
      </c>
      <c r="I3279">
        <v>194069</v>
      </c>
      <c r="J3279">
        <v>98</v>
      </c>
      <c r="K3279">
        <v>62</v>
      </c>
      <c r="L3279">
        <v>194069</v>
      </c>
      <c r="M3279">
        <v>0</v>
      </c>
      <c r="N3279">
        <v>1</v>
      </c>
      <c r="O3279" s="1" t="s">
        <v>5397</v>
      </c>
      <c r="P3279">
        <v>0</v>
      </c>
      <c r="Q3279">
        <v>0</v>
      </c>
      <c r="R3279">
        <v>0</v>
      </c>
      <c r="S3279">
        <v>0</v>
      </c>
      <c r="T3279">
        <v>36.805438330000001</v>
      </c>
      <c r="U3279">
        <f t="shared" si="102"/>
        <v>0</v>
      </c>
      <c r="V3279">
        <f t="shared" si="103"/>
        <v>0</v>
      </c>
    </row>
    <row r="3280" spans="1:22" x14ac:dyDescent="0.2">
      <c r="A3280" t="s">
        <v>4118</v>
      </c>
      <c r="B3280" t="s">
        <v>51</v>
      </c>
      <c r="C3280" t="s">
        <v>76</v>
      </c>
      <c r="D3280" t="s">
        <v>77</v>
      </c>
      <c r="E3280" s="1" t="s">
        <v>82</v>
      </c>
      <c r="F3280" t="s">
        <v>83</v>
      </c>
      <c r="G3280" s="1" t="s">
        <v>99</v>
      </c>
      <c r="H3280">
        <v>46746</v>
      </c>
      <c r="I3280">
        <v>286017</v>
      </c>
      <c r="J3280">
        <v>86</v>
      </c>
      <c r="K3280">
        <v>54</v>
      </c>
      <c r="L3280">
        <v>239271</v>
      </c>
      <c r="M3280" s="1" t="s">
        <v>5398</v>
      </c>
      <c r="N3280" s="1" t="s">
        <v>5399</v>
      </c>
      <c r="O3280" s="1" t="s">
        <v>5400</v>
      </c>
      <c r="P3280">
        <v>0</v>
      </c>
      <c r="Q3280">
        <v>0</v>
      </c>
      <c r="R3280">
        <v>0</v>
      </c>
      <c r="S3280">
        <v>0</v>
      </c>
      <c r="T3280">
        <v>36.805438330000001</v>
      </c>
      <c r="U3280">
        <f t="shared" si="102"/>
        <v>0</v>
      </c>
      <c r="V3280">
        <f t="shared" si="103"/>
        <v>0</v>
      </c>
    </row>
    <row r="3281" spans="1:22" x14ac:dyDescent="0.2">
      <c r="A3281" t="s">
        <v>4118</v>
      </c>
      <c r="B3281" t="s">
        <v>51</v>
      </c>
      <c r="C3281" t="s">
        <v>76</v>
      </c>
      <c r="D3281" t="s">
        <v>77</v>
      </c>
      <c r="E3281">
        <v>99</v>
      </c>
      <c r="F3281" t="s">
        <v>78</v>
      </c>
      <c r="G3281">
        <v>99</v>
      </c>
      <c r="H3281">
        <v>10624</v>
      </c>
      <c r="I3281">
        <v>449885</v>
      </c>
      <c r="J3281">
        <v>100</v>
      </c>
      <c r="K3281">
        <v>55</v>
      </c>
      <c r="L3281">
        <v>439261</v>
      </c>
      <c r="M3281" s="1" t="s">
        <v>5401</v>
      </c>
      <c r="N3281" s="1" t="s">
        <v>5402</v>
      </c>
      <c r="O3281">
        <v>1.06692458691844E-3</v>
      </c>
      <c r="P3281">
        <v>0</v>
      </c>
      <c r="Q3281">
        <v>0</v>
      </c>
      <c r="R3281">
        <v>0</v>
      </c>
      <c r="S3281">
        <v>0</v>
      </c>
      <c r="T3281">
        <v>36.805438330000001</v>
      </c>
      <c r="U3281">
        <f t="shared" si="102"/>
        <v>0</v>
      </c>
      <c r="V3281">
        <f t="shared" si="103"/>
        <v>0</v>
      </c>
    </row>
    <row r="3282" spans="1:22" x14ac:dyDescent="0.2">
      <c r="A3282" t="s">
        <v>4961</v>
      </c>
      <c r="B3282" t="s">
        <v>57</v>
      </c>
      <c r="C3282" t="s">
        <v>76</v>
      </c>
      <c r="D3282" t="s">
        <v>77</v>
      </c>
      <c r="E3282">
        <v>99</v>
      </c>
      <c r="F3282" t="s">
        <v>78</v>
      </c>
      <c r="G3282">
        <v>99</v>
      </c>
      <c r="H3282">
        <v>918538</v>
      </c>
      <c r="I3282">
        <v>0</v>
      </c>
      <c r="J3282">
        <v>58</v>
      </c>
      <c r="K3282">
        <v>98</v>
      </c>
      <c r="L3282">
        <v>-918538</v>
      </c>
      <c r="M3282">
        <v>1</v>
      </c>
      <c r="N3282">
        <v>0</v>
      </c>
      <c r="O3282" s="1" t="s">
        <v>5403</v>
      </c>
      <c r="P3282">
        <v>0</v>
      </c>
      <c r="Q3282">
        <v>0</v>
      </c>
      <c r="R3282">
        <v>0</v>
      </c>
      <c r="S3282">
        <v>0</v>
      </c>
      <c r="T3282">
        <v>224.8741019</v>
      </c>
      <c r="U3282">
        <f t="shared" si="102"/>
        <v>0</v>
      </c>
      <c r="V3282">
        <f t="shared" si="103"/>
        <v>0</v>
      </c>
    </row>
    <row r="3283" spans="1:22" x14ac:dyDescent="0.2">
      <c r="A3283" t="s">
        <v>4961</v>
      </c>
      <c r="B3283" t="s">
        <v>57</v>
      </c>
      <c r="C3283" t="s">
        <v>76</v>
      </c>
      <c r="D3283" t="s">
        <v>77</v>
      </c>
      <c r="E3283">
        <v>18</v>
      </c>
      <c r="F3283" t="s">
        <v>147</v>
      </c>
      <c r="G3283">
        <v>92</v>
      </c>
      <c r="H3283">
        <v>4249</v>
      </c>
      <c r="I3283">
        <v>0</v>
      </c>
      <c r="J3283">
        <v>64</v>
      </c>
      <c r="K3283">
        <v>66</v>
      </c>
      <c r="L3283">
        <v>-4249</v>
      </c>
      <c r="M3283">
        <v>1</v>
      </c>
      <c r="N3283">
        <v>0</v>
      </c>
      <c r="O3283" s="1" t="s">
        <v>5404</v>
      </c>
      <c r="P3283">
        <v>0</v>
      </c>
      <c r="Q3283">
        <v>0</v>
      </c>
      <c r="R3283">
        <v>0</v>
      </c>
      <c r="S3283">
        <v>0</v>
      </c>
      <c r="T3283">
        <v>224.8741019</v>
      </c>
      <c r="U3283">
        <f t="shared" si="102"/>
        <v>0</v>
      </c>
      <c r="V3283">
        <f t="shared" si="103"/>
        <v>0</v>
      </c>
    </row>
    <row r="3284" spans="1:22" x14ac:dyDescent="0.2">
      <c r="A3284" t="s">
        <v>4368</v>
      </c>
      <c r="B3284" t="s">
        <v>53</v>
      </c>
      <c r="C3284" t="s">
        <v>76</v>
      </c>
      <c r="D3284" t="s">
        <v>77</v>
      </c>
      <c r="E3284" s="1" t="s">
        <v>82</v>
      </c>
      <c r="F3284" t="s">
        <v>83</v>
      </c>
      <c r="G3284">
        <v>10</v>
      </c>
      <c r="H3284">
        <v>2098015</v>
      </c>
      <c r="I3284">
        <v>0</v>
      </c>
      <c r="J3284">
        <v>104</v>
      </c>
      <c r="K3284">
        <v>65</v>
      </c>
      <c r="L3284">
        <v>-2098015</v>
      </c>
      <c r="M3284">
        <v>1</v>
      </c>
      <c r="N3284">
        <v>0</v>
      </c>
      <c r="O3284">
        <v>3.3042889253358999E-2</v>
      </c>
      <c r="P3284">
        <v>0</v>
      </c>
      <c r="Q3284">
        <v>0</v>
      </c>
      <c r="R3284">
        <v>0</v>
      </c>
      <c r="S3284">
        <v>0</v>
      </c>
      <c r="T3284">
        <v>46.141767209999998</v>
      </c>
      <c r="U3284">
        <f t="shared" si="102"/>
        <v>0</v>
      </c>
      <c r="V3284">
        <f t="shared" si="103"/>
        <v>0</v>
      </c>
    </row>
    <row r="3285" spans="1:22" x14ac:dyDescent="0.2">
      <c r="A3285" t="s">
        <v>4368</v>
      </c>
      <c r="B3285" t="s">
        <v>53</v>
      </c>
      <c r="C3285" t="s">
        <v>76</v>
      </c>
      <c r="D3285" t="s">
        <v>77</v>
      </c>
      <c r="E3285">
        <v>10</v>
      </c>
      <c r="F3285" t="s">
        <v>119</v>
      </c>
      <c r="G3285">
        <v>48</v>
      </c>
      <c r="H3285">
        <v>1762736</v>
      </c>
      <c r="I3285">
        <v>0</v>
      </c>
      <c r="J3285">
        <v>104</v>
      </c>
      <c r="K3285">
        <v>97</v>
      </c>
      <c r="L3285">
        <v>-1762736</v>
      </c>
      <c r="M3285">
        <v>1</v>
      </c>
      <c r="N3285">
        <v>0</v>
      </c>
      <c r="O3285">
        <v>2.77623803599636E-2</v>
      </c>
      <c r="P3285">
        <v>0</v>
      </c>
      <c r="Q3285">
        <v>0</v>
      </c>
      <c r="R3285">
        <v>0</v>
      </c>
      <c r="S3285">
        <v>0</v>
      </c>
      <c r="T3285">
        <v>46.141767209999998</v>
      </c>
      <c r="U3285">
        <f t="shared" si="102"/>
        <v>0</v>
      </c>
      <c r="V3285">
        <f t="shared" si="103"/>
        <v>0</v>
      </c>
    </row>
    <row r="3286" spans="1:22" x14ac:dyDescent="0.2">
      <c r="A3286" t="s">
        <v>4368</v>
      </c>
      <c r="B3286" t="s">
        <v>53</v>
      </c>
      <c r="C3286" t="s">
        <v>76</v>
      </c>
      <c r="D3286" t="s">
        <v>77</v>
      </c>
      <c r="E3286">
        <v>18</v>
      </c>
      <c r="F3286" t="s">
        <v>147</v>
      </c>
      <c r="G3286">
        <v>90</v>
      </c>
      <c r="H3286">
        <v>18086</v>
      </c>
      <c r="I3286">
        <v>97814</v>
      </c>
      <c r="J3286">
        <v>129</v>
      </c>
      <c r="K3286">
        <v>86</v>
      </c>
      <c r="L3286">
        <v>79728</v>
      </c>
      <c r="M3286" s="1" t="s">
        <v>5405</v>
      </c>
      <c r="N3286" s="1" t="s">
        <v>5406</v>
      </c>
      <c r="O3286">
        <v>1.8253782096239999E-3</v>
      </c>
      <c r="P3286">
        <v>0</v>
      </c>
      <c r="Q3286">
        <v>0</v>
      </c>
      <c r="R3286">
        <v>0</v>
      </c>
      <c r="S3286">
        <v>0</v>
      </c>
      <c r="T3286">
        <v>46.141767209999998</v>
      </c>
      <c r="U3286">
        <f t="shared" si="102"/>
        <v>0</v>
      </c>
      <c r="V3286">
        <f t="shared" si="103"/>
        <v>0</v>
      </c>
    </row>
    <row r="3287" spans="1:22" x14ac:dyDescent="0.2">
      <c r="A3287" t="s">
        <v>4368</v>
      </c>
      <c r="B3287" t="s">
        <v>53</v>
      </c>
      <c r="C3287" t="s">
        <v>76</v>
      </c>
      <c r="D3287" t="s">
        <v>77</v>
      </c>
      <c r="E3287" s="1" t="s">
        <v>89</v>
      </c>
      <c r="F3287" t="s">
        <v>90</v>
      </c>
      <c r="G3287">
        <v>30</v>
      </c>
      <c r="H3287">
        <v>2440</v>
      </c>
      <c r="I3287">
        <v>0</v>
      </c>
      <c r="J3287">
        <v>132</v>
      </c>
      <c r="K3287">
        <v>91</v>
      </c>
      <c r="L3287">
        <v>-2440</v>
      </c>
      <c r="M3287">
        <v>1</v>
      </c>
      <c r="N3287">
        <v>0</v>
      </c>
      <c r="O3287" s="1" t="s">
        <v>5407</v>
      </c>
      <c r="P3287">
        <v>0</v>
      </c>
      <c r="Q3287">
        <v>0</v>
      </c>
      <c r="R3287">
        <v>0</v>
      </c>
      <c r="S3287">
        <v>0</v>
      </c>
      <c r="T3287">
        <v>46.141767209999998</v>
      </c>
      <c r="U3287">
        <f t="shared" si="102"/>
        <v>0</v>
      </c>
      <c r="V3287">
        <f t="shared" si="103"/>
        <v>0</v>
      </c>
    </row>
    <row r="3288" spans="1:22" x14ac:dyDescent="0.2">
      <c r="A3288" t="s">
        <v>4368</v>
      </c>
      <c r="B3288" t="s">
        <v>53</v>
      </c>
      <c r="C3288" t="s">
        <v>76</v>
      </c>
      <c r="D3288" t="s">
        <v>77</v>
      </c>
      <c r="E3288" s="1" t="s">
        <v>138</v>
      </c>
      <c r="F3288" t="s">
        <v>139</v>
      </c>
      <c r="G3288">
        <v>21</v>
      </c>
      <c r="H3288">
        <v>10200</v>
      </c>
      <c r="I3288">
        <v>0</v>
      </c>
      <c r="J3288">
        <v>108</v>
      </c>
      <c r="K3288">
        <v>99</v>
      </c>
      <c r="L3288">
        <v>-10200</v>
      </c>
      <c r="M3288">
        <v>1</v>
      </c>
      <c r="N3288">
        <v>0</v>
      </c>
      <c r="O3288" s="1" t="s">
        <v>5408</v>
      </c>
      <c r="P3288">
        <v>0</v>
      </c>
      <c r="Q3288">
        <v>0</v>
      </c>
      <c r="R3288">
        <v>0</v>
      </c>
      <c r="S3288">
        <v>0</v>
      </c>
      <c r="T3288">
        <v>46.141767209999998</v>
      </c>
      <c r="U3288">
        <f t="shared" si="102"/>
        <v>0</v>
      </c>
      <c r="V3288">
        <f t="shared" si="103"/>
        <v>0</v>
      </c>
    </row>
    <row r="3289" spans="1:22" x14ac:dyDescent="0.2">
      <c r="A3289" t="s">
        <v>4368</v>
      </c>
      <c r="B3289" t="s">
        <v>53</v>
      </c>
      <c r="C3289" t="s">
        <v>76</v>
      </c>
      <c r="D3289" t="s">
        <v>77</v>
      </c>
      <c r="E3289">
        <v>13</v>
      </c>
      <c r="F3289" t="s">
        <v>91</v>
      </c>
      <c r="G3289">
        <v>70</v>
      </c>
      <c r="H3289">
        <v>58</v>
      </c>
      <c r="I3289">
        <v>0</v>
      </c>
      <c r="J3289">
        <v>135</v>
      </c>
      <c r="K3289">
        <v>88</v>
      </c>
      <c r="L3289">
        <v>-58</v>
      </c>
      <c r="M3289">
        <v>1</v>
      </c>
      <c r="N3289">
        <v>0</v>
      </c>
      <c r="O3289" s="1" t="s">
        <v>5409</v>
      </c>
      <c r="P3289">
        <v>0</v>
      </c>
      <c r="Q3289">
        <v>0</v>
      </c>
      <c r="R3289">
        <v>0</v>
      </c>
      <c r="S3289">
        <v>0</v>
      </c>
      <c r="T3289">
        <v>46.141767209999998</v>
      </c>
      <c r="U3289">
        <f t="shared" si="102"/>
        <v>0</v>
      </c>
      <c r="V3289">
        <f t="shared" si="103"/>
        <v>0</v>
      </c>
    </row>
    <row r="3290" spans="1:22" x14ac:dyDescent="0.2">
      <c r="A3290" t="s">
        <v>4368</v>
      </c>
      <c r="B3290" t="s">
        <v>53</v>
      </c>
      <c r="C3290" t="s">
        <v>76</v>
      </c>
      <c r="D3290" t="s">
        <v>77</v>
      </c>
      <c r="E3290" s="1" t="s">
        <v>99</v>
      </c>
      <c r="F3290" t="s">
        <v>100</v>
      </c>
      <c r="G3290">
        <v>39</v>
      </c>
      <c r="H3290">
        <v>4673</v>
      </c>
      <c r="I3290">
        <v>10</v>
      </c>
      <c r="J3290">
        <v>130</v>
      </c>
      <c r="K3290">
        <v>107</v>
      </c>
      <c r="L3290">
        <v>-4663</v>
      </c>
      <c r="M3290" s="1" t="s">
        <v>5410</v>
      </c>
      <c r="N3290">
        <v>2.1353833013025799E-3</v>
      </c>
      <c r="O3290" s="1" t="s">
        <v>5411</v>
      </c>
      <c r="P3290">
        <v>0</v>
      </c>
      <c r="Q3290">
        <v>0</v>
      </c>
      <c r="R3290">
        <v>0</v>
      </c>
      <c r="S3290">
        <v>0</v>
      </c>
      <c r="T3290">
        <v>46.141767209999998</v>
      </c>
      <c r="U3290">
        <f t="shared" si="102"/>
        <v>0</v>
      </c>
      <c r="V3290">
        <f t="shared" si="103"/>
        <v>0</v>
      </c>
    </row>
    <row r="3291" spans="1:22" x14ac:dyDescent="0.2">
      <c r="A3291" t="s">
        <v>4368</v>
      </c>
      <c r="B3291" t="s">
        <v>53</v>
      </c>
      <c r="C3291" t="s">
        <v>76</v>
      </c>
      <c r="D3291" t="s">
        <v>77</v>
      </c>
      <c r="E3291">
        <v>20</v>
      </c>
      <c r="F3291" t="s">
        <v>104</v>
      </c>
      <c r="G3291">
        <v>94</v>
      </c>
      <c r="H3291">
        <v>4148</v>
      </c>
      <c r="I3291">
        <v>1199</v>
      </c>
      <c r="J3291">
        <v>117</v>
      </c>
      <c r="K3291">
        <v>89</v>
      </c>
      <c r="L3291">
        <v>-2949</v>
      </c>
      <c r="M3291" s="1" t="s">
        <v>5412</v>
      </c>
      <c r="N3291" s="1" t="s">
        <v>5413</v>
      </c>
      <c r="O3291" s="1" t="s">
        <v>5414</v>
      </c>
      <c r="P3291">
        <v>0</v>
      </c>
      <c r="Q3291">
        <v>0</v>
      </c>
      <c r="R3291">
        <v>0</v>
      </c>
      <c r="S3291">
        <v>0</v>
      </c>
      <c r="T3291">
        <v>46.141767209999998</v>
      </c>
      <c r="U3291">
        <f t="shared" si="102"/>
        <v>0</v>
      </c>
      <c r="V3291">
        <f t="shared" si="103"/>
        <v>0</v>
      </c>
    </row>
    <row r="3292" spans="1:22" x14ac:dyDescent="0.2">
      <c r="A3292" t="s">
        <v>4368</v>
      </c>
      <c r="B3292" t="s">
        <v>53</v>
      </c>
      <c r="C3292" t="s">
        <v>76</v>
      </c>
      <c r="D3292" t="s">
        <v>77</v>
      </c>
      <c r="E3292">
        <v>13</v>
      </c>
      <c r="F3292" t="s">
        <v>91</v>
      </c>
      <c r="G3292">
        <v>68</v>
      </c>
      <c r="H3292">
        <v>0</v>
      </c>
      <c r="I3292">
        <v>8428</v>
      </c>
      <c r="J3292">
        <v>126</v>
      </c>
      <c r="K3292">
        <v>75</v>
      </c>
      <c r="L3292">
        <v>8428</v>
      </c>
      <c r="M3292">
        <v>0</v>
      </c>
      <c r="N3292">
        <v>1</v>
      </c>
      <c r="O3292" s="1" t="s">
        <v>5415</v>
      </c>
      <c r="P3292">
        <v>0</v>
      </c>
      <c r="Q3292">
        <v>0</v>
      </c>
      <c r="R3292">
        <v>0</v>
      </c>
      <c r="S3292">
        <v>0</v>
      </c>
      <c r="T3292">
        <v>46.141767209999998</v>
      </c>
      <c r="U3292">
        <f t="shared" si="102"/>
        <v>0</v>
      </c>
      <c r="V3292">
        <f t="shared" si="103"/>
        <v>0</v>
      </c>
    </row>
    <row r="3293" spans="1:22" x14ac:dyDescent="0.2">
      <c r="A3293" t="s">
        <v>4386</v>
      </c>
      <c r="B3293" t="s">
        <v>54</v>
      </c>
      <c r="C3293" t="s">
        <v>76</v>
      </c>
      <c r="D3293" t="s">
        <v>77</v>
      </c>
      <c r="E3293" s="1" t="s">
        <v>89</v>
      </c>
      <c r="F3293" t="s">
        <v>90</v>
      </c>
      <c r="G3293">
        <v>28</v>
      </c>
      <c r="H3293">
        <v>61043</v>
      </c>
      <c r="I3293">
        <v>0</v>
      </c>
      <c r="J3293">
        <v>123</v>
      </c>
      <c r="K3293">
        <v>85</v>
      </c>
      <c r="L3293">
        <v>-61043</v>
      </c>
      <c r="M3293">
        <v>1</v>
      </c>
      <c r="N3293">
        <v>0</v>
      </c>
      <c r="O3293" s="1" t="s">
        <v>5416</v>
      </c>
      <c r="P3293">
        <v>0</v>
      </c>
      <c r="Q3293">
        <v>0</v>
      </c>
      <c r="R3293">
        <v>0</v>
      </c>
      <c r="S3293">
        <v>0</v>
      </c>
      <c r="T3293">
        <v>12.987771670000001</v>
      </c>
      <c r="U3293">
        <f t="shared" si="102"/>
        <v>0</v>
      </c>
      <c r="V3293">
        <f t="shared" si="103"/>
        <v>0</v>
      </c>
    </row>
    <row r="3294" spans="1:22" x14ac:dyDescent="0.2">
      <c r="A3294" t="s">
        <v>4386</v>
      </c>
      <c r="B3294" t="s">
        <v>54</v>
      </c>
      <c r="C3294" t="s">
        <v>76</v>
      </c>
      <c r="D3294" t="s">
        <v>77</v>
      </c>
      <c r="E3294">
        <v>17</v>
      </c>
      <c r="F3294" t="s">
        <v>97</v>
      </c>
      <c r="G3294">
        <v>87</v>
      </c>
      <c r="H3294">
        <v>50247</v>
      </c>
      <c r="I3294">
        <v>0</v>
      </c>
      <c r="J3294">
        <v>128</v>
      </c>
      <c r="K3294">
        <v>96</v>
      </c>
      <c r="L3294">
        <v>-50247</v>
      </c>
      <c r="M3294">
        <v>1</v>
      </c>
      <c r="N3294">
        <v>0</v>
      </c>
      <c r="O3294" s="1" t="s">
        <v>5417</v>
      </c>
      <c r="P3294">
        <v>0</v>
      </c>
      <c r="Q3294">
        <v>0</v>
      </c>
      <c r="R3294">
        <v>0</v>
      </c>
      <c r="S3294">
        <v>0</v>
      </c>
      <c r="T3294">
        <v>12.987771670000001</v>
      </c>
      <c r="U3294">
        <f t="shared" si="102"/>
        <v>0</v>
      </c>
      <c r="V3294">
        <f t="shared" si="103"/>
        <v>0</v>
      </c>
    </row>
    <row r="3295" spans="1:22" x14ac:dyDescent="0.2">
      <c r="A3295" t="s">
        <v>4386</v>
      </c>
      <c r="B3295" t="s">
        <v>54</v>
      </c>
      <c r="C3295" t="s">
        <v>76</v>
      </c>
      <c r="D3295" t="s">
        <v>77</v>
      </c>
      <c r="E3295" s="1" t="s">
        <v>85</v>
      </c>
      <c r="F3295" t="s">
        <v>86</v>
      </c>
      <c r="G3295">
        <v>26</v>
      </c>
      <c r="H3295">
        <v>0</v>
      </c>
      <c r="I3295">
        <v>58</v>
      </c>
      <c r="J3295">
        <v>65</v>
      </c>
      <c r="K3295">
        <v>61</v>
      </c>
      <c r="L3295">
        <v>58</v>
      </c>
      <c r="M3295">
        <v>0</v>
      </c>
      <c r="N3295">
        <v>1</v>
      </c>
      <c r="O3295" s="1" t="s">
        <v>5418</v>
      </c>
      <c r="P3295">
        <v>0</v>
      </c>
      <c r="Q3295">
        <v>0</v>
      </c>
      <c r="R3295">
        <v>0</v>
      </c>
      <c r="S3295">
        <v>0</v>
      </c>
      <c r="T3295">
        <v>12.987771670000001</v>
      </c>
      <c r="U3295">
        <f t="shared" si="102"/>
        <v>0</v>
      </c>
      <c r="V3295">
        <f t="shared" si="103"/>
        <v>0</v>
      </c>
    </row>
    <row r="3296" spans="1:22" x14ac:dyDescent="0.2">
      <c r="A3296" t="s">
        <v>4386</v>
      </c>
      <c r="B3296" t="s">
        <v>54</v>
      </c>
      <c r="C3296" t="s">
        <v>76</v>
      </c>
      <c r="D3296" t="s">
        <v>77</v>
      </c>
      <c r="E3296" s="1" t="s">
        <v>82</v>
      </c>
      <c r="F3296" t="s">
        <v>83</v>
      </c>
      <c r="G3296" s="1" t="s">
        <v>99</v>
      </c>
      <c r="H3296">
        <v>0</v>
      </c>
      <c r="I3296">
        <v>8325</v>
      </c>
      <c r="J3296">
        <v>106</v>
      </c>
      <c r="K3296">
        <v>76</v>
      </c>
      <c r="L3296">
        <v>8325</v>
      </c>
      <c r="M3296">
        <v>0</v>
      </c>
      <c r="N3296">
        <v>1</v>
      </c>
      <c r="O3296" s="1" t="s">
        <v>5419</v>
      </c>
      <c r="P3296">
        <v>0</v>
      </c>
      <c r="Q3296">
        <v>0</v>
      </c>
      <c r="R3296">
        <v>0</v>
      </c>
      <c r="S3296">
        <v>0</v>
      </c>
      <c r="T3296">
        <v>12.987771670000001</v>
      </c>
      <c r="U3296">
        <f t="shared" si="102"/>
        <v>0</v>
      </c>
      <c r="V3296">
        <f t="shared" si="103"/>
        <v>0</v>
      </c>
    </row>
    <row r="3297" spans="1:22" x14ac:dyDescent="0.2">
      <c r="A3297" t="s">
        <v>75</v>
      </c>
      <c r="B3297" t="s">
        <v>6</v>
      </c>
      <c r="C3297" t="s">
        <v>76</v>
      </c>
      <c r="D3297" t="s">
        <v>77</v>
      </c>
      <c r="E3297" s="1" t="s">
        <v>89</v>
      </c>
      <c r="F3297" t="s">
        <v>90</v>
      </c>
      <c r="G3297">
        <v>30</v>
      </c>
      <c r="H3297">
        <v>8954</v>
      </c>
      <c r="I3297">
        <v>0</v>
      </c>
      <c r="J3297">
        <v>127</v>
      </c>
      <c r="K3297">
        <v>91</v>
      </c>
      <c r="L3297">
        <v>-8954</v>
      </c>
      <c r="M3297">
        <v>1</v>
      </c>
      <c r="N3297">
        <v>0</v>
      </c>
      <c r="O3297" s="1" t="s">
        <v>5420</v>
      </c>
      <c r="P3297">
        <v>0</v>
      </c>
      <c r="Q3297">
        <v>0</v>
      </c>
      <c r="R3297">
        <v>0</v>
      </c>
      <c r="S3297">
        <v>0</v>
      </c>
      <c r="T3297">
        <v>37.967415780000003</v>
      </c>
      <c r="U3297">
        <f t="shared" si="102"/>
        <v>0</v>
      </c>
      <c r="V3297">
        <f t="shared" si="103"/>
        <v>0</v>
      </c>
    </row>
    <row r="3298" spans="1:22" x14ac:dyDescent="0.2">
      <c r="A3298" t="s">
        <v>164</v>
      </c>
      <c r="B3298" t="s">
        <v>8</v>
      </c>
      <c r="C3298" t="s">
        <v>76</v>
      </c>
      <c r="D3298" t="s">
        <v>77</v>
      </c>
      <c r="E3298" s="1" t="s">
        <v>155</v>
      </c>
      <c r="F3298" t="s">
        <v>156</v>
      </c>
      <c r="G3298" s="1" t="s">
        <v>110</v>
      </c>
      <c r="H3298">
        <v>185629</v>
      </c>
      <c r="I3298">
        <v>0</v>
      </c>
      <c r="J3298">
        <v>75</v>
      </c>
      <c r="K3298">
        <v>77</v>
      </c>
      <c r="L3298">
        <v>-185629</v>
      </c>
      <c r="M3298">
        <v>1</v>
      </c>
      <c r="N3298">
        <v>0</v>
      </c>
      <c r="O3298" s="1" t="s">
        <v>5421</v>
      </c>
      <c r="P3298">
        <v>0</v>
      </c>
      <c r="Q3298">
        <v>0</v>
      </c>
      <c r="R3298">
        <v>0</v>
      </c>
      <c r="S3298">
        <v>0</v>
      </c>
      <c r="T3298">
        <v>39.663424999999997</v>
      </c>
      <c r="U3298">
        <f t="shared" si="102"/>
        <v>0</v>
      </c>
      <c r="V3298">
        <f t="shared" si="103"/>
        <v>0</v>
      </c>
    </row>
    <row r="3299" spans="1:22" x14ac:dyDescent="0.2">
      <c r="A3299" t="s">
        <v>164</v>
      </c>
      <c r="B3299" t="s">
        <v>8</v>
      </c>
      <c r="C3299" t="s">
        <v>76</v>
      </c>
      <c r="D3299" t="s">
        <v>77</v>
      </c>
      <c r="E3299" s="1" t="s">
        <v>110</v>
      </c>
      <c r="F3299" t="s">
        <v>111</v>
      </c>
      <c r="G3299">
        <v>15</v>
      </c>
      <c r="H3299">
        <v>48912</v>
      </c>
      <c r="I3299">
        <v>0</v>
      </c>
      <c r="J3299">
        <v>84</v>
      </c>
      <c r="K3299">
        <v>86</v>
      </c>
      <c r="L3299">
        <v>-48912</v>
      </c>
      <c r="M3299">
        <v>1</v>
      </c>
      <c r="N3299">
        <v>0</v>
      </c>
      <c r="O3299" s="1" t="s">
        <v>5422</v>
      </c>
      <c r="P3299">
        <v>0</v>
      </c>
      <c r="Q3299">
        <v>0</v>
      </c>
      <c r="R3299">
        <v>0</v>
      </c>
      <c r="S3299">
        <v>0</v>
      </c>
      <c r="T3299">
        <v>39.663424999999997</v>
      </c>
      <c r="U3299">
        <f t="shared" si="102"/>
        <v>0</v>
      </c>
      <c r="V3299">
        <f t="shared" si="103"/>
        <v>0</v>
      </c>
    </row>
    <row r="3300" spans="1:22" x14ac:dyDescent="0.2">
      <c r="A3300" t="s">
        <v>164</v>
      </c>
      <c r="B3300" t="s">
        <v>8</v>
      </c>
      <c r="C3300" t="s">
        <v>76</v>
      </c>
      <c r="D3300" t="s">
        <v>77</v>
      </c>
      <c r="E3300" s="1" t="s">
        <v>82</v>
      </c>
      <c r="F3300" t="s">
        <v>83</v>
      </c>
      <c r="G3300">
        <v>12</v>
      </c>
      <c r="H3300">
        <v>156</v>
      </c>
      <c r="I3300">
        <v>0</v>
      </c>
      <c r="J3300">
        <v>95</v>
      </c>
      <c r="K3300">
        <v>98</v>
      </c>
      <c r="L3300">
        <v>-156</v>
      </c>
      <c r="M3300">
        <v>1</v>
      </c>
      <c r="N3300">
        <v>0</v>
      </c>
      <c r="O3300" s="1" t="s">
        <v>5423</v>
      </c>
      <c r="P3300">
        <v>0</v>
      </c>
      <c r="Q3300">
        <v>0</v>
      </c>
      <c r="R3300">
        <v>0</v>
      </c>
      <c r="S3300">
        <v>0</v>
      </c>
      <c r="T3300">
        <v>39.663424999999997</v>
      </c>
      <c r="U3300">
        <f t="shared" si="102"/>
        <v>0</v>
      </c>
      <c r="V3300">
        <f t="shared" si="103"/>
        <v>0</v>
      </c>
    </row>
    <row r="3301" spans="1:22" x14ac:dyDescent="0.2">
      <c r="A3301" t="s">
        <v>164</v>
      </c>
      <c r="B3301" t="s">
        <v>8</v>
      </c>
      <c r="C3301" t="s">
        <v>76</v>
      </c>
      <c r="D3301" t="s">
        <v>77</v>
      </c>
      <c r="E3301" s="1" t="s">
        <v>138</v>
      </c>
      <c r="F3301" t="s">
        <v>139</v>
      </c>
      <c r="G3301">
        <v>24</v>
      </c>
      <c r="H3301">
        <v>85</v>
      </c>
      <c r="I3301">
        <v>0</v>
      </c>
      <c r="J3301">
        <v>92</v>
      </c>
      <c r="K3301">
        <v>80</v>
      </c>
      <c r="L3301">
        <v>-85</v>
      </c>
      <c r="M3301">
        <v>1</v>
      </c>
      <c r="N3301">
        <v>0</v>
      </c>
      <c r="O3301" s="1" t="s">
        <v>5424</v>
      </c>
      <c r="P3301">
        <v>0</v>
      </c>
      <c r="Q3301">
        <v>0</v>
      </c>
      <c r="R3301">
        <v>0</v>
      </c>
      <c r="S3301">
        <v>0</v>
      </c>
      <c r="T3301">
        <v>39.663424999999997</v>
      </c>
      <c r="U3301">
        <f t="shared" si="102"/>
        <v>0</v>
      </c>
      <c r="V3301">
        <f t="shared" si="103"/>
        <v>0</v>
      </c>
    </row>
    <row r="3302" spans="1:22" x14ac:dyDescent="0.2">
      <c r="A3302" t="s">
        <v>164</v>
      </c>
      <c r="B3302" t="s">
        <v>8</v>
      </c>
      <c r="C3302" t="s">
        <v>76</v>
      </c>
      <c r="D3302" t="s">
        <v>77</v>
      </c>
      <c r="E3302" s="1" t="s">
        <v>138</v>
      </c>
      <c r="F3302" t="s">
        <v>139</v>
      </c>
      <c r="G3302">
        <v>19</v>
      </c>
      <c r="H3302">
        <v>58</v>
      </c>
      <c r="I3302">
        <v>0</v>
      </c>
      <c r="J3302">
        <v>103</v>
      </c>
      <c r="K3302">
        <v>86</v>
      </c>
      <c r="L3302">
        <v>-58</v>
      </c>
      <c r="M3302">
        <v>1</v>
      </c>
      <c r="N3302">
        <v>0</v>
      </c>
      <c r="O3302" s="1" t="s">
        <v>5425</v>
      </c>
      <c r="P3302">
        <v>0</v>
      </c>
      <c r="Q3302">
        <v>0</v>
      </c>
      <c r="R3302">
        <v>0</v>
      </c>
      <c r="S3302">
        <v>0</v>
      </c>
      <c r="T3302">
        <v>39.663424999999997</v>
      </c>
      <c r="U3302">
        <f t="shared" si="102"/>
        <v>0</v>
      </c>
      <c r="V3302">
        <f t="shared" si="103"/>
        <v>0</v>
      </c>
    </row>
    <row r="3303" spans="1:22" x14ac:dyDescent="0.2">
      <c r="A3303" t="s">
        <v>164</v>
      </c>
      <c r="B3303" t="s">
        <v>8</v>
      </c>
      <c r="C3303" t="s">
        <v>76</v>
      </c>
      <c r="D3303" t="s">
        <v>77</v>
      </c>
      <c r="E3303" s="1" t="s">
        <v>82</v>
      </c>
      <c r="F3303" t="s">
        <v>83</v>
      </c>
      <c r="G3303" s="1" t="s">
        <v>99</v>
      </c>
      <c r="H3303">
        <v>0</v>
      </c>
      <c r="I3303">
        <v>53</v>
      </c>
      <c r="J3303">
        <v>106</v>
      </c>
      <c r="K3303">
        <v>87</v>
      </c>
      <c r="L3303">
        <v>53</v>
      </c>
      <c r="M3303">
        <v>0</v>
      </c>
      <c r="N3303">
        <v>1</v>
      </c>
      <c r="O3303" s="1" t="s">
        <v>5426</v>
      </c>
      <c r="P3303">
        <v>0</v>
      </c>
      <c r="Q3303">
        <v>0</v>
      </c>
      <c r="R3303">
        <v>0</v>
      </c>
      <c r="S3303">
        <v>0</v>
      </c>
      <c r="T3303">
        <v>39.663424999999997</v>
      </c>
      <c r="U3303">
        <f t="shared" si="102"/>
        <v>0</v>
      </c>
      <c r="V3303">
        <f t="shared" si="103"/>
        <v>0</v>
      </c>
    </row>
    <row r="3304" spans="1:22" x14ac:dyDescent="0.2">
      <c r="A3304" t="s">
        <v>814</v>
      </c>
      <c r="B3304" t="s">
        <v>12</v>
      </c>
      <c r="C3304" t="s">
        <v>76</v>
      </c>
      <c r="D3304" t="s">
        <v>77</v>
      </c>
      <c r="E3304">
        <v>99</v>
      </c>
      <c r="F3304" t="s">
        <v>78</v>
      </c>
      <c r="G3304">
        <v>99</v>
      </c>
      <c r="H3304">
        <v>12706</v>
      </c>
      <c r="I3304">
        <v>0</v>
      </c>
      <c r="J3304">
        <v>99</v>
      </c>
      <c r="K3304">
        <v>98</v>
      </c>
      <c r="L3304">
        <v>-12706</v>
      </c>
      <c r="M3304">
        <v>1</v>
      </c>
      <c r="N3304">
        <v>0</v>
      </c>
      <c r="O3304" s="1" t="s">
        <v>5427</v>
      </c>
      <c r="P3304">
        <v>0</v>
      </c>
      <c r="Q3304">
        <v>0</v>
      </c>
      <c r="R3304">
        <v>0</v>
      </c>
      <c r="S3304">
        <v>0</v>
      </c>
      <c r="T3304">
        <v>41.643896949999998</v>
      </c>
      <c r="U3304">
        <f t="shared" si="102"/>
        <v>0</v>
      </c>
      <c r="V3304">
        <f t="shared" si="103"/>
        <v>0</v>
      </c>
    </row>
    <row r="3305" spans="1:22" x14ac:dyDescent="0.2">
      <c r="A3305" t="s">
        <v>814</v>
      </c>
      <c r="B3305" t="s">
        <v>12</v>
      </c>
      <c r="C3305" t="s">
        <v>76</v>
      </c>
      <c r="D3305" t="s">
        <v>77</v>
      </c>
      <c r="E3305">
        <v>15</v>
      </c>
      <c r="F3305" t="s">
        <v>88</v>
      </c>
      <c r="G3305">
        <v>83</v>
      </c>
      <c r="H3305">
        <v>612</v>
      </c>
      <c r="I3305">
        <v>0</v>
      </c>
      <c r="J3305">
        <v>117</v>
      </c>
      <c r="K3305">
        <v>85</v>
      </c>
      <c r="L3305">
        <v>-612</v>
      </c>
      <c r="M3305">
        <v>1</v>
      </c>
      <c r="N3305">
        <v>0</v>
      </c>
      <c r="O3305" s="1" t="s">
        <v>5428</v>
      </c>
      <c r="P3305">
        <v>0</v>
      </c>
      <c r="Q3305">
        <v>0</v>
      </c>
      <c r="R3305">
        <v>0</v>
      </c>
      <c r="S3305">
        <v>0</v>
      </c>
      <c r="T3305">
        <v>41.643896949999998</v>
      </c>
      <c r="U3305">
        <f t="shared" si="102"/>
        <v>0</v>
      </c>
      <c r="V3305">
        <f t="shared" si="103"/>
        <v>0</v>
      </c>
    </row>
    <row r="3306" spans="1:22" x14ac:dyDescent="0.2">
      <c r="A3306" t="s">
        <v>814</v>
      </c>
      <c r="B3306" t="s">
        <v>12</v>
      </c>
      <c r="C3306" t="s">
        <v>76</v>
      </c>
      <c r="D3306" t="s">
        <v>77</v>
      </c>
      <c r="E3306">
        <v>21</v>
      </c>
      <c r="F3306" t="s">
        <v>212</v>
      </c>
      <c r="G3306">
        <v>97</v>
      </c>
      <c r="H3306">
        <v>94</v>
      </c>
      <c r="I3306">
        <v>0</v>
      </c>
      <c r="J3306">
        <v>95</v>
      </c>
      <c r="K3306">
        <v>90</v>
      </c>
      <c r="L3306">
        <v>-94</v>
      </c>
      <c r="M3306">
        <v>1</v>
      </c>
      <c r="N3306">
        <v>0</v>
      </c>
      <c r="O3306" s="1" t="s">
        <v>5429</v>
      </c>
      <c r="P3306">
        <v>0</v>
      </c>
      <c r="Q3306">
        <v>0</v>
      </c>
      <c r="R3306">
        <v>0</v>
      </c>
      <c r="S3306">
        <v>0</v>
      </c>
      <c r="T3306">
        <v>41.643896949999998</v>
      </c>
      <c r="U3306">
        <f t="shared" si="102"/>
        <v>0</v>
      </c>
      <c r="V3306">
        <f t="shared" si="103"/>
        <v>0</v>
      </c>
    </row>
    <row r="3307" spans="1:22" x14ac:dyDescent="0.2">
      <c r="A3307" t="s">
        <v>828</v>
      </c>
      <c r="B3307" t="s">
        <v>13</v>
      </c>
      <c r="C3307" t="s">
        <v>76</v>
      </c>
      <c r="D3307" t="s">
        <v>77</v>
      </c>
      <c r="E3307">
        <v>11</v>
      </c>
      <c r="F3307" t="s">
        <v>127</v>
      </c>
      <c r="G3307">
        <v>59</v>
      </c>
      <c r="H3307">
        <v>16922</v>
      </c>
      <c r="I3307">
        <v>0</v>
      </c>
      <c r="J3307">
        <v>57</v>
      </c>
      <c r="K3307">
        <v>68</v>
      </c>
      <c r="L3307">
        <v>-16922</v>
      </c>
      <c r="M3307">
        <v>1</v>
      </c>
      <c r="N3307">
        <v>0</v>
      </c>
      <c r="O3307" s="1" t="s">
        <v>5430</v>
      </c>
      <c r="P3307">
        <v>0</v>
      </c>
      <c r="Q3307">
        <v>0</v>
      </c>
      <c r="R3307">
        <v>0</v>
      </c>
      <c r="S3307">
        <v>0</v>
      </c>
      <c r="T3307">
        <v>100.6357569</v>
      </c>
      <c r="U3307">
        <f t="shared" si="102"/>
        <v>0</v>
      </c>
      <c r="V3307">
        <f t="shared" si="103"/>
        <v>0</v>
      </c>
    </row>
    <row r="3308" spans="1:22" x14ac:dyDescent="0.2">
      <c r="A3308" t="s">
        <v>828</v>
      </c>
      <c r="B3308" t="s">
        <v>13</v>
      </c>
      <c r="C3308" t="s">
        <v>76</v>
      </c>
      <c r="D3308" t="s">
        <v>77</v>
      </c>
      <c r="E3308">
        <v>18</v>
      </c>
      <c r="F3308" t="s">
        <v>147</v>
      </c>
      <c r="G3308">
        <v>91</v>
      </c>
      <c r="H3308">
        <v>4597</v>
      </c>
      <c r="I3308">
        <v>0</v>
      </c>
      <c r="J3308">
        <v>65</v>
      </c>
      <c r="K3308">
        <v>69</v>
      </c>
      <c r="L3308">
        <v>-4597</v>
      </c>
      <c r="M3308">
        <v>1</v>
      </c>
      <c r="N3308">
        <v>0</v>
      </c>
      <c r="O3308" s="1" t="s">
        <v>5431</v>
      </c>
      <c r="P3308">
        <v>0</v>
      </c>
      <c r="Q3308">
        <v>0</v>
      </c>
      <c r="R3308">
        <v>0</v>
      </c>
      <c r="S3308">
        <v>0</v>
      </c>
      <c r="T3308">
        <v>100.6357569</v>
      </c>
      <c r="U3308">
        <f t="shared" si="102"/>
        <v>0</v>
      </c>
      <c r="V3308">
        <f t="shared" si="103"/>
        <v>0</v>
      </c>
    </row>
    <row r="3309" spans="1:22" x14ac:dyDescent="0.2">
      <c r="A3309" t="s">
        <v>828</v>
      </c>
      <c r="B3309" t="s">
        <v>13</v>
      </c>
      <c r="C3309" t="s">
        <v>76</v>
      </c>
      <c r="D3309" t="s">
        <v>77</v>
      </c>
      <c r="E3309">
        <v>14</v>
      </c>
      <c r="F3309" t="s">
        <v>261</v>
      </c>
      <c r="G3309">
        <v>71</v>
      </c>
      <c r="H3309">
        <v>466</v>
      </c>
      <c r="I3309">
        <v>0</v>
      </c>
      <c r="J3309">
        <v>87</v>
      </c>
      <c r="K3309">
        <v>89</v>
      </c>
      <c r="L3309">
        <v>-466</v>
      </c>
      <c r="M3309">
        <v>1</v>
      </c>
      <c r="N3309">
        <v>0</v>
      </c>
      <c r="O3309" s="1" t="s">
        <v>5432</v>
      </c>
      <c r="P3309">
        <v>0</v>
      </c>
      <c r="Q3309">
        <v>0</v>
      </c>
      <c r="R3309">
        <v>0</v>
      </c>
      <c r="S3309">
        <v>0</v>
      </c>
      <c r="T3309">
        <v>100.6357569</v>
      </c>
      <c r="U3309">
        <f t="shared" si="102"/>
        <v>0</v>
      </c>
      <c r="V3309">
        <f t="shared" si="103"/>
        <v>0</v>
      </c>
    </row>
    <row r="3310" spans="1:22" x14ac:dyDescent="0.2">
      <c r="A3310" t="s">
        <v>857</v>
      </c>
      <c r="B3310" t="s">
        <v>14</v>
      </c>
      <c r="C3310" t="s">
        <v>76</v>
      </c>
      <c r="D3310" t="s">
        <v>77</v>
      </c>
      <c r="E3310" s="1" t="s">
        <v>138</v>
      </c>
      <c r="F3310" t="s">
        <v>139</v>
      </c>
      <c r="G3310">
        <v>23</v>
      </c>
      <c r="H3310">
        <v>765469</v>
      </c>
      <c r="I3310">
        <v>0</v>
      </c>
      <c r="J3310">
        <v>56</v>
      </c>
      <c r="K3310">
        <v>61</v>
      </c>
      <c r="L3310">
        <v>-765469</v>
      </c>
      <c r="M3310">
        <v>1</v>
      </c>
      <c r="N3310">
        <v>0</v>
      </c>
      <c r="O3310">
        <v>2.3474716661805299E-3</v>
      </c>
      <c r="P3310">
        <v>0</v>
      </c>
      <c r="Q3310">
        <v>0</v>
      </c>
      <c r="R3310">
        <v>0</v>
      </c>
      <c r="S3310">
        <v>0</v>
      </c>
      <c r="T3310">
        <v>30.8574895</v>
      </c>
      <c r="U3310">
        <f t="shared" si="102"/>
        <v>0</v>
      </c>
      <c r="V3310">
        <f t="shared" si="103"/>
        <v>0</v>
      </c>
    </row>
    <row r="3311" spans="1:22" x14ac:dyDescent="0.2">
      <c r="A3311" t="s">
        <v>857</v>
      </c>
      <c r="B3311" t="s">
        <v>14</v>
      </c>
      <c r="C3311" t="s">
        <v>76</v>
      </c>
      <c r="D3311" t="s">
        <v>77</v>
      </c>
      <c r="E3311">
        <v>11</v>
      </c>
      <c r="F3311" t="s">
        <v>127</v>
      </c>
      <c r="G3311">
        <v>56</v>
      </c>
      <c r="H3311">
        <v>91117</v>
      </c>
      <c r="I3311">
        <v>0</v>
      </c>
      <c r="J3311">
        <v>56</v>
      </c>
      <c r="K3311">
        <v>77</v>
      </c>
      <c r="L3311">
        <v>-91117</v>
      </c>
      <c r="M3311">
        <v>1</v>
      </c>
      <c r="N3311">
        <v>0</v>
      </c>
      <c r="O3311" s="1" t="s">
        <v>5433</v>
      </c>
      <c r="P3311">
        <v>0</v>
      </c>
      <c r="Q3311">
        <v>0</v>
      </c>
      <c r="R3311">
        <v>0</v>
      </c>
      <c r="S3311">
        <v>0</v>
      </c>
      <c r="T3311">
        <v>30.8574895</v>
      </c>
      <c r="U3311">
        <f t="shared" si="102"/>
        <v>0</v>
      </c>
      <c r="V3311">
        <f t="shared" si="103"/>
        <v>0</v>
      </c>
    </row>
    <row r="3312" spans="1:22" x14ac:dyDescent="0.2">
      <c r="A3312" t="s">
        <v>857</v>
      </c>
      <c r="B3312" t="s">
        <v>14</v>
      </c>
      <c r="C3312" t="s">
        <v>76</v>
      </c>
      <c r="D3312" t="s">
        <v>77</v>
      </c>
      <c r="E3312" s="1" t="s">
        <v>163</v>
      </c>
      <c r="F3312" t="s">
        <v>224</v>
      </c>
      <c r="G3312">
        <v>41</v>
      </c>
      <c r="H3312">
        <v>52034</v>
      </c>
      <c r="I3312">
        <v>0</v>
      </c>
      <c r="J3312">
        <v>41</v>
      </c>
      <c r="K3312">
        <v>70</v>
      </c>
      <c r="L3312">
        <v>-52034</v>
      </c>
      <c r="M3312">
        <v>1</v>
      </c>
      <c r="N3312">
        <v>0</v>
      </c>
      <c r="O3312" s="1" t="s">
        <v>5434</v>
      </c>
      <c r="P3312">
        <v>0</v>
      </c>
      <c r="Q3312">
        <v>0</v>
      </c>
      <c r="R3312">
        <v>0</v>
      </c>
      <c r="S3312">
        <v>0</v>
      </c>
      <c r="T3312">
        <v>30.8574895</v>
      </c>
      <c r="U3312">
        <f t="shared" si="102"/>
        <v>0</v>
      </c>
      <c r="V3312">
        <f t="shared" si="103"/>
        <v>0</v>
      </c>
    </row>
    <row r="3313" spans="1:22" x14ac:dyDescent="0.2">
      <c r="A3313" t="s">
        <v>857</v>
      </c>
      <c r="B3313" t="s">
        <v>14</v>
      </c>
      <c r="C3313" t="s">
        <v>76</v>
      </c>
      <c r="D3313" t="s">
        <v>77</v>
      </c>
      <c r="E3313" s="1" t="s">
        <v>138</v>
      </c>
      <c r="F3313" t="s">
        <v>139</v>
      </c>
      <c r="G3313">
        <v>16</v>
      </c>
      <c r="H3313">
        <v>35116</v>
      </c>
      <c r="I3313">
        <v>0</v>
      </c>
      <c r="J3313">
        <v>63</v>
      </c>
      <c r="K3313">
        <v>73</v>
      </c>
      <c r="L3313">
        <v>-35116</v>
      </c>
      <c r="M3313">
        <v>1</v>
      </c>
      <c r="N3313">
        <v>0</v>
      </c>
      <c r="O3313" s="1" t="s">
        <v>5435</v>
      </c>
      <c r="P3313">
        <v>0</v>
      </c>
      <c r="Q3313">
        <v>0</v>
      </c>
      <c r="R3313">
        <v>0</v>
      </c>
      <c r="S3313">
        <v>0</v>
      </c>
      <c r="T3313">
        <v>30.8574895</v>
      </c>
      <c r="U3313">
        <f t="shared" si="102"/>
        <v>0</v>
      </c>
      <c r="V3313">
        <f t="shared" si="103"/>
        <v>0</v>
      </c>
    </row>
    <row r="3314" spans="1:22" x14ac:dyDescent="0.2">
      <c r="A3314" t="s">
        <v>857</v>
      </c>
      <c r="B3314" t="s">
        <v>14</v>
      </c>
      <c r="C3314" t="s">
        <v>76</v>
      </c>
      <c r="D3314" t="s">
        <v>77</v>
      </c>
      <c r="E3314" s="1" t="s">
        <v>155</v>
      </c>
      <c r="F3314" t="s">
        <v>156</v>
      </c>
      <c r="G3314" s="1" t="s">
        <v>82</v>
      </c>
      <c r="H3314">
        <v>22335</v>
      </c>
      <c r="I3314">
        <v>0</v>
      </c>
      <c r="J3314">
        <v>55</v>
      </c>
      <c r="K3314">
        <v>59</v>
      </c>
      <c r="L3314">
        <v>-22335</v>
      </c>
      <c r="M3314">
        <v>1</v>
      </c>
      <c r="N3314">
        <v>0</v>
      </c>
      <c r="O3314" s="1" t="s">
        <v>5436</v>
      </c>
      <c r="P3314">
        <v>0</v>
      </c>
      <c r="Q3314">
        <v>0</v>
      </c>
      <c r="R3314">
        <v>0</v>
      </c>
      <c r="S3314">
        <v>0</v>
      </c>
      <c r="T3314">
        <v>30.8574895</v>
      </c>
      <c r="U3314">
        <f t="shared" si="102"/>
        <v>0</v>
      </c>
      <c r="V3314">
        <f t="shared" si="103"/>
        <v>0</v>
      </c>
    </row>
    <row r="3315" spans="1:22" x14ac:dyDescent="0.2">
      <c r="A3315" t="s">
        <v>857</v>
      </c>
      <c r="B3315" t="s">
        <v>14</v>
      </c>
      <c r="C3315" t="s">
        <v>76</v>
      </c>
      <c r="D3315" t="s">
        <v>77</v>
      </c>
      <c r="E3315" s="1" t="s">
        <v>138</v>
      </c>
      <c r="F3315" t="s">
        <v>139</v>
      </c>
      <c r="G3315">
        <v>19</v>
      </c>
      <c r="H3315">
        <v>16372</v>
      </c>
      <c r="I3315">
        <v>0</v>
      </c>
      <c r="J3315">
        <v>76</v>
      </c>
      <c r="K3315">
        <v>86</v>
      </c>
      <c r="L3315">
        <v>-16372</v>
      </c>
      <c r="M3315">
        <v>1</v>
      </c>
      <c r="N3315">
        <v>0</v>
      </c>
      <c r="O3315" s="1" t="s">
        <v>5437</v>
      </c>
      <c r="P3315">
        <v>0</v>
      </c>
      <c r="Q3315">
        <v>0</v>
      </c>
      <c r="R3315">
        <v>0</v>
      </c>
      <c r="S3315">
        <v>0</v>
      </c>
      <c r="T3315">
        <v>30.8574895</v>
      </c>
      <c r="U3315">
        <f t="shared" si="102"/>
        <v>0</v>
      </c>
      <c r="V3315">
        <f t="shared" si="103"/>
        <v>0</v>
      </c>
    </row>
    <row r="3316" spans="1:22" x14ac:dyDescent="0.2">
      <c r="A3316" t="s">
        <v>857</v>
      </c>
      <c r="B3316" t="s">
        <v>14</v>
      </c>
      <c r="C3316" t="s">
        <v>76</v>
      </c>
      <c r="D3316" t="s">
        <v>77</v>
      </c>
      <c r="E3316" s="1" t="s">
        <v>138</v>
      </c>
      <c r="F3316" t="s">
        <v>139</v>
      </c>
      <c r="G3316">
        <v>24</v>
      </c>
      <c r="H3316">
        <v>7436</v>
      </c>
      <c r="I3316">
        <v>94975</v>
      </c>
      <c r="J3316">
        <v>72</v>
      </c>
      <c r="K3316">
        <v>66</v>
      </c>
      <c r="L3316">
        <v>87539</v>
      </c>
      <c r="M3316">
        <v>7.2609387663434596E-2</v>
      </c>
      <c r="N3316" s="1" t="s">
        <v>5438</v>
      </c>
      <c r="O3316" s="1" t="s">
        <v>5439</v>
      </c>
      <c r="P3316">
        <v>0</v>
      </c>
      <c r="Q3316">
        <v>0</v>
      </c>
      <c r="R3316">
        <v>0</v>
      </c>
      <c r="S3316">
        <v>0</v>
      </c>
      <c r="T3316">
        <v>30.8574895</v>
      </c>
      <c r="U3316">
        <f t="shared" si="102"/>
        <v>0</v>
      </c>
      <c r="V3316">
        <f t="shared" si="103"/>
        <v>0</v>
      </c>
    </row>
    <row r="3317" spans="1:22" x14ac:dyDescent="0.2">
      <c r="A3317" t="s">
        <v>857</v>
      </c>
      <c r="B3317" t="s">
        <v>14</v>
      </c>
      <c r="C3317" t="s">
        <v>76</v>
      </c>
      <c r="D3317" t="s">
        <v>77</v>
      </c>
      <c r="E3317" s="1" t="s">
        <v>138</v>
      </c>
      <c r="F3317" t="s">
        <v>139</v>
      </c>
      <c r="G3317">
        <v>20</v>
      </c>
      <c r="H3317">
        <v>10239</v>
      </c>
      <c r="I3317">
        <v>0</v>
      </c>
      <c r="J3317">
        <v>64</v>
      </c>
      <c r="K3317">
        <v>93</v>
      </c>
      <c r="L3317">
        <v>-10239</v>
      </c>
      <c r="M3317">
        <v>1</v>
      </c>
      <c r="N3317">
        <v>0</v>
      </c>
      <c r="O3317" s="1" t="s">
        <v>5440</v>
      </c>
      <c r="P3317">
        <v>0</v>
      </c>
      <c r="Q3317">
        <v>0</v>
      </c>
      <c r="R3317">
        <v>0</v>
      </c>
      <c r="S3317">
        <v>0</v>
      </c>
      <c r="T3317">
        <v>30.8574895</v>
      </c>
      <c r="U3317">
        <f t="shared" si="102"/>
        <v>0</v>
      </c>
      <c r="V3317">
        <f t="shared" si="103"/>
        <v>0</v>
      </c>
    </row>
    <row r="3318" spans="1:22" x14ac:dyDescent="0.2">
      <c r="A3318" t="s">
        <v>857</v>
      </c>
      <c r="B3318" t="s">
        <v>14</v>
      </c>
      <c r="C3318" t="s">
        <v>76</v>
      </c>
      <c r="D3318" t="s">
        <v>77</v>
      </c>
      <c r="E3318" s="1" t="s">
        <v>82</v>
      </c>
      <c r="F3318" t="s">
        <v>83</v>
      </c>
      <c r="G3318">
        <v>12</v>
      </c>
      <c r="H3318">
        <v>0</v>
      </c>
      <c r="I3318">
        <v>1218</v>
      </c>
      <c r="J3318">
        <v>103</v>
      </c>
      <c r="K3318">
        <v>90</v>
      </c>
      <c r="L3318">
        <v>1218</v>
      </c>
      <c r="M3318">
        <v>0</v>
      </c>
      <c r="N3318">
        <v>1</v>
      </c>
      <c r="O3318" s="1" t="s">
        <v>5441</v>
      </c>
      <c r="P3318">
        <v>0</v>
      </c>
      <c r="Q3318">
        <v>0</v>
      </c>
      <c r="R3318">
        <v>0</v>
      </c>
      <c r="S3318">
        <v>0</v>
      </c>
      <c r="T3318">
        <v>30.8574895</v>
      </c>
      <c r="U3318">
        <f t="shared" si="102"/>
        <v>0</v>
      </c>
      <c r="V3318">
        <f t="shared" si="103"/>
        <v>0</v>
      </c>
    </row>
    <row r="3319" spans="1:22" x14ac:dyDescent="0.2">
      <c r="A3319" t="s">
        <v>920</v>
      </c>
      <c r="B3319" t="s">
        <v>16</v>
      </c>
      <c r="C3319" t="s">
        <v>76</v>
      </c>
      <c r="D3319" t="s">
        <v>77</v>
      </c>
      <c r="E3319" s="1" t="s">
        <v>138</v>
      </c>
      <c r="F3319" t="s">
        <v>139</v>
      </c>
      <c r="G3319">
        <v>23</v>
      </c>
      <c r="H3319">
        <v>10070</v>
      </c>
      <c r="I3319">
        <v>0</v>
      </c>
      <c r="J3319">
        <v>83</v>
      </c>
      <c r="K3319">
        <v>61</v>
      </c>
      <c r="L3319">
        <v>-10070</v>
      </c>
      <c r="M3319">
        <v>1</v>
      </c>
      <c r="N3319">
        <v>0</v>
      </c>
      <c r="O3319" s="1" t="s">
        <v>5442</v>
      </c>
      <c r="P3319">
        <v>0</v>
      </c>
      <c r="Q3319">
        <v>0</v>
      </c>
      <c r="R3319">
        <v>0</v>
      </c>
      <c r="S3319">
        <v>0</v>
      </c>
      <c r="T3319">
        <v>8.9011500350000006</v>
      </c>
      <c r="U3319">
        <f t="shared" si="102"/>
        <v>0</v>
      </c>
      <c r="V3319">
        <f t="shared" si="103"/>
        <v>0</v>
      </c>
    </row>
    <row r="3320" spans="1:22" x14ac:dyDescent="0.2">
      <c r="A3320" t="s">
        <v>920</v>
      </c>
      <c r="B3320" t="s">
        <v>16</v>
      </c>
      <c r="C3320" t="s">
        <v>76</v>
      </c>
      <c r="D3320" t="s">
        <v>77</v>
      </c>
      <c r="E3320">
        <v>11</v>
      </c>
      <c r="F3320" t="s">
        <v>127</v>
      </c>
      <c r="G3320">
        <v>56</v>
      </c>
      <c r="H3320">
        <v>89055</v>
      </c>
      <c r="I3320">
        <v>0</v>
      </c>
      <c r="J3320">
        <v>58</v>
      </c>
      <c r="K3320">
        <v>77</v>
      </c>
      <c r="L3320">
        <v>-89055</v>
      </c>
      <c r="M3320">
        <v>1</v>
      </c>
      <c r="N3320">
        <v>0</v>
      </c>
      <c r="O3320" s="1" t="s">
        <v>5443</v>
      </c>
      <c r="P3320">
        <v>0</v>
      </c>
      <c r="Q3320">
        <v>0</v>
      </c>
      <c r="R3320">
        <v>0</v>
      </c>
      <c r="S3320">
        <v>0</v>
      </c>
      <c r="T3320">
        <v>8.9011500350000006</v>
      </c>
      <c r="U3320">
        <f t="shared" si="102"/>
        <v>0</v>
      </c>
      <c r="V3320">
        <f t="shared" si="103"/>
        <v>0</v>
      </c>
    </row>
    <row r="3321" spans="1:22" x14ac:dyDescent="0.2">
      <c r="A3321" t="s">
        <v>920</v>
      </c>
      <c r="B3321" t="s">
        <v>16</v>
      </c>
      <c r="C3321" t="s">
        <v>76</v>
      </c>
      <c r="D3321" t="s">
        <v>77</v>
      </c>
      <c r="E3321" s="1" t="s">
        <v>89</v>
      </c>
      <c r="F3321" t="s">
        <v>90</v>
      </c>
      <c r="G3321">
        <v>37</v>
      </c>
      <c r="H3321">
        <v>703</v>
      </c>
      <c r="I3321">
        <v>0</v>
      </c>
      <c r="J3321">
        <v>56</v>
      </c>
      <c r="K3321">
        <v>50</v>
      </c>
      <c r="L3321">
        <v>-703</v>
      </c>
      <c r="M3321">
        <v>1</v>
      </c>
      <c r="N3321">
        <v>0</v>
      </c>
      <c r="O3321" s="1" t="s">
        <v>5444</v>
      </c>
      <c r="P3321">
        <v>0</v>
      </c>
      <c r="Q3321">
        <v>0</v>
      </c>
      <c r="R3321">
        <v>0</v>
      </c>
      <c r="S3321">
        <v>0</v>
      </c>
      <c r="T3321">
        <v>8.9011500350000006</v>
      </c>
      <c r="U3321">
        <f t="shared" si="102"/>
        <v>0</v>
      </c>
      <c r="V3321">
        <f t="shared" si="103"/>
        <v>0</v>
      </c>
    </row>
    <row r="3322" spans="1:22" x14ac:dyDescent="0.2">
      <c r="A3322" t="s">
        <v>920</v>
      </c>
      <c r="B3322" t="s">
        <v>16</v>
      </c>
      <c r="C3322" t="s">
        <v>76</v>
      </c>
      <c r="D3322" t="s">
        <v>77</v>
      </c>
      <c r="E3322">
        <v>12</v>
      </c>
      <c r="F3322" t="s">
        <v>194</v>
      </c>
      <c r="G3322">
        <v>67</v>
      </c>
      <c r="H3322">
        <v>231</v>
      </c>
      <c r="I3322">
        <v>0</v>
      </c>
      <c r="J3322">
        <v>66</v>
      </c>
      <c r="K3322">
        <v>62</v>
      </c>
      <c r="L3322">
        <v>-231</v>
      </c>
      <c r="M3322">
        <v>1</v>
      </c>
      <c r="N3322">
        <v>0</v>
      </c>
      <c r="O3322" s="1" t="s">
        <v>5445</v>
      </c>
      <c r="P3322">
        <v>0</v>
      </c>
      <c r="Q3322">
        <v>0</v>
      </c>
      <c r="R3322">
        <v>0</v>
      </c>
      <c r="S3322">
        <v>0</v>
      </c>
      <c r="T3322">
        <v>8.9011500350000006</v>
      </c>
      <c r="U3322">
        <f t="shared" si="102"/>
        <v>0</v>
      </c>
      <c r="V3322">
        <f t="shared" si="103"/>
        <v>0</v>
      </c>
    </row>
    <row r="3323" spans="1:22" x14ac:dyDescent="0.2">
      <c r="A3323" t="s">
        <v>920</v>
      </c>
      <c r="B3323" t="s">
        <v>16</v>
      </c>
      <c r="C3323" t="s">
        <v>76</v>
      </c>
      <c r="D3323" t="s">
        <v>77</v>
      </c>
      <c r="E3323" s="1" t="s">
        <v>82</v>
      </c>
      <c r="F3323" t="s">
        <v>83</v>
      </c>
      <c r="G3323">
        <v>12</v>
      </c>
      <c r="H3323">
        <v>0</v>
      </c>
      <c r="I3323">
        <v>3798</v>
      </c>
      <c r="J3323">
        <v>103</v>
      </c>
      <c r="K3323">
        <v>88</v>
      </c>
      <c r="L3323">
        <v>3798</v>
      </c>
      <c r="M3323">
        <v>0</v>
      </c>
      <c r="N3323">
        <v>1</v>
      </c>
      <c r="O3323" s="1" t="s">
        <v>5446</v>
      </c>
      <c r="P3323">
        <v>0</v>
      </c>
      <c r="Q3323">
        <v>0</v>
      </c>
      <c r="R3323">
        <v>0</v>
      </c>
      <c r="S3323">
        <v>0</v>
      </c>
      <c r="T3323">
        <v>8.9011500350000006</v>
      </c>
      <c r="U3323">
        <f t="shared" si="102"/>
        <v>0</v>
      </c>
      <c r="V3323">
        <f t="shared" si="103"/>
        <v>0</v>
      </c>
    </row>
    <row r="3324" spans="1:22" x14ac:dyDescent="0.2">
      <c r="A3324" t="s">
        <v>1011</v>
      </c>
      <c r="B3324" t="s">
        <v>17</v>
      </c>
      <c r="C3324" t="s">
        <v>76</v>
      </c>
      <c r="D3324" t="s">
        <v>77</v>
      </c>
      <c r="E3324">
        <v>18</v>
      </c>
      <c r="F3324" t="s">
        <v>147</v>
      </c>
      <c r="G3324">
        <v>91</v>
      </c>
      <c r="H3324">
        <v>383</v>
      </c>
      <c r="I3324">
        <v>0</v>
      </c>
      <c r="J3324">
        <v>82</v>
      </c>
      <c r="K3324">
        <v>69</v>
      </c>
      <c r="L3324">
        <v>-383</v>
      </c>
      <c r="M3324">
        <v>1</v>
      </c>
      <c r="N3324">
        <v>0</v>
      </c>
      <c r="O3324" s="1" t="s">
        <v>5447</v>
      </c>
      <c r="P3324">
        <v>0</v>
      </c>
      <c r="Q3324">
        <v>0</v>
      </c>
      <c r="R3324">
        <v>0</v>
      </c>
      <c r="S3324">
        <v>0</v>
      </c>
      <c r="T3324">
        <v>10.352380159999999</v>
      </c>
      <c r="U3324">
        <f t="shared" si="102"/>
        <v>0</v>
      </c>
      <c r="V3324">
        <f t="shared" si="103"/>
        <v>0</v>
      </c>
    </row>
    <row r="3325" spans="1:22" x14ac:dyDescent="0.2">
      <c r="A3325" t="s">
        <v>1011</v>
      </c>
      <c r="B3325" t="s">
        <v>17</v>
      </c>
      <c r="C3325" t="s">
        <v>76</v>
      </c>
      <c r="D3325" t="s">
        <v>77</v>
      </c>
      <c r="E3325">
        <v>12</v>
      </c>
      <c r="F3325" t="s">
        <v>194</v>
      </c>
      <c r="G3325">
        <v>66</v>
      </c>
      <c r="H3325">
        <v>257</v>
      </c>
      <c r="I3325">
        <v>0</v>
      </c>
      <c r="J3325">
        <v>51</v>
      </c>
      <c r="K3325">
        <v>57</v>
      </c>
      <c r="L3325">
        <v>-257</v>
      </c>
      <c r="M3325">
        <v>1</v>
      </c>
      <c r="N3325">
        <v>0</v>
      </c>
      <c r="O3325" s="1" t="s">
        <v>5448</v>
      </c>
      <c r="P3325">
        <v>0</v>
      </c>
      <c r="Q3325">
        <v>0</v>
      </c>
      <c r="R3325">
        <v>0</v>
      </c>
      <c r="S3325">
        <v>0</v>
      </c>
      <c r="T3325">
        <v>10.352380159999999</v>
      </c>
      <c r="U3325">
        <f t="shared" si="102"/>
        <v>0</v>
      </c>
      <c r="V3325">
        <f t="shared" si="103"/>
        <v>0</v>
      </c>
    </row>
    <row r="3326" spans="1:22" x14ac:dyDescent="0.2">
      <c r="A3326" t="s">
        <v>1068</v>
      </c>
      <c r="B3326" t="s">
        <v>18</v>
      </c>
      <c r="C3326" t="s">
        <v>76</v>
      </c>
      <c r="D3326" t="s">
        <v>77</v>
      </c>
      <c r="E3326" s="1" t="s">
        <v>138</v>
      </c>
      <c r="F3326" t="s">
        <v>139</v>
      </c>
      <c r="G3326">
        <v>19</v>
      </c>
      <c r="H3326">
        <v>889</v>
      </c>
      <c r="I3326">
        <v>0</v>
      </c>
      <c r="J3326">
        <v>91</v>
      </c>
      <c r="K3326">
        <v>86</v>
      </c>
      <c r="L3326">
        <v>-889</v>
      </c>
      <c r="M3326">
        <v>1</v>
      </c>
      <c r="N3326">
        <v>0</v>
      </c>
      <c r="O3326" s="1" t="s">
        <v>5449</v>
      </c>
      <c r="P3326">
        <v>0</v>
      </c>
      <c r="Q3326">
        <v>0</v>
      </c>
      <c r="R3326">
        <v>0</v>
      </c>
      <c r="S3326">
        <v>0</v>
      </c>
      <c r="T3326">
        <v>6.7062261379999999</v>
      </c>
      <c r="U3326">
        <f t="shared" si="102"/>
        <v>0</v>
      </c>
      <c r="V3326">
        <f t="shared" si="103"/>
        <v>0</v>
      </c>
    </row>
    <row r="3327" spans="1:22" x14ac:dyDescent="0.2">
      <c r="A3327" t="s">
        <v>1068</v>
      </c>
      <c r="B3327" t="s">
        <v>18</v>
      </c>
      <c r="C3327" t="s">
        <v>76</v>
      </c>
      <c r="D3327" t="s">
        <v>77</v>
      </c>
      <c r="E3327" s="1" t="s">
        <v>85</v>
      </c>
      <c r="F3327" t="s">
        <v>86</v>
      </c>
      <c r="G3327">
        <v>27</v>
      </c>
      <c r="H3327">
        <v>174</v>
      </c>
      <c r="I3327">
        <v>0</v>
      </c>
      <c r="J3327">
        <v>138</v>
      </c>
      <c r="K3327">
        <v>91</v>
      </c>
      <c r="L3327">
        <v>-174</v>
      </c>
      <c r="M3327">
        <v>1</v>
      </c>
      <c r="N3327">
        <v>0</v>
      </c>
      <c r="O3327" s="1" t="s">
        <v>5450</v>
      </c>
      <c r="P3327">
        <v>0</v>
      </c>
      <c r="Q3327">
        <v>0</v>
      </c>
      <c r="R3327">
        <v>0</v>
      </c>
      <c r="S3327">
        <v>0</v>
      </c>
      <c r="T3327">
        <v>6.7062261379999999</v>
      </c>
      <c r="U3327">
        <f t="shared" si="102"/>
        <v>0</v>
      </c>
      <c r="V3327">
        <f t="shared" si="103"/>
        <v>0</v>
      </c>
    </row>
    <row r="3328" spans="1:22" x14ac:dyDescent="0.2">
      <c r="A3328" t="s">
        <v>1068</v>
      </c>
      <c r="B3328" t="s">
        <v>18</v>
      </c>
      <c r="C3328" t="s">
        <v>76</v>
      </c>
      <c r="D3328" t="s">
        <v>77</v>
      </c>
      <c r="E3328">
        <v>11</v>
      </c>
      <c r="F3328" t="s">
        <v>127</v>
      </c>
      <c r="G3328">
        <v>59</v>
      </c>
      <c r="H3328">
        <v>135</v>
      </c>
      <c r="I3328">
        <v>0</v>
      </c>
      <c r="J3328">
        <v>87</v>
      </c>
      <c r="K3328">
        <v>68</v>
      </c>
      <c r="L3328">
        <v>-135</v>
      </c>
      <c r="M3328">
        <v>1</v>
      </c>
      <c r="N3328">
        <v>0</v>
      </c>
      <c r="O3328" s="1" t="s">
        <v>5451</v>
      </c>
      <c r="P3328">
        <v>0</v>
      </c>
      <c r="Q3328">
        <v>0</v>
      </c>
      <c r="R3328">
        <v>0</v>
      </c>
      <c r="S3328">
        <v>0</v>
      </c>
      <c r="T3328">
        <v>6.7062261379999999</v>
      </c>
      <c r="U3328">
        <f t="shared" si="102"/>
        <v>0</v>
      </c>
      <c r="V3328">
        <f t="shared" si="103"/>
        <v>0</v>
      </c>
    </row>
    <row r="3329" spans="1:22" x14ac:dyDescent="0.2">
      <c r="A3329" t="s">
        <v>1068</v>
      </c>
      <c r="B3329" t="s">
        <v>18</v>
      </c>
      <c r="C3329" t="s">
        <v>76</v>
      </c>
      <c r="D3329" t="s">
        <v>77</v>
      </c>
      <c r="E3329">
        <v>12</v>
      </c>
      <c r="F3329" t="s">
        <v>194</v>
      </c>
      <c r="G3329">
        <v>65</v>
      </c>
      <c r="H3329">
        <v>36</v>
      </c>
      <c r="I3329">
        <v>0</v>
      </c>
      <c r="J3329">
        <v>99</v>
      </c>
      <c r="K3329">
        <v>84</v>
      </c>
      <c r="L3329">
        <v>-36</v>
      </c>
      <c r="M3329">
        <v>1</v>
      </c>
      <c r="N3329">
        <v>0</v>
      </c>
      <c r="O3329" s="1" t="s">
        <v>5452</v>
      </c>
      <c r="P3329">
        <v>0</v>
      </c>
      <c r="Q3329">
        <v>0</v>
      </c>
      <c r="R3329">
        <v>0</v>
      </c>
      <c r="S3329">
        <v>0</v>
      </c>
      <c r="T3329">
        <v>6.7062261379999999</v>
      </c>
      <c r="U3329">
        <f t="shared" si="102"/>
        <v>0</v>
      </c>
      <c r="V3329">
        <f t="shared" si="103"/>
        <v>0</v>
      </c>
    </row>
    <row r="3330" spans="1:22" x14ac:dyDescent="0.2">
      <c r="A3330" t="s">
        <v>1068</v>
      </c>
      <c r="B3330" t="s">
        <v>18</v>
      </c>
      <c r="C3330" t="s">
        <v>76</v>
      </c>
      <c r="D3330" t="s">
        <v>77</v>
      </c>
      <c r="E3330">
        <v>13</v>
      </c>
      <c r="F3330" t="s">
        <v>91</v>
      </c>
      <c r="G3330">
        <v>68</v>
      </c>
      <c r="H3330">
        <v>188</v>
      </c>
      <c r="I3330">
        <v>0</v>
      </c>
      <c r="J3330">
        <v>122</v>
      </c>
      <c r="K3330">
        <v>85</v>
      </c>
      <c r="L3330">
        <v>-188</v>
      </c>
      <c r="M3330">
        <v>1</v>
      </c>
      <c r="N3330">
        <v>0</v>
      </c>
      <c r="O3330" s="1" t="s">
        <v>5453</v>
      </c>
      <c r="P3330">
        <v>0</v>
      </c>
      <c r="Q3330">
        <v>0</v>
      </c>
      <c r="R3330">
        <v>0</v>
      </c>
      <c r="S3330">
        <v>0</v>
      </c>
      <c r="T3330">
        <v>6.7062261379999999</v>
      </c>
      <c r="U3330">
        <f t="shared" si="102"/>
        <v>0</v>
      </c>
      <c r="V3330">
        <f t="shared" si="103"/>
        <v>0</v>
      </c>
    </row>
    <row r="3331" spans="1:22" x14ac:dyDescent="0.2">
      <c r="A3331" t="s">
        <v>1098</v>
      </c>
      <c r="B3331" t="s">
        <v>19</v>
      </c>
      <c r="C3331" t="s">
        <v>76</v>
      </c>
      <c r="D3331" t="s">
        <v>77</v>
      </c>
      <c r="E3331">
        <v>15</v>
      </c>
      <c r="F3331" t="s">
        <v>88</v>
      </c>
      <c r="G3331">
        <v>78</v>
      </c>
      <c r="H3331">
        <v>468562</v>
      </c>
      <c r="I3331">
        <v>0</v>
      </c>
      <c r="J3331">
        <v>37</v>
      </c>
      <c r="K3331">
        <v>44</v>
      </c>
      <c r="L3331">
        <v>-468562</v>
      </c>
      <c r="M3331">
        <v>1</v>
      </c>
      <c r="N3331">
        <v>0</v>
      </c>
      <c r="O3331" s="1" t="s">
        <v>5454</v>
      </c>
      <c r="P3331">
        <v>0</v>
      </c>
      <c r="Q3331">
        <v>0</v>
      </c>
      <c r="R3331">
        <v>0</v>
      </c>
      <c r="S3331">
        <v>0</v>
      </c>
      <c r="T3331">
        <v>158.85371929999999</v>
      </c>
      <c r="U3331">
        <f t="shared" ref="U3331:U3394" si="104">IF(OR(P3331=1,Q3331=1),1,0)</f>
        <v>0</v>
      </c>
      <c r="V3331">
        <f t="shared" ref="V3331:V3394" si="105">IF(OR(R3331=1,S3331=1),1,0)</f>
        <v>0</v>
      </c>
    </row>
    <row r="3332" spans="1:22" x14ac:dyDescent="0.2">
      <c r="A3332" t="s">
        <v>1098</v>
      </c>
      <c r="B3332" t="s">
        <v>19</v>
      </c>
      <c r="C3332" t="s">
        <v>76</v>
      </c>
      <c r="D3332" t="s">
        <v>77</v>
      </c>
      <c r="E3332" s="1" t="s">
        <v>155</v>
      </c>
      <c r="F3332" t="s">
        <v>156</v>
      </c>
      <c r="G3332" s="1" t="s">
        <v>138</v>
      </c>
      <c r="H3332">
        <v>29671</v>
      </c>
      <c r="I3332">
        <v>0</v>
      </c>
      <c r="J3332">
        <v>52</v>
      </c>
      <c r="K3332">
        <v>75</v>
      </c>
      <c r="L3332">
        <v>-29671</v>
      </c>
      <c r="M3332">
        <v>1</v>
      </c>
      <c r="N3332">
        <v>0</v>
      </c>
      <c r="O3332" s="1" t="s">
        <v>5455</v>
      </c>
      <c r="P3332">
        <v>0</v>
      </c>
      <c r="Q3332">
        <v>0</v>
      </c>
      <c r="R3332">
        <v>0</v>
      </c>
      <c r="S3332">
        <v>0</v>
      </c>
      <c r="T3332">
        <v>158.85371929999999</v>
      </c>
      <c r="U3332">
        <f t="shared" si="104"/>
        <v>0</v>
      </c>
      <c r="V3332">
        <f t="shared" si="105"/>
        <v>0</v>
      </c>
    </row>
    <row r="3333" spans="1:22" x14ac:dyDescent="0.2">
      <c r="A3333" t="s">
        <v>1098</v>
      </c>
      <c r="B3333" t="s">
        <v>19</v>
      </c>
      <c r="C3333" t="s">
        <v>76</v>
      </c>
      <c r="D3333" t="s">
        <v>77</v>
      </c>
      <c r="E3333" s="1" t="s">
        <v>138</v>
      </c>
      <c r="F3333" t="s">
        <v>139</v>
      </c>
      <c r="G3333">
        <v>17</v>
      </c>
      <c r="H3333">
        <v>581</v>
      </c>
      <c r="I3333">
        <v>0</v>
      </c>
      <c r="J3333">
        <v>105</v>
      </c>
      <c r="K3333">
        <v>88</v>
      </c>
      <c r="L3333">
        <v>-581</v>
      </c>
      <c r="M3333">
        <v>1</v>
      </c>
      <c r="N3333">
        <v>0</v>
      </c>
      <c r="O3333" s="1" t="s">
        <v>5456</v>
      </c>
      <c r="P3333">
        <v>0</v>
      </c>
      <c r="Q3333">
        <v>0</v>
      </c>
      <c r="R3333">
        <v>0</v>
      </c>
      <c r="S3333">
        <v>0</v>
      </c>
      <c r="T3333">
        <v>158.85371929999999</v>
      </c>
      <c r="U3333">
        <f t="shared" si="104"/>
        <v>0</v>
      </c>
      <c r="V3333">
        <f t="shared" si="105"/>
        <v>0</v>
      </c>
    </row>
    <row r="3334" spans="1:22" x14ac:dyDescent="0.2">
      <c r="A3334" t="s">
        <v>1098</v>
      </c>
      <c r="B3334" t="s">
        <v>19</v>
      </c>
      <c r="C3334" t="s">
        <v>76</v>
      </c>
      <c r="D3334" t="s">
        <v>77</v>
      </c>
      <c r="E3334">
        <v>13</v>
      </c>
      <c r="F3334" t="s">
        <v>91</v>
      </c>
      <c r="G3334">
        <v>68</v>
      </c>
      <c r="H3334">
        <v>4493</v>
      </c>
      <c r="I3334">
        <v>0</v>
      </c>
      <c r="J3334">
        <v>108</v>
      </c>
      <c r="K3334">
        <v>85</v>
      </c>
      <c r="L3334">
        <v>-4493</v>
      </c>
      <c r="M3334">
        <v>1</v>
      </c>
      <c r="N3334">
        <v>0</v>
      </c>
      <c r="O3334" s="1" t="s">
        <v>5457</v>
      </c>
      <c r="P3334">
        <v>0</v>
      </c>
      <c r="Q3334">
        <v>0</v>
      </c>
      <c r="R3334">
        <v>0</v>
      </c>
      <c r="S3334">
        <v>0</v>
      </c>
      <c r="T3334">
        <v>158.85371929999999</v>
      </c>
      <c r="U3334">
        <f t="shared" si="104"/>
        <v>0</v>
      </c>
      <c r="V3334">
        <f t="shared" si="105"/>
        <v>0</v>
      </c>
    </row>
    <row r="3335" spans="1:22" x14ac:dyDescent="0.2">
      <c r="A3335" t="s">
        <v>1098</v>
      </c>
      <c r="B3335" t="s">
        <v>19</v>
      </c>
      <c r="C3335" t="s">
        <v>76</v>
      </c>
      <c r="D3335" t="s">
        <v>77</v>
      </c>
      <c r="E3335">
        <v>11</v>
      </c>
      <c r="F3335" t="s">
        <v>127</v>
      </c>
      <c r="G3335">
        <v>61</v>
      </c>
      <c r="H3335">
        <v>0</v>
      </c>
      <c r="I3335">
        <v>21182</v>
      </c>
      <c r="J3335">
        <v>126</v>
      </c>
      <c r="K3335">
        <v>84</v>
      </c>
      <c r="L3335">
        <v>21182</v>
      </c>
      <c r="M3335">
        <v>0</v>
      </c>
      <c r="N3335">
        <v>1</v>
      </c>
      <c r="O3335" s="1" t="s">
        <v>5458</v>
      </c>
      <c r="P3335">
        <v>0</v>
      </c>
      <c r="Q3335">
        <v>0</v>
      </c>
      <c r="R3335">
        <v>0</v>
      </c>
      <c r="S3335">
        <v>0</v>
      </c>
      <c r="T3335">
        <v>158.85371929999999</v>
      </c>
      <c r="U3335">
        <f t="shared" si="104"/>
        <v>0</v>
      </c>
      <c r="V3335">
        <f t="shared" si="105"/>
        <v>0</v>
      </c>
    </row>
    <row r="3336" spans="1:22" x14ac:dyDescent="0.2">
      <c r="A3336" t="s">
        <v>1312</v>
      </c>
      <c r="B3336" t="s">
        <v>21</v>
      </c>
      <c r="C3336" t="s">
        <v>76</v>
      </c>
      <c r="D3336" t="s">
        <v>77</v>
      </c>
      <c r="E3336" s="1" t="s">
        <v>138</v>
      </c>
      <c r="F3336" t="s">
        <v>139</v>
      </c>
      <c r="G3336">
        <v>17</v>
      </c>
      <c r="H3336">
        <v>17</v>
      </c>
      <c r="I3336">
        <v>0</v>
      </c>
      <c r="J3336">
        <v>117</v>
      </c>
      <c r="K3336">
        <v>88</v>
      </c>
      <c r="L3336">
        <v>-17</v>
      </c>
      <c r="M3336">
        <v>1</v>
      </c>
      <c r="N3336">
        <v>0</v>
      </c>
      <c r="O3336" s="1" t="s">
        <v>5459</v>
      </c>
      <c r="P3336">
        <v>0</v>
      </c>
      <c r="Q3336">
        <v>0</v>
      </c>
      <c r="R3336">
        <v>0</v>
      </c>
      <c r="S3336">
        <v>0</v>
      </c>
      <c r="T3336">
        <v>12.414189650000001</v>
      </c>
      <c r="U3336">
        <f t="shared" si="104"/>
        <v>0</v>
      </c>
      <c r="V3336">
        <f t="shared" si="105"/>
        <v>0</v>
      </c>
    </row>
    <row r="3337" spans="1:22" x14ac:dyDescent="0.2">
      <c r="A3337" t="s">
        <v>1312</v>
      </c>
      <c r="B3337" t="s">
        <v>21</v>
      </c>
      <c r="C3337" t="s">
        <v>76</v>
      </c>
      <c r="D3337" t="s">
        <v>77</v>
      </c>
      <c r="E3337" s="1" t="s">
        <v>138</v>
      </c>
      <c r="F3337" t="s">
        <v>139</v>
      </c>
      <c r="G3337">
        <v>16</v>
      </c>
      <c r="H3337">
        <v>11</v>
      </c>
      <c r="I3337">
        <v>0</v>
      </c>
      <c r="J3337">
        <v>82</v>
      </c>
      <c r="K3337">
        <v>73</v>
      </c>
      <c r="L3337">
        <v>-11</v>
      </c>
      <c r="M3337">
        <v>1</v>
      </c>
      <c r="N3337">
        <v>0</v>
      </c>
      <c r="O3337" s="1" t="s">
        <v>5460</v>
      </c>
      <c r="P3337">
        <v>0</v>
      </c>
      <c r="Q3337">
        <v>0</v>
      </c>
      <c r="R3337">
        <v>0</v>
      </c>
      <c r="S3337">
        <v>0</v>
      </c>
      <c r="T3337">
        <v>12.414189650000001</v>
      </c>
      <c r="U3337">
        <f t="shared" si="104"/>
        <v>0</v>
      </c>
      <c r="V3337">
        <f t="shared" si="105"/>
        <v>0</v>
      </c>
    </row>
    <row r="3338" spans="1:22" x14ac:dyDescent="0.2">
      <c r="A3338" t="s">
        <v>1374</v>
      </c>
      <c r="B3338" t="s">
        <v>22</v>
      </c>
      <c r="C3338" t="s">
        <v>76</v>
      </c>
      <c r="D3338" t="s">
        <v>77</v>
      </c>
      <c r="E3338">
        <v>17</v>
      </c>
      <c r="F3338" t="s">
        <v>97</v>
      </c>
      <c r="G3338">
        <v>86</v>
      </c>
      <c r="H3338">
        <v>1117</v>
      </c>
      <c r="I3338">
        <v>0</v>
      </c>
      <c r="J3338">
        <v>83</v>
      </c>
      <c r="K3338">
        <v>64</v>
      </c>
      <c r="L3338">
        <v>-1117</v>
      </c>
      <c r="M3338">
        <v>1</v>
      </c>
      <c r="N3338">
        <v>0</v>
      </c>
      <c r="O3338" s="1" t="s">
        <v>5461</v>
      </c>
      <c r="P3338">
        <v>0</v>
      </c>
      <c r="Q3338">
        <v>0</v>
      </c>
      <c r="R3338">
        <v>0</v>
      </c>
      <c r="S3338">
        <v>0</v>
      </c>
      <c r="T3338">
        <v>10.251031490000001</v>
      </c>
      <c r="U3338">
        <f t="shared" si="104"/>
        <v>0</v>
      </c>
      <c r="V3338">
        <f t="shared" si="105"/>
        <v>0</v>
      </c>
    </row>
    <row r="3339" spans="1:22" x14ac:dyDescent="0.2">
      <c r="A3339" t="s">
        <v>1374</v>
      </c>
      <c r="B3339" t="s">
        <v>22</v>
      </c>
      <c r="C3339" t="s">
        <v>76</v>
      </c>
      <c r="D3339" t="s">
        <v>77</v>
      </c>
      <c r="E3339">
        <v>18</v>
      </c>
      <c r="F3339" t="s">
        <v>147</v>
      </c>
      <c r="G3339">
        <v>91</v>
      </c>
      <c r="H3339">
        <v>711</v>
      </c>
      <c r="I3339">
        <v>0</v>
      </c>
      <c r="J3339">
        <v>77</v>
      </c>
      <c r="K3339">
        <v>69</v>
      </c>
      <c r="L3339">
        <v>-711</v>
      </c>
      <c r="M3339">
        <v>1</v>
      </c>
      <c r="N3339">
        <v>0</v>
      </c>
      <c r="O3339" s="1" t="s">
        <v>5462</v>
      </c>
      <c r="P3339">
        <v>0</v>
      </c>
      <c r="Q3339">
        <v>0</v>
      </c>
      <c r="R3339">
        <v>0</v>
      </c>
      <c r="S3339">
        <v>0</v>
      </c>
      <c r="T3339">
        <v>10.251031490000001</v>
      </c>
      <c r="U3339">
        <f t="shared" si="104"/>
        <v>0</v>
      </c>
      <c r="V3339">
        <f t="shared" si="105"/>
        <v>0</v>
      </c>
    </row>
    <row r="3340" spans="1:22" x14ac:dyDescent="0.2">
      <c r="A3340" t="s">
        <v>1374</v>
      </c>
      <c r="B3340" t="s">
        <v>22</v>
      </c>
      <c r="C3340" t="s">
        <v>76</v>
      </c>
      <c r="D3340" t="s">
        <v>77</v>
      </c>
      <c r="E3340">
        <v>11</v>
      </c>
      <c r="F3340" t="s">
        <v>127</v>
      </c>
      <c r="G3340">
        <v>51</v>
      </c>
      <c r="H3340">
        <v>1040</v>
      </c>
      <c r="I3340">
        <v>0</v>
      </c>
      <c r="J3340">
        <v>49</v>
      </c>
      <c r="K3340">
        <v>56</v>
      </c>
      <c r="L3340">
        <v>-1040</v>
      </c>
      <c r="M3340">
        <v>1</v>
      </c>
      <c r="N3340">
        <v>0</v>
      </c>
      <c r="O3340" s="1" t="s">
        <v>5463</v>
      </c>
      <c r="P3340">
        <v>0</v>
      </c>
      <c r="Q3340">
        <v>0</v>
      </c>
      <c r="R3340">
        <v>0</v>
      </c>
      <c r="S3340">
        <v>0</v>
      </c>
      <c r="T3340">
        <v>10.251031490000001</v>
      </c>
      <c r="U3340">
        <f t="shared" si="104"/>
        <v>0</v>
      </c>
      <c r="V3340">
        <f t="shared" si="105"/>
        <v>0</v>
      </c>
    </row>
    <row r="3341" spans="1:22" x14ac:dyDescent="0.2">
      <c r="A3341" t="s">
        <v>1374</v>
      </c>
      <c r="B3341" t="s">
        <v>22</v>
      </c>
      <c r="C3341" t="s">
        <v>76</v>
      </c>
      <c r="D3341" t="s">
        <v>77</v>
      </c>
      <c r="E3341">
        <v>11</v>
      </c>
      <c r="F3341" t="s">
        <v>127</v>
      </c>
      <c r="G3341">
        <v>61</v>
      </c>
      <c r="H3341">
        <v>397</v>
      </c>
      <c r="I3341">
        <v>42205</v>
      </c>
      <c r="J3341">
        <v>117</v>
      </c>
      <c r="K3341">
        <v>77</v>
      </c>
      <c r="L3341">
        <v>41808</v>
      </c>
      <c r="M3341">
        <v>9.31881132341204E-3</v>
      </c>
      <c r="N3341" s="1" t="s">
        <v>5464</v>
      </c>
      <c r="O3341" s="1" t="s">
        <v>5465</v>
      </c>
      <c r="P3341">
        <v>0</v>
      </c>
      <c r="Q3341">
        <v>0</v>
      </c>
      <c r="R3341">
        <v>0</v>
      </c>
      <c r="S3341">
        <v>0</v>
      </c>
      <c r="T3341">
        <v>10.251031490000001</v>
      </c>
      <c r="U3341">
        <f t="shared" si="104"/>
        <v>0</v>
      </c>
      <c r="V3341">
        <f t="shared" si="105"/>
        <v>0</v>
      </c>
    </row>
    <row r="3342" spans="1:22" x14ac:dyDescent="0.2">
      <c r="A3342" t="s">
        <v>1374</v>
      </c>
      <c r="B3342" t="s">
        <v>22</v>
      </c>
      <c r="C3342" t="s">
        <v>76</v>
      </c>
      <c r="D3342" t="s">
        <v>77</v>
      </c>
      <c r="E3342" s="1" t="s">
        <v>138</v>
      </c>
      <c r="F3342" t="s">
        <v>139</v>
      </c>
      <c r="G3342">
        <v>20</v>
      </c>
      <c r="H3342">
        <v>0</v>
      </c>
      <c r="I3342">
        <v>214292</v>
      </c>
      <c r="J3342">
        <v>88</v>
      </c>
      <c r="K3342">
        <v>71</v>
      </c>
      <c r="L3342">
        <v>214292</v>
      </c>
      <c r="M3342">
        <v>0</v>
      </c>
      <c r="N3342">
        <v>1</v>
      </c>
      <c r="O3342" s="1" t="s">
        <v>5466</v>
      </c>
      <c r="P3342">
        <v>0</v>
      </c>
      <c r="Q3342">
        <v>0</v>
      </c>
      <c r="R3342">
        <v>0</v>
      </c>
      <c r="S3342">
        <v>0</v>
      </c>
      <c r="T3342">
        <v>10.251031490000001</v>
      </c>
      <c r="U3342">
        <f t="shared" si="104"/>
        <v>0</v>
      </c>
      <c r="V3342">
        <f t="shared" si="105"/>
        <v>0</v>
      </c>
    </row>
    <row r="3343" spans="1:22" x14ac:dyDescent="0.2">
      <c r="A3343" t="s">
        <v>1438</v>
      </c>
      <c r="B3343" t="s">
        <v>23</v>
      </c>
      <c r="C3343" t="s">
        <v>76</v>
      </c>
      <c r="D3343" t="s">
        <v>77</v>
      </c>
      <c r="E3343">
        <v>13</v>
      </c>
      <c r="F3343" t="s">
        <v>91</v>
      </c>
      <c r="G3343">
        <v>68</v>
      </c>
      <c r="H3343">
        <v>12328</v>
      </c>
      <c r="I3343">
        <v>0</v>
      </c>
      <c r="J3343">
        <v>101</v>
      </c>
      <c r="K3343">
        <v>85</v>
      </c>
      <c r="L3343">
        <v>-12328</v>
      </c>
      <c r="M3343">
        <v>1</v>
      </c>
      <c r="N3343">
        <v>0</v>
      </c>
      <c r="O3343" s="1" t="s">
        <v>5467</v>
      </c>
      <c r="P3343">
        <v>0</v>
      </c>
      <c r="Q3343">
        <v>0</v>
      </c>
      <c r="R3343">
        <v>0</v>
      </c>
      <c r="S3343">
        <v>0</v>
      </c>
      <c r="T3343">
        <v>4.5962645599999998</v>
      </c>
      <c r="U3343">
        <f t="shared" si="104"/>
        <v>0</v>
      </c>
      <c r="V3343">
        <f t="shared" si="105"/>
        <v>0</v>
      </c>
    </row>
    <row r="3344" spans="1:22" x14ac:dyDescent="0.2">
      <c r="A3344" t="s">
        <v>1438</v>
      </c>
      <c r="B3344" t="s">
        <v>23</v>
      </c>
      <c r="C3344" t="s">
        <v>76</v>
      </c>
      <c r="D3344" t="s">
        <v>77</v>
      </c>
      <c r="E3344">
        <v>20</v>
      </c>
      <c r="F3344" t="s">
        <v>104</v>
      </c>
      <c r="G3344">
        <v>96</v>
      </c>
      <c r="H3344">
        <v>1221</v>
      </c>
      <c r="I3344">
        <v>0</v>
      </c>
      <c r="J3344">
        <v>98</v>
      </c>
      <c r="K3344">
        <v>90</v>
      </c>
      <c r="L3344">
        <v>-1221</v>
      </c>
      <c r="M3344">
        <v>1</v>
      </c>
      <c r="N3344">
        <v>0</v>
      </c>
      <c r="O3344" s="1" t="s">
        <v>5468</v>
      </c>
      <c r="P3344">
        <v>0</v>
      </c>
      <c r="Q3344">
        <v>0</v>
      </c>
      <c r="R3344">
        <v>0</v>
      </c>
      <c r="S3344">
        <v>0</v>
      </c>
      <c r="T3344">
        <v>4.5962645599999998</v>
      </c>
      <c r="U3344">
        <f t="shared" si="104"/>
        <v>0</v>
      </c>
      <c r="V3344">
        <f t="shared" si="105"/>
        <v>0</v>
      </c>
    </row>
    <row r="3345" spans="1:22" x14ac:dyDescent="0.2">
      <c r="A3345" t="s">
        <v>1438</v>
      </c>
      <c r="B3345" t="s">
        <v>23</v>
      </c>
      <c r="C3345" t="s">
        <v>76</v>
      </c>
      <c r="D3345" t="s">
        <v>77</v>
      </c>
      <c r="E3345" s="1" t="s">
        <v>138</v>
      </c>
      <c r="F3345" t="s">
        <v>139</v>
      </c>
      <c r="G3345">
        <v>21</v>
      </c>
      <c r="H3345">
        <v>52</v>
      </c>
      <c r="I3345">
        <v>0</v>
      </c>
      <c r="J3345">
        <v>120</v>
      </c>
      <c r="K3345">
        <v>99</v>
      </c>
      <c r="L3345">
        <v>-52</v>
      </c>
      <c r="M3345">
        <v>1</v>
      </c>
      <c r="N3345">
        <v>0</v>
      </c>
      <c r="O3345" s="1" t="s">
        <v>5469</v>
      </c>
      <c r="P3345">
        <v>0</v>
      </c>
      <c r="Q3345">
        <v>0</v>
      </c>
      <c r="R3345">
        <v>0</v>
      </c>
      <c r="S3345">
        <v>0</v>
      </c>
      <c r="T3345">
        <v>4.5962645599999998</v>
      </c>
      <c r="U3345">
        <f t="shared" si="104"/>
        <v>0</v>
      </c>
      <c r="V3345">
        <f t="shared" si="105"/>
        <v>0</v>
      </c>
    </row>
    <row r="3346" spans="1:22" x14ac:dyDescent="0.2">
      <c r="A3346" t="s">
        <v>1438</v>
      </c>
      <c r="B3346" t="s">
        <v>23</v>
      </c>
      <c r="C3346" t="s">
        <v>76</v>
      </c>
      <c r="D3346" t="s">
        <v>77</v>
      </c>
      <c r="E3346" s="1" t="s">
        <v>138</v>
      </c>
      <c r="F3346" t="s">
        <v>139</v>
      </c>
      <c r="G3346">
        <v>18</v>
      </c>
      <c r="H3346">
        <v>18</v>
      </c>
      <c r="I3346">
        <v>0</v>
      </c>
      <c r="J3346">
        <v>105</v>
      </c>
      <c r="K3346">
        <v>82</v>
      </c>
      <c r="L3346">
        <v>-18</v>
      </c>
      <c r="M3346">
        <v>1</v>
      </c>
      <c r="N3346">
        <v>0</v>
      </c>
      <c r="O3346" s="1" t="s">
        <v>4576</v>
      </c>
      <c r="P3346">
        <v>0</v>
      </c>
      <c r="Q3346">
        <v>0</v>
      </c>
      <c r="R3346">
        <v>0</v>
      </c>
      <c r="S3346">
        <v>0</v>
      </c>
      <c r="T3346">
        <v>4.5962645599999998</v>
      </c>
      <c r="U3346">
        <f t="shared" si="104"/>
        <v>0</v>
      </c>
      <c r="V3346">
        <f t="shared" si="105"/>
        <v>0</v>
      </c>
    </row>
    <row r="3347" spans="1:22" x14ac:dyDescent="0.2">
      <c r="A3347" t="s">
        <v>1438</v>
      </c>
      <c r="B3347" t="s">
        <v>23</v>
      </c>
      <c r="C3347" t="s">
        <v>76</v>
      </c>
      <c r="D3347" t="s">
        <v>77</v>
      </c>
      <c r="E3347" s="1" t="s">
        <v>138</v>
      </c>
      <c r="F3347" t="s">
        <v>139</v>
      </c>
      <c r="G3347">
        <v>20</v>
      </c>
      <c r="H3347">
        <v>18</v>
      </c>
      <c r="I3347">
        <v>0</v>
      </c>
      <c r="J3347">
        <v>86</v>
      </c>
      <c r="K3347">
        <v>93</v>
      </c>
      <c r="L3347">
        <v>-18</v>
      </c>
      <c r="M3347">
        <v>1</v>
      </c>
      <c r="N3347">
        <v>0</v>
      </c>
      <c r="O3347" s="1" t="s">
        <v>4576</v>
      </c>
      <c r="P3347">
        <v>0</v>
      </c>
      <c r="Q3347">
        <v>0</v>
      </c>
      <c r="R3347">
        <v>0</v>
      </c>
      <c r="S3347">
        <v>0</v>
      </c>
      <c r="T3347">
        <v>4.5962645599999998</v>
      </c>
      <c r="U3347">
        <f t="shared" si="104"/>
        <v>0</v>
      </c>
      <c r="V3347">
        <f t="shared" si="105"/>
        <v>0</v>
      </c>
    </row>
    <row r="3348" spans="1:22" x14ac:dyDescent="0.2">
      <c r="A3348" t="s">
        <v>1438</v>
      </c>
      <c r="B3348" t="s">
        <v>23</v>
      </c>
      <c r="C3348" t="s">
        <v>76</v>
      </c>
      <c r="D3348" t="s">
        <v>77</v>
      </c>
      <c r="E3348">
        <v>11</v>
      </c>
      <c r="F3348" t="s">
        <v>127</v>
      </c>
      <c r="G3348">
        <v>54</v>
      </c>
      <c r="H3348">
        <v>12</v>
      </c>
      <c r="I3348">
        <v>0</v>
      </c>
      <c r="J3348">
        <v>82</v>
      </c>
      <c r="K3348">
        <v>68</v>
      </c>
      <c r="L3348">
        <v>-12</v>
      </c>
      <c r="M3348">
        <v>1</v>
      </c>
      <c r="N3348">
        <v>0</v>
      </c>
      <c r="O3348" s="1" t="s">
        <v>5470</v>
      </c>
      <c r="P3348">
        <v>0</v>
      </c>
      <c r="Q3348">
        <v>0</v>
      </c>
      <c r="R3348">
        <v>0</v>
      </c>
      <c r="S3348">
        <v>0</v>
      </c>
      <c r="T3348">
        <v>4.5962645599999998</v>
      </c>
      <c r="U3348">
        <f t="shared" si="104"/>
        <v>0</v>
      </c>
      <c r="V3348">
        <f t="shared" si="105"/>
        <v>0</v>
      </c>
    </row>
    <row r="3349" spans="1:22" x14ac:dyDescent="0.2">
      <c r="A3349" t="s">
        <v>1849</v>
      </c>
      <c r="B3349" t="s">
        <v>26</v>
      </c>
      <c r="C3349" t="s">
        <v>76</v>
      </c>
      <c r="D3349" t="s">
        <v>77</v>
      </c>
      <c r="E3349">
        <v>11</v>
      </c>
      <c r="F3349" t="s">
        <v>127</v>
      </c>
      <c r="G3349">
        <v>50</v>
      </c>
      <c r="H3349">
        <v>63</v>
      </c>
      <c r="I3349">
        <v>1105</v>
      </c>
      <c r="J3349">
        <v>28</v>
      </c>
      <c r="K3349">
        <v>37</v>
      </c>
      <c r="L3349">
        <v>1042</v>
      </c>
      <c r="M3349">
        <v>5.39383561643835E-2</v>
      </c>
      <c r="N3349" s="1" t="s">
        <v>5471</v>
      </c>
      <c r="O3349" s="1" t="s">
        <v>5472</v>
      </c>
      <c r="P3349">
        <v>0</v>
      </c>
      <c r="Q3349">
        <v>0</v>
      </c>
      <c r="R3349">
        <v>0</v>
      </c>
      <c r="S3349">
        <v>0</v>
      </c>
      <c r="T3349">
        <v>12.98266392</v>
      </c>
      <c r="U3349">
        <f t="shared" si="104"/>
        <v>0</v>
      </c>
      <c r="V3349">
        <f t="shared" si="105"/>
        <v>0</v>
      </c>
    </row>
    <row r="3350" spans="1:22" x14ac:dyDescent="0.2">
      <c r="A3350" t="s">
        <v>2010</v>
      </c>
      <c r="B3350" t="s">
        <v>27</v>
      </c>
      <c r="C3350" t="s">
        <v>76</v>
      </c>
      <c r="D3350" t="s">
        <v>77</v>
      </c>
      <c r="E3350">
        <v>20</v>
      </c>
      <c r="F3350" t="s">
        <v>104</v>
      </c>
      <c r="G3350">
        <v>95</v>
      </c>
      <c r="H3350">
        <v>1018</v>
      </c>
      <c r="I3350">
        <v>0</v>
      </c>
      <c r="J3350">
        <v>116</v>
      </c>
      <c r="K3350">
        <v>91</v>
      </c>
      <c r="L3350">
        <v>-1018</v>
      </c>
      <c r="M3350">
        <v>1</v>
      </c>
      <c r="N3350">
        <v>0</v>
      </c>
      <c r="O3350" s="1" t="s">
        <v>5473</v>
      </c>
      <c r="P3350">
        <v>0</v>
      </c>
      <c r="Q3350">
        <v>0</v>
      </c>
      <c r="R3350">
        <v>0</v>
      </c>
      <c r="S3350">
        <v>0</v>
      </c>
      <c r="T3350">
        <v>13.62458097</v>
      </c>
      <c r="U3350">
        <f t="shared" si="104"/>
        <v>0</v>
      </c>
      <c r="V3350">
        <f t="shared" si="105"/>
        <v>0</v>
      </c>
    </row>
    <row r="3351" spans="1:22" x14ac:dyDescent="0.2">
      <c r="A3351" t="s">
        <v>2010</v>
      </c>
      <c r="B3351" t="s">
        <v>27</v>
      </c>
      <c r="C3351" t="s">
        <v>76</v>
      </c>
      <c r="D3351" t="s">
        <v>77</v>
      </c>
      <c r="E3351">
        <v>18</v>
      </c>
      <c r="F3351" t="s">
        <v>147</v>
      </c>
      <c r="G3351">
        <v>90</v>
      </c>
      <c r="H3351">
        <v>192</v>
      </c>
      <c r="I3351">
        <v>0</v>
      </c>
      <c r="J3351">
        <v>143</v>
      </c>
      <c r="K3351">
        <v>103</v>
      </c>
      <c r="L3351">
        <v>-192</v>
      </c>
      <c r="M3351">
        <v>1</v>
      </c>
      <c r="N3351">
        <v>0</v>
      </c>
      <c r="O3351" s="1" t="s">
        <v>5474</v>
      </c>
      <c r="P3351">
        <v>0</v>
      </c>
      <c r="Q3351">
        <v>0</v>
      </c>
      <c r="R3351">
        <v>0</v>
      </c>
      <c r="S3351">
        <v>0</v>
      </c>
      <c r="T3351">
        <v>13.62458097</v>
      </c>
      <c r="U3351">
        <f t="shared" si="104"/>
        <v>0</v>
      </c>
      <c r="V3351">
        <f t="shared" si="105"/>
        <v>0</v>
      </c>
    </row>
    <row r="3352" spans="1:22" x14ac:dyDescent="0.2">
      <c r="A3352" t="s">
        <v>2212</v>
      </c>
      <c r="B3352" t="s">
        <v>29</v>
      </c>
      <c r="C3352" t="s">
        <v>76</v>
      </c>
      <c r="D3352" t="s">
        <v>77</v>
      </c>
      <c r="E3352">
        <v>10</v>
      </c>
      <c r="F3352" t="s">
        <v>119</v>
      </c>
      <c r="G3352">
        <v>47</v>
      </c>
      <c r="H3352">
        <v>173065</v>
      </c>
      <c r="I3352">
        <v>0</v>
      </c>
      <c r="J3352">
        <v>64</v>
      </c>
      <c r="K3352">
        <v>37</v>
      </c>
      <c r="L3352">
        <v>-173065</v>
      </c>
      <c r="M3352">
        <v>1</v>
      </c>
      <c r="N3352">
        <v>0</v>
      </c>
      <c r="O3352" s="1" t="s">
        <v>5475</v>
      </c>
      <c r="P3352">
        <v>0</v>
      </c>
      <c r="Q3352">
        <v>0</v>
      </c>
      <c r="R3352">
        <v>0</v>
      </c>
      <c r="S3352">
        <v>0</v>
      </c>
      <c r="T3352">
        <v>25.232029140000002</v>
      </c>
      <c r="U3352">
        <f t="shared" si="104"/>
        <v>0</v>
      </c>
      <c r="V3352">
        <f t="shared" si="105"/>
        <v>0</v>
      </c>
    </row>
    <row r="3353" spans="1:22" x14ac:dyDescent="0.2">
      <c r="A3353" t="s">
        <v>2212</v>
      </c>
      <c r="B3353" t="s">
        <v>29</v>
      </c>
      <c r="C3353" t="s">
        <v>76</v>
      </c>
      <c r="D3353" t="s">
        <v>77</v>
      </c>
      <c r="E3353" s="1" t="s">
        <v>138</v>
      </c>
      <c r="F3353" t="s">
        <v>139</v>
      </c>
      <c r="G3353">
        <v>17</v>
      </c>
      <c r="H3353">
        <v>2785</v>
      </c>
      <c r="I3353">
        <v>0</v>
      </c>
      <c r="J3353">
        <v>99</v>
      </c>
      <c r="K3353">
        <v>88</v>
      </c>
      <c r="L3353">
        <v>-2785</v>
      </c>
      <c r="M3353">
        <v>1</v>
      </c>
      <c r="N3353">
        <v>0</v>
      </c>
      <c r="O3353" s="1" t="s">
        <v>5476</v>
      </c>
      <c r="P3353">
        <v>0</v>
      </c>
      <c r="Q3353">
        <v>0</v>
      </c>
      <c r="R3353">
        <v>0</v>
      </c>
      <c r="S3353">
        <v>0</v>
      </c>
      <c r="T3353">
        <v>25.232029140000002</v>
      </c>
      <c r="U3353">
        <f t="shared" si="104"/>
        <v>0</v>
      </c>
      <c r="V3353">
        <f t="shared" si="105"/>
        <v>0</v>
      </c>
    </row>
    <row r="3354" spans="1:22" x14ac:dyDescent="0.2">
      <c r="A3354" t="s">
        <v>2212</v>
      </c>
      <c r="B3354" t="s">
        <v>29</v>
      </c>
      <c r="C3354" t="s">
        <v>76</v>
      </c>
      <c r="D3354" t="s">
        <v>77</v>
      </c>
      <c r="E3354" s="1" t="s">
        <v>82</v>
      </c>
      <c r="F3354" t="s">
        <v>83</v>
      </c>
      <c r="G3354">
        <v>11</v>
      </c>
      <c r="H3354">
        <v>640</v>
      </c>
      <c r="I3354">
        <v>0</v>
      </c>
      <c r="J3354">
        <v>100</v>
      </c>
      <c r="K3354">
        <v>71</v>
      </c>
      <c r="L3354">
        <v>-640</v>
      </c>
      <c r="M3354">
        <v>1</v>
      </c>
      <c r="N3354">
        <v>0</v>
      </c>
      <c r="O3354" s="1" t="s">
        <v>5477</v>
      </c>
      <c r="P3354">
        <v>0</v>
      </c>
      <c r="Q3354">
        <v>0</v>
      </c>
      <c r="R3354">
        <v>0</v>
      </c>
      <c r="S3354">
        <v>0</v>
      </c>
      <c r="T3354">
        <v>25.232029140000002</v>
      </c>
      <c r="U3354">
        <f t="shared" si="104"/>
        <v>0</v>
      </c>
      <c r="V3354">
        <f t="shared" si="105"/>
        <v>0</v>
      </c>
    </row>
    <row r="3355" spans="1:22" x14ac:dyDescent="0.2">
      <c r="A3355" t="s">
        <v>2212</v>
      </c>
      <c r="B3355" t="s">
        <v>29</v>
      </c>
      <c r="C3355" t="s">
        <v>76</v>
      </c>
      <c r="D3355" t="s">
        <v>77</v>
      </c>
      <c r="E3355">
        <v>20</v>
      </c>
      <c r="F3355" t="s">
        <v>104</v>
      </c>
      <c r="G3355">
        <v>96</v>
      </c>
      <c r="H3355">
        <v>11</v>
      </c>
      <c r="I3355">
        <v>770</v>
      </c>
      <c r="J3355">
        <v>126</v>
      </c>
      <c r="K3355">
        <v>80</v>
      </c>
      <c r="L3355">
        <v>759</v>
      </c>
      <c r="M3355" s="1" t="s">
        <v>5478</v>
      </c>
      <c r="N3355" s="1" t="s">
        <v>5479</v>
      </c>
      <c r="O3355" s="1" t="s">
        <v>5480</v>
      </c>
      <c r="P3355">
        <v>0</v>
      </c>
      <c r="Q3355">
        <v>0</v>
      </c>
      <c r="R3355">
        <v>0</v>
      </c>
      <c r="S3355">
        <v>0</v>
      </c>
      <c r="T3355">
        <v>25.232029140000002</v>
      </c>
      <c r="U3355">
        <f t="shared" si="104"/>
        <v>0</v>
      </c>
      <c r="V3355">
        <f t="shared" si="105"/>
        <v>0</v>
      </c>
    </row>
    <row r="3356" spans="1:22" x14ac:dyDescent="0.2">
      <c r="A3356" t="s">
        <v>2471</v>
      </c>
      <c r="B3356" t="s">
        <v>31</v>
      </c>
      <c r="C3356" t="s">
        <v>76</v>
      </c>
      <c r="D3356" t="s">
        <v>77</v>
      </c>
      <c r="E3356">
        <v>15</v>
      </c>
      <c r="F3356" t="s">
        <v>88</v>
      </c>
      <c r="G3356">
        <v>74</v>
      </c>
      <c r="H3356">
        <v>166585</v>
      </c>
      <c r="I3356">
        <v>0</v>
      </c>
      <c r="J3356">
        <v>74</v>
      </c>
      <c r="K3356">
        <v>84</v>
      </c>
      <c r="L3356">
        <v>-166585</v>
      </c>
      <c r="M3356">
        <v>1</v>
      </c>
      <c r="N3356">
        <v>0</v>
      </c>
      <c r="O3356" s="1" t="s">
        <v>5481</v>
      </c>
      <c r="P3356">
        <v>0</v>
      </c>
      <c r="Q3356">
        <v>0</v>
      </c>
      <c r="R3356">
        <v>0</v>
      </c>
      <c r="S3356">
        <v>0</v>
      </c>
      <c r="T3356">
        <v>11.22870996</v>
      </c>
      <c r="U3356">
        <f t="shared" si="104"/>
        <v>0</v>
      </c>
      <c r="V3356">
        <f t="shared" si="105"/>
        <v>0</v>
      </c>
    </row>
    <row r="3357" spans="1:22" x14ac:dyDescent="0.2">
      <c r="A3357" t="s">
        <v>2471</v>
      </c>
      <c r="B3357" t="s">
        <v>31</v>
      </c>
      <c r="C3357" t="s">
        <v>76</v>
      </c>
      <c r="D3357" t="s">
        <v>77</v>
      </c>
      <c r="E3357" s="1" t="s">
        <v>138</v>
      </c>
      <c r="F3357" t="s">
        <v>139</v>
      </c>
      <c r="G3357">
        <v>17</v>
      </c>
      <c r="H3357">
        <v>109</v>
      </c>
      <c r="I3357">
        <v>0</v>
      </c>
      <c r="J3357">
        <v>111</v>
      </c>
      <c r="K3357">
        <v>88</v>
      </c>
      <c r="L3357">
        <v>-109</v>
      </c>
      <c r="M3357">
        <v>1</v>
      </c>
      <c r="N3357">
        <v>0</v>
      </c>
      <c r="O3357" s="1" t="s">
        <v>5482</v>
      </c>
      <c r="P3357">
        <v>0</v>
      </c>
      <c r="Q3357">
        <v>0</v>
      </c>
      <c r="R3357">
        <v>0</v>
      </c>
      <c r="S3357">
        <v>0</v>
      </c>
      <c r="T3357">
        <v>11.22870996</v>
      </c>
      <c r="U3357">
        <f t="shared" si="104"/>
        <v>0</v>
      </c>
      <c r="V3357">
        <f t="shared" si="105"/>
        <v>0</v>
      </c>
    </row>
    <row r="3358" spans="1:22" x14ac:dyDescent="0.2">
      <c r="A3358" t="s">
        <v>2471</v>
      </c>
      <c r="B3358" t="s">
        <v>31</v>
      </c>
      <c r="C3358" t="s">
        <v>76</v>
      </c>
      <c r="D3358" t="s">
        <v>77</v>
      </c>
      <c r="E3358">
        <v>15</v>
      </c>
      <c r="F3358" t="s">
        <v>88</v>
      </c>
      <c r="G3358">
        <v>73</v>
      </c>
      <c r="H3358">
        <v>32</v>
      </c>
      <c r="I3358">
        <v>0</v>
      </c>
      <c r="J3358">
        <v>143</v>
      </c>
      <c r="K3358">
        <v>103</v>
      </c>
      <c r="L3358">
        <v>-32</v>
      </c>
      <c r="M3358">
        <v>1</v>
      </c>
      <c r="N3358">
        <v>0</v>
      </c>
      <c r="O3358" s="1" t="s">
        <v>5483</v>
      </c>
      <c r="P3358">
        <v>0</v>
      </c>
      <c r="Q3358">
        <v>0</v>
      </c>
      <c r="R3358">
        <v>0</v>
      </c>
      <c r="S3358">
        <v>0</v>
      </c>
      <c r="T3358">
        <v>11.22870996</v>
      </c>
      <c r="U3358">
        <f t="shared" si="104"/>
        <v>0</v>
      </c>
      <c r="V3358">
        <f t="shared" si="105"/>
        <v>0</v>
      </c>
    </row>
    <row r="3359" spans="1:22" x14ac:dyDescent="0.2">
      <c r="A3359" t="s">
        <v>2634</v>
      </c>
      <c r="B3359" t="s">
        <v>33</v>
      </c>
      <c r="C3359" t="s">
        <v>76</v>
      </c>
      <c r="D3359" t="s">
        <v>77</v>
      </c>
      <c r="E3359">
        <v>11</v>
      </c>
      <c r="F3359" t="s">
        <v>127</v>
      </c>
      <c r="G3359">
        <v>52</v>
      </c>
      <c r="H3359">
        <v>7359</v>
      </c>
      <c r="I3359">
        <v>0</v>
      </c>
      <c r="J3359">
        <v>56</v>
      </c>
      <c r="K3359">
        <v>67</v>
      </c>
      <c r="L3359">
        <v>-7359</v>
      </c>
      <c r="M3359">
        <v>1</v>
      </c>
      <c r="N3359">
        <v>0</v>
      </c>
      <c r="O3359" s="1" t="s">
        <v>5484</v>
      </c>
      <c r="P3359">
        <v>0</v>
      </c>
      <c r="Q3359">
        <v>0</v>
      </c>
      <c r="R3359">
        <v>0</v>
      </c>
      <c r="S3359">
        <v>0</v>
      </c>
      <c r="T3359">
        <v>172.9377106</v>
      </c>
      <c r="U3359">
        <f t="shared" si="104"/>
        <v>0</v>
      </c>
      <c r="V3359">
        <f t="shared" si="105"/>
        <v>0</v>
      </c>
    </row>
    <row r="3360" spans="1:22" x14ac:dyDescent="0.2">
      <c r="A3360" t="s">
        <v>2634</v>
      </c>
      <c r="B3360" t="s">
        <v>33</v>
      </c>
      <c r="C3360" t="s">
        <v>76</v>
      </c>
      <c r="D3360" t="s">
        <v>77</v>
      </c>
      <c r="E3360">
        <v>15</v>
      </c>
      <c r="F3360" t="s">
        <v>88</v>
      </c>
      <c r="G3360">
        <v>76</v>
      </c>
      <c r="H3360">
        <v>1854</v>
      </c>
      <c r="I3360">
        <v>0</v>
      </c>
      <c r="J3360">
        <v>118</v>
      </c>
      <c r="K3360">
        <v>92</v>
      </c>
      <c r="L3360">
        <v>-1854</v>
      </c>
      <c r="M3360">
        <v>1</v>
      </c>
      <c r="N3360">
        <v>0</v>
      </c>
      <c r="O3360" s="1" t="s">
        <v>5485</v>
      </c>
      <c r="P3360">
        <v>0</v>
      </c>
      <c r="Q3360">
        <v>0</v>
      </c>
      <c r="R3360">
        <v>0</v>
      </c>
      <c r="S3360">
        <v>0</v>
      </c>
      <c r="T3360">
        <v>172.9377106</v>
      </c>
      <c r="U3360">
        <f t="shared" si="104"/>
        <v>0</v>
      </c>
      <c r="V3360">
        <f t="shared" si="105"/>
        <v>0</v>
      </c>
    </row>
    <row r="3361" spans="1:22" x14ac:dyDescent="0.2">
      <c r="A3361" t="s">
        <v>2666</v>
      </c>
      <c r="B3361" t="s">
        <v>34</v>
      </c>
      <c r="C3361" t="s">
        <v>76</v>
      </c>
      <c r="D3361" t="s">
        <v>77</v>
      </c>
      <c r="E3361">
        <v>17</v>
      </c>
      <c r="F3361" t="s">
        <v>97</v>
      </c>
      <c r="G3361">
        <v>87</v>
      </c>
      <c r="H3361">
        <v>166880</v>
      </c>
      <c r="I3361">
        <v>0</v>
      </c>
      <c r="J3361">
        <v>115</v>
      </c>
      <c r="K3361">
        <v>96</v>
      </c>
      <c r="L3361">
        <v>-166880</v>
      </c>
      <c r="M3361">
        <v>1</v>
      </c>
      <c r="N3361">
        <v>0</v>
      </c>
      <c r="O3361" s="1" t="s">
        <v>5486</v>
      </c>
      <c r="P3361">
        <v>0</v>
      </c>
      <c r="Q3361">
        <v>0</v>
      </c>
      <c r="R3361">
        <v>0</v>
      </c>
      <c r="S3361">
        <v>0</v>
      </c>
      <c r="T3361">
        <v>25.946113820000001</v>
      </c>
      <c r="U3361">
        <f t="shared" si="104"/>
        <v>0</v>
      </c>
      <c r="V3361">
        <f t="shared" si="105"/>
        <v>0</v>
      </c>
    </row>
    <row r="3362" spans="1:22" x14ac:dyDescent="0.2">
      <c r="A3362" t="s">
        <v>2666</v>
      </c>
      <c r="B3362" t="s">
        <v>34</v>
      </c>
      <c r="C3362" t="s">
        <v>76</v>
      </c>
      <c r="D3362" t="s">
        <v>77</v>
      </c>
      <c r="E3362" s="1" t="s">
        <v>99</v>
      </c>
      <c r="F3362" t="s">
        <v>100</v>
      </c>
      <c r="G3362">
        <v>39</v>
      </c>
      <c r="H3362">
        <v>34486</v>
      </c>
      <c r="I3362">
        <v>0</v>
      </c>
      <c r="J3362">
        <v>119</v>
      </c>
      <c r="K3362">
        <v>109</v>
      </c>
      <c r="L3362">
        <v>-34486</v>
      </c>
      <c r="M3362">
        <v>1</v>
      </c>
      <c r="N3362">
        <v>0</v>
      </c>
      <c r="O3362" s="1" t="s">
        <v>5487</v>
      </c>
      <c r="P3362">
        <v>0</v>
      </c>
      <c r="Q3362">
        <v>0</v>
      </c>
      <c r="R3362">
        <v>0</v>
      </c>
      <c r="S3362">
        <v>0</v>
      </c>
      <c r="T3362">
        <v>25.946113820000001</v>
      </c>
      <c r="U3362">
        <f t="shared" si="104"/>
        <v>0</v>
      </c>
      <c r="V3362">
        <f t="shared" si="105"/>
        <v>0</v>
      </c>
    </row>
    <row r="3363" spans="1:22" x14ac:dyDescent="0.2">
      <c r="A3363" t="s">
        <v>2676</v>
      </c>
      <c r="B3363" t="s">
        <v>35</v>
      </c>
      <c r="C3363" t="s">
        <v>76</v>
      </c>
      <c r="D3363" t="s">
        <v>77</v>
      </c>
      <c r="E3363" s="1" t="s">
        <v>82</v>
      </c>
      <c r="F3363" t="s">
        <v>83</v>
      </c>
      <c r="G3363">
        <v>11</v>
      </c>
      <c r="H3363">
        <v>35315</v>
      </c>
      <c r="I3363">
        <v>0</v>
      </c>
      <c r="J3363">
        <v>78</v>
      </c>
      <c r="K3363">
        <v>71</v>
      </c>
      <c r="L3363">
        <v>-35315</v>
      </c>
      <c r="M3363">
        <v>1</v>
      </c>
      <c r="N3363">
        <v>0</v>
      </c>
      <c r="O3363" s="1" t="s">
        <v>5488</v>
      </c>
      <c r="P3363">
        <v>0</v>
      </c>
      <c r="Q3363">
        <v>0</v>
      </c>
      <c r="R3363">
        <v>0</v>
      </c>
      <c r="S3363">
        <v>0</v>
      </c>
      <c r="T3363">
        <v>19.93039817</v>
      </c>
      <c r="U3363">
        <f t="shared" si="104"/>
        <v>0</v>
      </c>
      <c r="V3363">
        <f t="shared" si="105"/>
        <v>0</v>
      </c>
    </row>
    <row r="3364" spans="1:22" x14ac:dyDescent="0.2">
      <c r="A3364" t="s">
        <v>2676</v>
      </c>
      <c r="B3364" t="s">
        <v>35</v>
      </c>
      <c r="C3364" t="s">
        <v>76</v>
      </c>
      <c r="D3364" t="s">
        <v>77</v>
      </c>
      <c r="E3364" s="1" t="s">
        <v>155</v>
      </c>
      <c r="F3364" t="s">
        <v>156</v>
      </c>
      <c r="G3364" s="1" t="s">
        <v>155</v>
      </c>
      <c r="H3364">
        <v>6458</v>
      </c>
      <c r="I3364">
        <v>0</v>
      </c>
      <c r="J3364">
        <v>63</v>
      </c>
      <c r="K3364">
        <v>76</v>
      </c>
      <c r="L3364">
        <v>-6458</v>
      </c>
      <c r="M3364">
        <v>1</v>
      </c>
      <c r="N3364">
        <v>0</v>
      </c>
      <c r="O3364" s="1" t="s">
        <v>5489</v>
      </c>
      <c r="P3364">
        <v>0</v>
      </c>
      <c r="Q3364">
        <v>0</v>
      </c>
      <c r="R3364">
        <v>0</v>
      </c>
      <c r="S3364">
        <v>0</v>
      </c>
      <c r="T3364">
        <v>19.93039817</v>
      </c>
      <c r="U3364">
        <f t="shared" si="104"/>
        <v>0</v>
      </c>
      <c r="V3364">
        <f t="shared" si="105"/>
        <v>0</v>
      </c>
    </row>
    <row r="3365" spans="1:22" x14ac:dyDescent="0.2">
      <c r="A3365" t="s">
        <v>2676</v>
      </c>
      <c r="B3365" t="s">
        <v>35</v>
      </c>
      <c r="C3365" t="s">
        <v>76</v>
      </c>
      <c r="D3365" t="s">
        <v>77</v>
      </c>
      <c r="E3365">
        <v>18</v>
      </c>
      <c r="F3365" t="s">
        <v>147</v>
      </c>
      <c r="G3365">
        <v>92</v>
      </c>
      <c r="H3365">
        <v>164</v>
      </c>
      <c r="I3365">
        <v>0</v>
      </c>
      <c r="J3365">
        <v>90</v>
      </c>
      <c r="K3365">
        <v>66</v>
      </c>
      <c r="L3365">
        <v>-164</v>
      </c>
      <c r="M3365">
        <v>1</v>
      </c>
      <c r="N3365">
        <v>0</v>
      </c>
      <c r="O3365" s="1" t="s">
        <v>5490</v>
      </c>
      <c r="P3365">
        <v>0</v>
      </c>
      <c r="Q3365">
        <v>0</v>
      </c>
      <c r="R3365">
        <v>0</v>
      </c>
      <c r="S3365">
        <v>0</v>
      </c>
      <c r="T3365">
        <v>19.93039817</v>
      </c>
      <c r="U3365">
        <f t="shared" si="104"/>
        <v>0</v>
      </c>
      <c r="V3365">
        <f t="shared" si="105"/>
        <v>0</v>
      </c>
    </row>
    <row r="3366" spans="1:22" x14ac:dyDescent="0.2">
      <c r="A3366" t="s">
        <v>4657</v>
      </c>
      <c r="B3366" t="s">
        <v>55</v>
      </c>
      <c r="C3366" t="s">
        <v>76</v>
      </c>
      <c r="D3366" t="s">
        <v>77</v>
      </c>
      <c r="E3366">
        <v>20</v>
      </c>
      <c r="F3366" t="s">
        <v>104</v>
      </c>
      <c r="G3366">
        <v>95</v>
      </c>
      <c r="H3366">
        <v>22668</v>
      </c>
      <c r="I3366">
        <v>0</v>
      </c>
      <c r="J3366">
        <v>89</v>
      </c>
      <c r="K3366">
        <v>91</v>
      </c>
      <c r="L3366">
        <v>-22668</v>
      </c>
      <c r="M3366">
        <v>1</v>
      </c>
      <c r="N3366">
        <v>0</v>
      </c>
      <c r="O3366" s="1" t="s">
        <v>5491</v>
      </c>
      <c r="P3366">
        <v>0</v>
      </c>
      <c r="Q3366">
        <v>0</v>
      </c>
      <c r="R3366">
        <v>0</v>
      </c>
      <c r="S3366">
        <v>0</v>
      </c>
      <c r="T3366">
        <v>64.132670540000007</v>
      </c>
      <c r="U3366">
        <f t="shared" si="104"/>
        <v>0</v>
      </c>
      <c r="V3366">
        <f t="shared" si="105"/>
        <v>0</v>
      </c>
    </row>
    <row r="3367" spans="1:22" x14ac:dyDescent="0.2">
      <c r="A3367" t="s">
        <v>4657</v>
      </c>
      <c r="B3367" t="s">
        <v>55</v>
      </c>
      <c r="C3367" t="s">
        <v>76</v>
      </c>
      <c r="D3367" t="s">
        <v>77</v>
      </c>
      <c r="E3367" s="1" t="s">
        <v>138</v>
      </c>
      <c r="F3367" t="s">
        <v>139</v>
      </c>
      <c r="G3367">
        <v>17</v>
      </c>
      <c r="H3367">
        <v>29492</v>
      </c>
      <c r="I3367">
        <v>0</v>
      </c>
      <c r="J3367">
        <v>87</v>
      </c>
      <c r="K3367">
        <v>88</v>
      </c>
      <c r="L3367">
        <v>-29492</v>
      </c>
      <c r="M3367">
        <v>1</v>
      </c>
      <c r="N3367">
        <v>0</v>
      </c>
      <c r="O3367" s="1" t="s">
        <v>5492</v>
      </c>
      <c r="P3367">
        <v>0</v>
      </c>
      <c r="Q3367">
        <v>0</v>
      </c>
      <c r="R3367">
        <v>0</v>
      </c>
      <c r="S3367">
        <v>0</v>
      </c>
      <c r="T3367">
        <v>64.132670540000007</v>
      </c>
      <c r="U3367">
        <f t="shared" si="104"/>
        <v>0</v>
      </c>
      <c r="V3367">
        <f t="shared" si="105"/>
        <v>0</v>
      </c>
    </row>
    <row r="3368" spans="1:22" x14ac:dyDescent="0.2">
      <c r="A3368" t="s">
        <v>4657</v>
      </c>
      <c r="B3368" t="s">
        <v>55</v>
      </c>
      <c r="C3368" t="s">
        <v>76</v>
      </c>
      <c r="D3368" t="s">
        <v>77</v>
      </c>
      <c r="E3368">
        <v>10</v>
      </c>
      <c r="F3368" t="s">
        <v>119</v>
      </c>
      <c r="G3368">
        <v>49</v>
      </c>
      <c r="H3368">
        <v>1210</v>
      </c>
      <c r="I3368">
        <v>0</v>
      </c>
      <c r="J3368">
        <v>119</v>
      </c>
      <c r="K3368">
        <v>109</v>
      </c>
      <c r="L3368">
        <v>-1210</v>
      </c>
      <c r="M3368">
        <v>1</v>
      </c>
      <c r="N3368">
        <v>0</v>
      </c>
      <c r="O3368" s="1" t="s">
        <v>5493</v>
      </c>
      <c r="P3368">
        <v>0</v>
      </c>
      <c r="Q3368">
        <v>0</v>
      </c>
      <c r="R3368">
        <v>0</v>
      </c>
      <c r="S3368">
        <v>0</v>
      </c>
      <c r="T3368">
        <v>64.132670540000007</v>
      </c>
      <c r="U3368">
        <f t="shared" si="104"/>
        <v>0</v>
      </c>
      <c r="V3368">
        <f t="shared" si="105"/>
        <v>0</v>
      </c>
    </row>
    <row r="3369" spans="1:22" x14ac:dyDescent="0.2">
      <c r="A3369" t="s">
        <v>4657</v>
      </c>
      <c r="B3369" t="s">
        <v>55</v>
      </c>
      <c r="C3369" t="s">
        <v>76</v>
      </c>
      <c r="D3369" t="s">
        <v>77</v>
      </c>
      <c r="E3369">
        <v>17</v>
      </c>
      <c r="F3369" t="s">
        <v>97</v>
      </c>
      <c r="G3369">
        <v>87</v>
      </c>
      <c r="H3369">
        <v>283031</v>
      </c>
      <c r="I3369">
        <v>0</v>
      </c>
      <c r="J3369">
        <v>109</v>
      </c>
      <c r="K3369">
        <v>96</v>
      </c>
      <c r="L3369">
        <v>-283031</v>
      </c>
      <c r="M3369">
        <v>1</v>
      </c>
      <c r="N3369">
        <v>0</v>
      </c>
      <c r="O3369">
        <v>1.04527046974923E-3</v>
      </c>
      <c r="P3369">
        <v>0</v>
      </c>
      <c r="Q3369">
        <v>0</v>
      </c>
      <c r="R3369">
        <v>0</v>
      </c>
      <c r="S3369">
        <v>0</v>
      </c>
      <c r="T3369">
        <v>64.132670540000007</v>
      </c>
      <c r="U3369">
        <f t="shared" si="104"/>
        <v>0</v>
      </c>
      <c r="V3369">
        <f t="shared" si="105"/>
        <v>0</v>
      </c>
    </row>
    <row r="3370" spans="1:22" x14ac:dyDescent="0.2">
      <c r="A3370" t="s">
        <v>4657</v>
      </c>
      <c r="B3370" t="s">
        <v>55</v>
      </c>
      <c r="C3370" t="s">
        <v>76</v>
      </c>
      <c r="D3370" t="s">
        <v>77</v>
      </c>
      <c r="E3370">
        <v>14</v>
      </c>
      <c r="F3370" t="s">
        <v>261</v>
      </c>
      <c r="G3370">
        <v>71</v>
      </c>
      <c r="H3370">
        <v>0</v>
      </c>
      <c r="I3370">
        <v>603</v>
      </c>
      <c r="J3370">
        <v>98</v>
      </c>
      <c r="K3370">
        <v>80</v>
      </c>
      <c r="L3370">
        <v>603</v>
      </c>
      <c r="M3370">
        <v>0</v>
      </c>
      <c r="N3370">
        <v>1</v>
      </c>
      <c r="O3370" s="1" t="s">
        <v>5494</v>
      </c>
      <c r="P3370">
        <v>0</v>
      </c>
      <c r="Q3370">
        <v>0</v>
      </c>
      <c r="R3370">
        <v>0</v>
      </c>
      <c r="S3370">
        <v>0</v>
      </c>
      <c r="T3370">
        <v>64.132670540000007</v>
      </c>
      <c r="U3370">
        <f t="shared" si="104"/>
        <v>0</v>
      </c>
      <c r="V3370">
        <f t="shared" si="105"/>
        <v>0</v>
      </c>
    </row>
    <row r="3371" spans="1:22" x14ac:dyDescent="0.2">
      <c r="A3371" t="s">
        <v>2813</v>
      </c>
      <c r="B3371" t="s">
        <v>36</v>
      </c>
      <c r="C3371" t="s">
        <v>76</v>
      </c>
      <c r="D3371" t="s">
        <v>77</v>
      </c>
      <c r="E3371" s="1" t="s">
        <v>138</v>
      </c>
      <c r="F3371" t="s">
        <v>139</v>
      </c>
      <c r="G3371">
        <v>17</v>
      </c>
      <c r="H3371">
        <v>892</v>
      </c>
      <c r="I3371">
        <v>0</v>
      </c>
      <c r="J3371">
        <v>102</v>
      </c>
      <c r="K3371">
        <v>88</v>
      </c>
      <c r="L3371">
        <v>-892</v>
      </c>
      <c r="M3371">
        <v>1</v>
      </c>
      <c r="N3371">
        <v>0</v>
      </c>
      <c r="O3371" s="1" t="s">
        <v>5495</v>
      </c>
      <c r="P3371">
        <v>0</v>
      </c>
      <c r="Q3371">
        <v>0</v>
      </c>
      <c r="R3371">
        <v>0</v>
      </c>
      <c r="S3371">
        <v>0</v>
      </c>
      <c r="T3371">
        <v>25.83542374</v>
      </c>
      <c r="U3371">
        <f t="shared" si="104"/>
        <v>0</v>
      </c>
      <c r="V3371">
        <f t="shared" si="105"/>
        <v>0</v>
      </c>
    </row>
    <row r="3372" spans="1:22" x14ac:dyDescent="0.2">
      <c r="A3372" t="s">
        <v>2813</v>
      </c>
      <c r="B3372" t="s">
        <v>36</v>
      </c>
      <c r="C3372" t="s">
        <v>76</v>
      </c>
      <c r="D3372" t="s">
        <v>77</v>
      </c>
      <c r="E3372">
        <v>15</v>
      </c>
      <c r="F3372" t="s">
        <v>88</v>
      </c>
      <c r="G3372">
        <v>83</v>
      </c>
      <c r="H3372">
        <v>155</v>
      </c>
      <c r="I3372">
        <v>28</v>
      </c>
      <c r="J3372">
        <v>123</v>
      </c>
      <c r="K3372">
        <v>81</v>
      </c>
      <c r="L3372">
        <v>-127</v>
      </c>
      <c r="M3372" s="1" t="s">
        <v>5496</v>
      </c>
      <c r="N3372" s="1" t="s">
        <v>5497</v>
      </c>
      <c r="O3372" s="1" t="s">
        <v>5498</v>
      </c>
      <c r="P3372">
        <v>0</v>
      </c>
      <c r="Q3372">
        <v>0</v>
      </c>
      <c r="R3372">
        <v>0</v>
      </c>
      <c r="S3372">
        <v>0</v>
      </c>
      <c r="T3372">
        <v>25.83542374</v>
      </c>
      <c r="U3372">
        <f t="shared" si="104"/>
        <v>0</v>
      </c>
      <c r="V3372">
        <f t="shared" si="105"/>
        <v>0</v>
      </c>
    </row>
    <row r="3373" spans="1:22" x14ac:dyDescent="0.2">
      <c r="A3373" t="s">
        <v>2813</v>
      </c>
      <c r="B3373" t="s">
        <v>36</v>
      </c>
      <c r="C3373" t="s">
        <v>76</v>
      </c>
      <c r="D3373" t="s">
        <v>77</v>
      </c>
      <c r="E3373">
        <v>11</v>
      </c>
      <c r="F3373" t="s">
        <v>127</v>
      </c>
      <c r="G3373">
        <v>57</v>
      </c>
      <c r="H3373">
        <v>3377</v>
      </c>
      <c r="I3373">
        <v>0</v>
      </c>
      <c r="J3373">
        <v>63</v>
      </c>
      <c r="K3373">
        <v>78</v>
      </c>
      <c r="L3373">
        <v>-3377</v>
      </c>
      <c r="M3373">
        <v>1</v>
      </c>
      <c r="N3373">
        <v>0</v>
      </c>
      <c r="O3373" s="1" t="s">
        <v>5499</v>
      </c>
      <c r="P3373">
        <v>0</v>
      </c>
      <c r="Q3373">
        <v>0</v>
      </c>
      <c r="R3373">
        <v>0</v>
      </c>
      <c r="S3373">
        <v>0</v>
      </c>
      <c r="T3373">
        <v>25.83542374</v>
      </c>
      <c r="U3373">
        <f t="shared" si="104"/>
        <v>0</v>
      </c>
      <c r="V3373">
        <f t="shared" si="105"/>
        <v>0</v>
      </c>
    </row>
    <row r="3374" spans="1:22" x14ac:dyDescent="0.2">
      <c r="A3374" t="s">
        <v>2898</v>
      </c>
      <c r="B3374" t="s">
        <v>37</v>
      </c>
      <c r="C3374" t="s">
        <v>76</v>
      </c>
      <c r="D3374" t="s">
        <v>77</v>
      </c>
      <c r="E3374">
        <v>13</v>
      </c>
      <c r="F3374" t="s">
        <v>91</v>
      </c>
      <c r="G3374">
        <v>70</v>
      </c>
      <c r="H3374">
        <v>15967</v>
      </c>
      <c r="I3374">
        <v>0</v>
      </c>
      <c r="J3374">
        <v>98</v>
      </c>
      <c r="K3374">
        <v>88</v>
      </c>
      <c r="L3374">
        <v>-15967</v>
      </c>
      <c r="M3374">
        <v>1</v>
      </c>
      <c r="N3374">
        <v>0</v>
      </c>
      <c r="O3374" s="1" t="s">
        <v>5500</v>
      </c>
      <c r="P3374">
        <v>0</v>
      </c>
      <c r="Q3374">
        <v>0</v>
      </c>
      <c r="R3374">
        <v>0</v>
      </c>
      <c r="S3374">
        <v>0</v>
      </c>
      <c r="T3374">
        <v>25.226674899999999</v>
      </c>
      <c r="U3374">
        <f t="shared" si="104"/>
        <v>0</v>
      </c>
      <c r="V3374">
        <f t="shared" si="105"/>
        <v>0</v>
      </c>
    </row>
    <row r="3375" spans="1:22" x14ac:dyDescent="0.2">
      <c r="A3375" t="s">
        <v>2898</v>
      </c>
      <c r="B3375" t="s">
        <v>37</v>
      </c>
      <c r="C3375" t="s">
        <v>76</v>
      </c>
      <c r="D3375" t="s">
        <v>77</v>
      </c>
      <c r="E3375" s="1" t="s">
        <v>82</v>
      </c>
      <c r="F3375" t="s">
        <v>83</v>
      </c>
      <c r="G3375">
        <v>11</v>
      </c>
      <c r="H3375">
        <v>13699</v>
      </c>
      <c r="I3375">
        <v>0</v>
      </c>
      <c r="J3375">
        <v>87</v>
      </c>
      <c r="K3375">
        <v>71</v>
      </c>
      <c r="L3375">
        <v>-13699</v>
      </c>
      <c r="M3375">
        <v>1</v>
      </c>
      <c r="N3375">
        <v>0</v>
      </c>
      <c r="O3375" s="1" t="s">
        <v>5501</v>
      </c>
      <c r="P3375">
        <v>0</v>
      </c>
      <c r="Q3375">
        <v>0</v>
      </c>
      <c r="R3375">
        <v>0</v>
      </c>
      <c r="S3375">
        <v>0</v>
      </c>
      <c r="T3375">
        <v>25.226674899999999</v>
      </c>
      <c r="U3375">
        <f t="shared" si="104"/>
        <v>0</v>
      </c>
      <c r="V3375">
        <f t="shared" si="105"/>
        <v>0</v>
      </c>
    </row>
    <row r="3376" spans="1:22" x14ac:dyDescent="0.2">
      <c r="A3376" t="s">
        <v>2898</v>
      </c>
      <c r="B3376" t="s">
        <v>37</v>
      </c>
      <c r="C3376" t="s">
        <v>76</v>
      </c>
      <c r="D3376" t="s">
        <v>77</v>
      </c>
      <c r="E3376">
        <v>19</v>
      </c>
      <c r="F3376" t="s">
        <v>838</v>
      </c>
      <c r="G3376">
        <v>93</v>
      </c>
      <c r="H3376">
        <v>669</v>
      </c>
      <c r="I3376">
        <v>0</v>
      </c>
      <c r="J3376">
        <v>85</v>
      </c>
      <c r="K3376">
        <v>36</v>
      </c>
      <c r="L3376">
        <v>-669</v>
      </c>
      <c r="M3376">
        <v>1</v>
      </c>
      <c r="N3376">
        <v>0</v>
      </c>
      <c r="O3376" s="1" t="s">
        <v>5502</v>
      </c>
      <c r="P3376">
        <v>0</v>
      </c>
      <c r="Q3376">
        <v>0</v>
      </c>
      <c r="R3376">
        <v>0</v>
      </c>
      <c r="S3376">
        <v>0</v>
      </c>
      <c r="T3376">
        <v>25.226674899999999</v>
      </c>
      <c r="U3376">
        <f t="shared" si="104"/>
        <v>0</v>
      </c>
      <c r="V3376">
        <f t="shared" si="105"/>
        <v>0</v>
      </c>
    </row>
    <row r="3377" spans="1:22" x14ac:dyDescent="0.2">
      <c r="A3377" t="s">
        <v>2898</v>
      </c>
      <c r="B3377" t="s">
        <v>37</v>
      </c>
      <c r="C3377" t="s">
        <v>76</v>
      </c>
      <c r="D3377" t="s">
        <v>77</v>
      </c>
      <c r="E3377">
        <v>11</v>
      </c>
      <c r="F3377" t="s">
        <v>127</v>
      </c>
      <c r="G3377">
        <v>59</v>
      </c>
      <c r="H3377">
        <v>641</v>
      </c>
      <c r="I3377">
        <v>0</v>
      </c>
      <c r="J3377">
        <v>81</v>
      </c>
      <c r="K3377">
        <v>68</v>
      </c>
      <c r="L3377">
        <v>-641</v>
      </c>
      <c r="M3377">
        <v>1</v>
      </c>
      <c r="N3377">
        <v>0</v>
      </c>
      <c r="O3377" s="1" t="s">
        <v>5503</v>
      </c>
      <c r="P3377">
        <v>0</v>
      </c>
      <c r="Q3377">
        <v>0</v>
      </c>
      <c r="R3377">
        <v>0</v>
      </c>
      <c r="S3377">
        <v>0</v>
      </c>
      <c r="T3377">
        <v>25.226674899999999</v>
      </c>
      <c r="U3377">
        <f t="shared" si="104"/>
        <v>0</v>
      </c>
      <c r="V3377">
        <f t="shared" si="105"/>
        <v>0</v>
      </c>
    </row>
    <row r="3378" spans="1:22" x14ac:dyDescent="0.2">
      <c r="A3378" t="s">
        <v>2898</v>
      </c>
      <c r="B3378" t="s">
        <v>37</v>
      </c>
      <c r="C3378" t="s">
        <v>76</v>
      </c>
      <c r="D3378" t="s">
        <v>77</v>
      </c>
      <c r="E3378">
        <v>11</v>
      </c>
      <c r="F3378" t="s">
        <v>127</v>
      </c>
      <c r="G3378">
        <v>54</v>
      </c>
      <c r="H3378">
        <v>15</v>
      </c>
      <c r="I3378">
        <v>0</v>
      </c>
      <c r="J3378">
        <v>81</v>
      </c>
      <c r="K3378">
        <v>68</v>
      </c>
      <c r="L3378">
        <v>-15</v>
      </c>
      <c r="M3378">
        <v>1</v>
      </c>
      <c r="N3378">
        <v>0</v>
      </c>
      <c r="O3378" s="1" t="s">
        <v>5504</v>
      </c>
      <c r="P3378">
        <v>0</v>
      </c>
      <c r="Q3378">
        <v>0</v>
      </c>
      <c r="R3378">
        <v>0</v>
      </c>
      <c r="S3378">
        <v>0</v>
      </c>
      <c r="T3378">
        <v>25.226674899999999</v>
      </c>
      <c r="U3378">
        <f t="shared" si="104"/>
        <v>0</v>
      </c>
      <c r="V3378">
        <f t="shared" si="105"/>
        <v>0</v>
      </c>
    </row>
    <row r="3379" spans="1:22" x14ac:dyDescent="0.2">
      <c r="A3379" t="s">
        <v>2999</v>
      </c>
      <c r="B3379" t="s">
        <v>39</v>
      </c>
      <c r="C3379" t="s">
        <v>76</v>
      </c>
      <c r="D3379" t="s">
        <v>77</v>
      </c>
      <c r="E3379" s="1" t="s">
        <v>85</v>
      </c>
      <c r="F3379" t="s">
        <v>86</v>
      </c>
      <c r="G3379">
        <v>25</v>
      </c>
      <c r="H3379">
        <v>8140411</v>
      </c>
      <c r="I3379">
        <v>0</v>
      </c>
      <c r="J3379">
        <v>39</v>
      </c>
      <c r="K3379">
        <v>95</v>
      </c>
      <c r="L3379">
        <v>-8140411</v>
      </c>
      <c r="M3379">
        <v>1</v>
      </c>
      <c r="N3379">
        <v>0</v>
      </c>
      <c r="O3379" s="1" t="s">
        <v>5505</v>
      </c>
      <c r="P3379">
        <v>0</v>
      </c>
      <c r="Q3379">
        <v>0</v>
      </c>
      <c r="R3379">
        <v>0</v>
      </c>
      <c r="S3379">
        <v>0</v>
      </c>
      <c r="T3379">
        <v>123.159243</v>
      </c>
      <c r="U3379">
        <f t="shared" si="104"/>
        <v>0</v>
      </c>
      <c r="V3379">
        <f t="shared" si="105"/>
        <v>0</v>
      </c>
    </row>
    <row r="3380" spans="1:22" x14ac:dyDescent="0.2">
      <c r="A3380" t="s">
        <v>2999</v>
      </c>
      <c r="B3380" t="s">
        <v>39</v>
      </c>
      <c r="C3380" t="s">
        <v>76</v>
      </c>
      <c r="D3380" t="s">
        <v>77</v>
      </c>
      <c r="E3380">
        <v>15</v>
      </c>
      <c r="F3380" t="s">
        <v>88</v>
      </c>
      <c r="G3380">
        <v>72</v>
      </c>
      <c r="H3380">
        <v>203235</v>
      </c>
      <c r="I3380">
        <v>0</v>
      </c>
      <c r="J3380">
        <v>118</v>
      </c>
      <c r="K3380">
        <v>74</v>
      </c>
      <c r="L3380">
        <v>-203235</v>
      </c>
      <c r="M3380">
        <v>1</v>
      </c>
      <c r="N3380">
        <v>0</v>
      </c>
      <c r="O3380">
        <v>9.9573500000073398E-3</v>
      </c>
      <c r="P3380">
        <v>0</v>
      </c>
      <c r="Q3380">
        <v>0</v>
      </c>
      <c r="R3380">
        <v>0</v>
      </c>
      <c r="S3380">
        <v>0</v>
      </c>
      <c r="T3380">
        <v>123.159243</v>
      </c>
      <c r="U3380">
        <f t="shared" si="104"/>
        <v>0</v>
      </c>
      <c r="V3380">
        <f t="shared" si="105"/>
        <v>0</v>
      </c>
    </row>
    <row r="3381" spans="1:22" x14ac:dyDescent="0.2">
      <c r="A3381" t="s">
        <v>2999</v>
      </c>
      <c r="B3381" t="s">
        <v>39</v>
      </c>
      <c r="C3381" t="s">
        <v>76</v>
      </c>
      <c r="D3381" t="s">
        <v>77</v>
      </c>
      <c r="E3381" s="1" t="s">
        <v>89</v>
      </c>
      <c r="F3381" t="s">
        <v>90</v>
      </c>
      <c r="G3381">
        <v>28</v>
      </c>
      <c r="H3381">
        <v>1465</v>
      </c>
      <c r="I3381">
        <v>0</v>
      </c>
      <c r="J3381">
        <v>134</v>
      </c>
      <c r="K3381">
        <v>85</v>
      </c>
      <c r="L3381">
        <v>-1465</v>
      </c>
      <c r="M3381">
        <v>1</v>
      </c>
      <c r="N3381">
        <v>0</v>
      </c>
      <c r="O3381" s="1" t="s">
        <v>5506</v>
      </c>
      <c r="P3381">
        <v>0</v>
      </c>
      <c r="Q3381">
        <v>0</v>
      </c>
      <c r="R3381">
        <v>0</v>
      </c>
      <c r="S3381">
        <v>0</v>
      </c>
      <c r="T3381">
        <v>123.159243</v>
      </c>
      <c r="U3381">
        <f t="shared" si="104"/>
        <v>0</v>
      </c>
      <c r="V3381">
        <f t="shared" si="105"/>
        <v>0</v>
      </c>
    </row>
    <row r="3382" spans="1:22" x14ac:dyDescent="0.2">
      <c r="A3382" t="s">
        <v>3011</v>
      </c>
      <c r="B3382" t="s">
        <v>40</v>
      </c>
      <c r="C3382" t="s">
        <v>76</v>
      </c>
      <c r="D3382" t="s">
        <v>77</v>
      </c>
      <c r="E3382">
        <v>19</v>
      </c>
      <c r="F3382" t="s">
        <v>838</v>
      </c>
      <c r="G3382">
        <v>93</v>
      </c>
      <c r="H3382">
        <v>1512291</v>
      </c>
      <c r="I3382">
        <v>0</v>
      </c>
      <c r="J3382">
        <v>25</v>
      </c>
      <c r="K3382">
        <v>36</v>
      </c>
      <c r="L3382">
        <v>-1512291</v>
      </c>
      <c r="M3382">
        <v>1</v>
      </c>
      <c r="N3382">
        <v>0</v>
      </c>
      <c r="O3382" s="1" t="s">
        <v>5507</v>
      </c>
      <c r="P3382">
        <v>0</v>
      </c>
      <c r="Q3382">
        <v>0</v>
      </c>
      <c r="R3382">
        <v>0</v>
      </c>
      <c r="S3382">
        <v>0</v>
      </c>
      <c r="T3382">
        <v>12.30838397</v>
      </c>
      <c r="U3382">
        <f t="shared" si="104"/>
        <v>0</v>
      </c>
      <c r="V3382">
        <f t="shared" si="105"/>
        <v>0</v>
      </c>
    </row>
    <row r="3383" spans="1:22" x14ac:dyDescent="0.2">
      <c r="A3383" t="s">
        <v>3011</v>
      </c>
      <c r="B3383" t="s">
        <v>40</v>
      </c>
      <c r="C3383" t="s">
        <v>76</v>
      </c>
      <c r="D3383" t="s">
        <v>77</v>
      </c>
      <c r="E3383">
        <v>11</v>
      </c>
      <c r="F3383" t="s">
        <v>127</v>
      </c>
      <c r="G3383">
        <v>56</v>
      </c>
      <c r="H3383">
        <v>1663762</v>
      </c>
      <c r="I3383">
        <v>0</v>
      </c>
      <c r="J3383">
        <v>36</v>
      </c>
      <c r="K3383">
        <v>77</v>
      </c>
      <c r="L3383">
        <v>-1663762</v>
      </c>
      <c r="M3383">
        <v>1</v>
      </c>
      <c r="N3383">
        <v>0</v>
      </c>
      <c r="O3383" s="1" t="s">
        <v>5508</v>
      </c>
      <c r="P3383">
        <v>0</v>
      </c>
      <c r="Q3383">
        <v>0</v>
      </c>
      <c r="R3383">
        <v>0</v>
      </c>
      <c r="S3383">
        <v>0</v>
      </c>
      <c r="T3383">
        <v>12.30838397</v>
      </c>
      <c r="U3383">
        <f t="shared" si="104"/>
        <v>0</v>
      </c>
      <c r="V3383">
        <f t="shared" si="105"/>
        <v>0</v>
      </c>
    </row>
    <row r="3384" spans="1:22" x14ac:dyDescent="0.2">
      <c r="A3384" t="s">
        <v>3011</v>
      </c>
      <c r="B3384" t="s">
        <v>40</v>
      </c>
      <c r="C3384" t="s">
        <v>76</v>
      </c>
      <c r="D3384" t="s">
        <v>77</v>
      </c>
      <c r="E3384">
        <v>13</v>
      </c>
      <c r="F3384" t="s">
        <v>91</v>
      </c>
      <c r="G3384">
        <v>68</v>
      </c>
      <c r="H3384">
        <v>12554</v>
      </c>
      <c r="I3384">
        <v>0</v>
      </c>
      <c r="J3384">
        <v>100</v>
      </c>
      <c r="K3384">
        <v>85</v>
      </c>
      <c r="L3384">
        <v>-12554</v>
      </c>
      <c r="M3384">
        <v>1</v>
      </c>
      <c r="N3384">
        <v>0</v>
      </c>
      <c r="O3384" s="1" t="s">
        <v>5509</v>
      </c>
      <c r="P3384">
        <v>0</v>
      </c>
      <c r="Q3384">
        <v>0</v>
      </c>
      <c r="R3384">
        <v>0</v>
      </c>
      <c r="S3384">
        <v>0</v>
      </c>
      <c r="T3384">
        <v>12.30838397</v>
      </c>
      <c r="U3384">
        <f t="shared" si="104"/>
        <v>0</v>
      </c>
      <c r="V3384">
        <f t="shared" si="105"/>
        <v>0</v>
      </c>
    </row>
    <row r="3385" spans="1:22" x14ac:dyDescent="0.2">
      <c r="A3385" t="s">
        <v>3011</v>
      </c>
      <c r="B3385" t="s">
        <v>40</v>
      </c>
      <c r="C3385" t="s">
        <v>76</v>
      </c>
      <c r="D3385" t="s">
        <v>77</v>
      </c>
      <c r="E3385" s="1" t="s">
        <v>89</v>
      </c>
      <c r="F3385" t="s">
        <v>90</v>
      </c>
      <c r="G3385">
        <v>36</v>
      </c>
      <c r="H3385">
        <v>4574708</v>
      </c>
      <c r="I3385">
        <v>0</v>
      </c>
      <c r="J3385">
        <v>15</v>
      </c>
      <c r="K3385">
        <v>37</v>
      </c>
      <c r="L3385">
        <v>-4574708</v>
      </c>
      <c r="M3385">
        <v>1</v>
      </c>
      <c r="N3385">
        <v>0</v>
      </c>
      <c r="O3385">
        <v>1.10207406524189E-3</v>
      </c>
      <c r="P3385">
        <v>0</v>
      </c>
      <c r="Q3385">
        <v>0</v>
      </c>
      <c r="R3385">
        <v>0</v>
      </c>
      <c r="S3385">
        <v>0</v>
      </c>
      <c r="T3385">
        <v>12.30838397</v>
      </c>
      <c r="U3385">
        <f t="shared" si="104"/>
        <v>0</v>
      </c>
      <c r="V3385">
        <f t="shared" si="105"/>
        <v>0</v>
      </c>
    </row>
    <row r="3386" spans="1:22" x14ac:dyDescent="0.2">
      <c r="A3386" t="s">
        <v>3011</v>
      </c>
      <c r="B3386" t="s">
        <v>40</v>
      </c>
      <c r="C3386" t="s">
        <v>76</v>
      </c>
      <c r="D3386" t="s">
        <v>77</v>
      </c>
      <c r="E3386">
        <v>12</v>
      </c>
      <c r="F3386" t="s">
        <v>194</v>
      </c>
      <c r="G3386">
        <v>64</v>
      </c>
      <c r="H3386">
        <v>2100</v>
      </c>
      <c r="I3386">
        <v>0</v>
      </c>
      <c r="J3386">
        <v>90</v>
      </c>
      <c r="K3386">
        <v>94</v>
      </c>
      <c r="L3386">
        <v>-2100</v>
      </c>
      <c r="M3386">
        <v>1</v>
      </c>
      <c r="N3386">
        <v>0</v>
      </c>
      <c r="O3386" s="1" t="s">
        <v>5510</v>
      </c>
      <c r="P3386">
        <v>0</v>
      </c>
      <c r="Q3386">
        <v>0</v>
      </c>
      <c r="R3386">
        <v>0</v>
      </c>
      <c r="S3386">
        <v>0</v>
      </c>
      <c r="T3386">
        <v>12.30838397</v>
      </c>
      <c r="U3386">
        <f t="shared" si="104"/>
        <v>0</v>
      </c>
      <c r="V3386">
        <f t="shared" si="105"/>
        <v>0</v>
      </c>
    </row>
    <row r="3387" spans="1:22" x14ac:dyDescent="0.2">
      <c r="A3387" t="s">
        <v>3011</v>
      </c>
      <c r="B3387" t="s">
        <v>40</v>
      </c>
      <c r="C3387" t="s">
        <v>76</v>
      </c>
      <c r="D3387" t="s">
        <v>77</v>
      </c>
      <c r="E3387">
        <v>18</v>
      </c>
      <c r="F3387" t="s">
        <v>147</v>
      </c>
      <c r="G3387">
        <v>91</v>
      </c>
      <c r="H3387">
        <v>818</v>
      </c>
      <c r="I3387">
        <v>54579</v>
      </c>
      <c r="J3387">
        <v>76</v>
      </c>
      <c r="K3387">
        <v>45</v>
      </c>
      <c r="L3387">
        <v>53761</v>
      </c>
      <c r="M3387" s="1" t="s">
        <v>5511</v>
      </c>
      <c r="N3387" s="1" t="s">
        <v>5512</v>
      </c>
      <c r="O3387" s="1" t="s">
        <v>5513</v>
      </c>
      <c r="P3387">
        <v>0</v>
      </c>
      <c r="Q3387">
        <v>0</v>
      </c>
      <c r="R3387">
        <v>0</v>
      </c>
      <c r="S3387">
        <v>0</v>
      </c>
      <c r="T3387">
        <v>12.30838397</v>
      </c>
      <c r="U3387">
        <f t="shared" si="104"/>
        <v>0</v>
      </c>
      <c r="V3387">
        <f t="shared" si="105"/>
        <v>0</v>
      </c>
    </row>
    <row r="3388" spans="1:22" x14ac:dyDescent="0.2">
      <c r="A3388" t="s">
        <v>3011</v>
      </c>
      <c r="B3388" t="s">
        <v>40</v>
      </c>
      <c r="C3388" t="s">
        <v>76</v>
      </c>
      <c r="D3388" t="s">
        <v>77</v>
      </c>
      <c r="E3388">
        <v>15</v>
      </c>
      <c r="F3388" t="s">
        <v>88</v>
      </c>
      <c r="G3388">
        <v>81</v>
      </c>
      <c r="H3388">
        <v>0</v>
      </c>
      <c r="I3388">
        <v>47629</v>
      </c>
      <c r="J3388">
        <v>79</v>
      </c>
      <c r="K3388">
        <v>42</v>
      </c>
      <c r="L3388">
        <v>47629</v>
      </c>
      <c r="M3388">
        <v>0</v>
      </c>
      <c r="N3388">
        <v>1</v>
      </c>
      <c r="O3388" s="1" t="s">
        <v>5514</v>
      </c>
      <c r="P3388">
        <v>0</v>
      </c>
      <c r="Q3388">
        <v>0</v>
      </c>
      <c r="R3388">
        <v>0</v>
      </c>
      <c r="S3388">
        <v>0</v>
      </c>
      <c r="T3388">
        <v>12.30838397</v>
      </c>
      <c r="U3388">
        <f t="shared" si="104"/>
        <v>0</v>
      </c>
      <c r="V3388">
        <f t="shared" si="105"/>
        <v>0</v>
      </c>
    </row>
    <row r="3389" spans="1:22" x14ac:dyDescent="0.2">
      <c r="A3389" t="s">
        <v>3011</v>
      </c>
      <c r="B3389" t="s">
        <v>40</v>
      </c>
      <c r="C3389" t="s">
        <v>76</v>
      </c>
      <c r="D3389" t="s">
        <v>77</v>
      </c>
      <c r="E3389">
        <v>15</v>
      </c>
      <c r="F3389" t="s">
        <v>88</v>
      </c>
      <c r="G3389">
        <v>80</v>
      </c>
      <c r="H3389">
        <v>0</v>
      </c>
      <c r="I3389">
        <v>175222</v>
      </c>
      <c r="J3389">
        <v>55</v>
      </c>
      <c r="K3389">
        <v>18</v>
      </c>
      <c r="L3389">
        <v>175222</v>
      </c>
      <c r="M3389">
        <v>0</v>
      </c>
      <c r="N3389">
        <v>1</v>
      </c>
      <c r="O3389" s="1" t="s">
        <v>5515</v>
      </c>
      <c r="P3389">
        <v>0</v>
      </c>
      <c r="Q3389">
        <v>0</v>
      </c>
      <c r="R3389">
        <v>0</v>
      </c>
      <c r="S3389">
        <v>0</v>
      </c>
      <c r="T3389">
        <v>12.30838397</v>
      </c>
      <c r="U3389">
        <f t="shared" si="104"/>
        <v>0</v>
      </c>
      <c r="V3389">
        <f t="shared" si="105"/>
        <v>0</v>
      </c>
    </row>
    <row r="3390" spans="1:22" x14ac:dyDescent="0.2">
      <c r="A3390" t="s">
        <v>3148</v>
      </c>
      <c r="B3390" t="s">
        <v>42</v>
      </c>
      <c r="C3390" t="s">
        <v>76</v>
      </c>
      <c r="D3390" t="s">
        <v>77</v>
      </c>
      <c r="E3390">
        <v>11</v>
      </c>
      <c r="F3390" t="s">
        <v>127</v>
      </c>
      <c r="G3390">
        <v>62</v>
      </c>
      <c r="H3390">
        <v>0</v>
      </c>
      <c r="I3390">
        <v>131</v>
      </c>
      <c r="J3390">
        <v>131</v>
      </c>
      <c r="K3390">
        <v>99</v>
      </c>
      <c r="L3390">
        <v>131</v>
      </c>
      <c r="M3390">
        <v>0</v>
      </c>
      <c r="N3390">
        <v>1</v>
      </c>
      <c r="O3390" s="1" t="s">
        <v>5516</v>
      </c>
      <c r="P3390">
        <v>0</v>
      </c>
      <c r="Q3390">
        <v>0</v>
      </c>
      <c r="R3390">
        <v>0</v>
      </c>
      <c r="S3390">
        <v>0</v>
      </c>
      <c r="T3390">
        <v>2.5920305099999998</v>
      </c>
      <c r="U3390">
        <f t="shared" si="104"/>
        <v>0</v>
      </c>
      <c r="V3390">
        <f t="shared" si="105"/>
        <v>0</v>
      </c>
    </row>
    <row r="3391" spans="1:22" x14ac:dyDescent="0.2">
      <c r="A3391" t="s">
        <v>3180</v>
      </c>
      <c r="B3391" t="s">
        <v>43</v>
      </c>
      <c r="C3391" t="s">
        <v>76</v>
      </c>
      <c r="D3391" t="s">
        <v>77</v>
      </c>
      <c r="E3391">
        <v>19</v>
      </c>
      <c r="F3391" t="s">
        <v>838</v>
      </c>
      <c r="G3391">
        <v>93</v>
      </c>
      <c r="H3391">
        <v>16697</v>
      </c>
      <c r="I3391">
        <v>0</v>
      </c>
      <c r="J3391">
        <v>65</v>
      </c>
      <c r="K3391">
        <v>36</v>
      </c>
      <c r="L3391">
        <v>-16697</v>
      </c>
      <c r="M3391">
        <v>1</v>
      </c>
      <c r="N3391">
        <v>0</v>
      </c>
      <c r="O3391" s="1" t="s">
        <v>5517</v>
      </c>
      <c r="P3391">
        <v>0</v>
      </c>
      <c r="Q3391">
        <v>0</v>
      </c>
      <c r="R3391">
        <v>0</v>
      </c>
      <c r="S3391">
        <v>0</v>
      </c>
      <c r="T3391">
        <v>134.31486390000001</v>
      </c>
      <c r="U3391">
        <f t="shared" si="104"/>
        <v>0</v>
      </c>
      <c r="V3391">
        <f t="shared" si="105"/>
        <v>0</v>
      </c>
    </row>
    <row r="3392" spans="1:22" x14ac:dyDescent="0.2">
      <c r="A3392" t="s">
        <v>3180</v>
      </c>
      <c r="B3392" t="s">
        <v>43</v>
      </c>
      <c r="C3392" t="s">
        <v>76</v>
      </c>
      <c r="D3392" t="s">
        <v>77</v>
      </c>
      <c r="E3392">
        <v>11</v>
      </c>
      <c r="F3392" t="s">
        <v>127</v>
      </c>
      <c r="G3392">
        <v>59</v>
      </c>
      <c r="H3392">
        <v>9659</v>
      </c>
      <c r="I3392">
        <v>0</v>
      </c>
      <c r="J3392">
        <v>63</v>
      </c>
      <c r="K3392">
        <v>68</v>
      </c>
      <c r="L3392">
        <v>-9659</v>
      </c>
      <c r="M3392">
        <v>1</v>
      </c>
      <c r="N3392">
        <v>0</v>
      </c>
      <c r="O3392" s="1" t="s">
        <v>5518</v>
      </c>
      <c r="P3392">
        <v>0</v>
      </c>
      <c r="Q3392">
        <v>0</v>
      </c>
      <c r="R3392">
        <v>0</v>
      </c>
      <c r="S3392">
        <v>0</v>
      </c>
      <c r="T3392">
        <v>134.31486390000001</v>
      </c>
      <c r="U3392">
        <f t="shared" si="104"/>
        <v>0</v>
      </c>
      <c r="V3392">
        <f t="shared" si="105"/>
        <v>0</v>
      </c>
    </row>
    <row r="3393" spans="1:22" x14ac:dyDescent="0.2">
      <c r="A3393" t="s">
        <v>3180</v>
      </c>
      <c r="B3393" t="s">
        <v>43</v>
      </c>
      <c r="C3393" t="s">
        <v>76</v>
      </c>
      <c r="D3393" t="s">
        <v>77</v>
      </c>
      <c r="E3393" s="1" t="s">
        <v>138</v>
      </c>
      <c r="F3393" t="s">
        <v>139</v>
      </c>
      <c r="G3393">
        <v>23</v>
      </c>
      <c r="H3393">
        <v>690</v>
      </c>
      <c r="I3393">
        <v>0</v>
      </c>
      <c r="J3393">
        <v>88</v>
      </c>
      <c r="K3393">
        <v>61</v>
      </c>
      <c r="L3393">
        <v>-690</v>
      </c>
      <c r="M3393">
        <v>1</v>
      </c>
      <c r="N3393">
        <v>0</v>
      </c>
      <c r="O3393" s="1" t="s">
        <v>5519</v>
      </c>
      <c r="P3393">
        <v>0</v>
      </c>
      <c r="Q3393">
        <v>0</v>
      </c>
      <c r="R3393">
        <v>0</v>
      </c>
      <c r="S3393">
        <v>0</v>
      </c>
      <c r="T3393">
        <v>134.31486390000001</v>
      </c>
      <c r="U3393">
        <f t="shared" si="104"/>
        <v>0</v>
      </c>
      <c r="V3393">
        <f t="shared" si="105"/>
        <v>0</v>
      </c>
    </row>
    <row r="3394" spans="1:22" x14ac:dyDescent="0.2">
      <c r="A3394" t="s">
        <v>3180</v>
      </c>
      <c r="B3394" t="s">
        <v>43</v>
      </c>
      <c r="C3394" t="s">
        <v>76</v>
      </c>
      <c r="D3394" t="s">
        <v>77</v>
      </c>
      <c r="E3394">
        <v>21</v>
      </c>
      <c r="F3394" t="s">
        <v>212</v>
      </c>
      <c r="G3394">
        <v>97</v>
      </c>
      <c r="H3394">
        <v>124</v>
      </c>
      <c r="I3394">
        <v>0</v>
      </c>
      <c r="J3394">
        <v>93</v>
      </c>
      <c r="K3394">
        <v>90</v>
      </c>
      <c r="L3394">
        <v>-124</v>
      </c>
      <c r="M3394">
        <v>1</v>
      </c>
      <c r="N3394">
        <v>0</v>
      </c>
      <c r="O3394" s="1" t="s">
        <v>5520</v>
      </c>
      <c r="P3394">
        <v>0</v>
      </c>
      <c r="Q3394">
        <v>0</v>
      </c>
      <c r="R3394">
        <v>0</v>
      </c>
      <c r="S3394">
        <v>0</v>
      </c>
      <c r="T3394">
        <v>134.31486390000001</v>
      </c>
      <c r="U3394">
        <f t="shared" si="104"/>
        <v>0</v>
      </c>
      <c r="V3394">
        <f t="shared" si="105"/>
        <v>0</v>
      </c>
    </row>
    <row r="3395" spans="1:22" x14ac:dyDescent="0.2">
      <c r="A3395" t="s">
        <v>3180</v>
      </c>
      <c r="B3395" t="s">
        <v>43</v>
      </c>
      <c r="C3395" t="s">
        <v>76</v>
      </c>
      <c r="D3395" t="s">
        <v>77</v>
      </c>
      <c r="E3395">
        <v>12</v>
      </c>
      <c r="F3395" t="s">
        <v>194</v>
      </c>
      <c r="G3395">
        <v>66</v>
      </c>
      <c r="H3395">
        <v>202</v>
      </c>
      <c r="I3395">
        <v>0</v>
      </c>
      <c r="J3395">
        <v>53</v>
      </c>
      <c r="K3395">
        <v>57</v>
      </c>
      <c r="L3395">
        <v>-202</v>
      </c>
      <c r="M3395">
        <v>1</v>
      </c>
      <c r="N3395">
        <v>0</v>
      </c>
      <c r="O3395" s="1" t="s">
        <v>5521</v>
      </c>
      <c r="P3395">
        <v>0</v>
      </c>
      <c r="Q3395">
        <v>0</v>
      </c>
      <c r="R3395">
        <v>0</v>
      </c>
      <c r="S3395">
        <v>0</v>
      </c>
      <c r="T3395">
        <v>134.31486390000001</v>
      </c>
      <c r="U3395">
        <f t="shared" ref="U3395:U3458" si="106">IF(OR(P3395=1,Q3395=1),1,0)</f>
        <v>0</v>
      </c>
      <c r="V3395">
        <f t="shared" ref="V3395:V3458" si="107">IF(OR(R3395=1,S3395=1),1,0)</f>
        <v>0</v>
      </c>
    </row>
    <row r="3396" spans="1:22" x14ac:dyDescent="0.2">
      <c r="A3396" t="s">
        <v>3180</v>
      </c>
      <c r="B3396" t="s">
        <v>43</v>
      </c>
      <c r="C3396" t="s">
        <v>76</v>
      </c>
      <c r="D3396" t="s">
        <v>77</v>
      </c>
      <c r="E3396">
        <v>11</v>
      </c>
      <c r="F3396" t="s">
        <v>127</v>
      </c>
      <c r="G3396">
        <v>52</v>
      </c>
      <c r="H3396">
        <v>0</v>
      </c>
      <c r="I3396">
        <v>22151</v>
      </c>
      <c r="J3396">
        <v>81</v>
      </c>
      <c r="K3396">
        <v>51</v>
      </c>
      <c r="L3396">
        <v>22151</v>
      </c>
      <c r="M3396">
        <v>0</v>
      </c>
      <c r="N3396">
        <v>1</v>
      </c>
      <c r="O3396" s="1" t="s">
        <v>5522</v>
      </c>
      <c r="P3396">
        <v>0</v>
      </c>
      <c r="Q3396">
        <v>0</v>
      </c>
      <c r="R3396">
        <v>0</v>
      </c>
      <c r="S3396">
        <v>0</v>
      </c>
      <c r="T3396">
        <v>134.31486390000001</v>
      </c>
      <c r="U3396">
        <f t="shared" si="106"/>
        <v>0</v>
      </c>
      <c r="V3396">
        <f t="shared" si="107"/>
        <v>0</v>
      </c>
    </row>
    <row r="3397" spans="1:22" x14ac:dyDescent="0.2">
      <c r="A3397" t="s">
        <v>3180</v>
      </c>
      <c r="B3397" t="s">
        <v>43</v>
      </c>
      <c r="C3397" t="s">
        <v>76</v>
      </c>
      <c r="D3397" t="s">
        <v>77</v>
      </c>
      <c r="E3397">
        <v>15</v>
      </c>
      <c r="F3397" t="s">
        <v>88</v>
      </c>
      <c r="G3397">
        <v>80</v>
      </c>
      <c r="H3397">
        <v>0</v>
      </c>
      <c r="I3397">
        <v>4153468</v>
      </c>
      <c r="J3397">
        <v>55</v>
      </c>
      <c r="K3397">
        <v>4</v>
      </c>
      <c r="L3397">
        <v>4153468</v>
      </c>
      <c r="M3397">
        <v>0</v>
      </c>
      <c r="N3397">
        <v>1</v>
      </c>
      <c r="O3397">
        <v>1.7702957453966299E-3</v>
      </c>
      <c r="P3397">
        <v>0</v>
      </c>
      <c r="Q3397">
        <v>1</v>
      </c>
      <c r="R3397">
        <v>0</v>
      </c>
      <c r="S3397">
        <v>1</v>
      </c>
      <c r="T3397">
        <v>134.31486390000001</v>
      </c>
      <c r="U3397">
        <f t="shared" si="106"/>
        <v>1</v>
      </c>
      <c r="V3397">
        <f t="shared" si="107"/>
        <v>1</v>
      </c>
    </row>
    <row r="3398" spans="1:22" x14ac:dyDescent="0.2">
      <c r="A3398" t="s">
        <v>3180</v>
      </c>
      <c r="B3398" t="s">
        <v>43</v>
      </c>
      <c r="C3398" t="s">
        <v>76</v>
      </c>
      <c r="D3398" t="s">
        <v>77</v>
      </c>
      <c r="E3398">
        <v>15</v>
      </c>
      <c r="F3398" t="s">
        <v>88</v>
      </c>
      <c r="G3398">
        <v>79</v>
      </c>
      <c r="H3398">
        <v>0</v>
      </c>
      <c r="I3398">
        <v>3624223</v>
      </c>
      <c r="J3398">
        <v>69</v>
      </c>
      <c r="K3398">
        <v>8</v>
      </c>
      <c r="L3398">
        <v>3624223</v>
      </c>
      <c r="M3398">
        <v>0</v>
      </c>
      <c r="N3398">
        <v>1</v>
      </c>
      <c r="O3398">
        <v>1.5447203535138899E-3</v>
      </c>
      <c r="P3398">
        <v>0</v>
      </c>
      <c r="Q3398">
        <v>0</v>
      </c>
      <c r="R3398">
        <v>0</v>
      </c>
      <c r="S3398">
        <v>1</v>
      </c>
      <c r="T3398">
        <v>134.31486390000001</v>
      </c>
      <c r="U3398">
        <f t="shared" si="106"/>
        <v>0</v>
      </c>
      <c r="V3398">
        <f t="shared" si="107"/>
        <v>1</v>
      </c>
    </row>
    <row r="3399" spans="1:22" x14ac:dyDescent="0.2">
      <c r="A3399" t="s">
        <v>4774</v>
      </c>
      <c r="B3399" t="s">
        <v>56</v>
      </c>
      <c r="C3399" t="s">
        <v>76</v>
      </c>
      <c r="D3399" t="s">
        <v>77</v>
      </c>
      <c r="E3399">
        <v>15</v>
      </c>
      <c r="F3399" t="s">
        <v>88</v>
      </c>
      <c r="G3399">
        <v>79</v>
      </c>
      <c r="H3399">
        <v>882505</v>
      </c>
      <c r="I3399">
        <v>0</v>
      </c>
      <c r="J3399">
        <v>24</v>
      </c>
      <c r="K3399">
        <v>54</v>
      </c>
      <c r="L3399">
        <v>-882505</v>
      </c>
      <c r="M3399">
        <v>1</v>
      </c>
      <c r="N3399">
        <v>0</v>
      </c>
      <c r="O3399" s="1" t="s">
        <v>5523</v>
      </c>
      <c r="P3399">
        <v>0</v>
      </c>
      <c r="Q3399">
        <v>0</v>
      </c>
      <c r="R3399">
        <v>0</v>
      </c>
      <c r="S3399">
        <v>0</v>
      </c>
      <c r="T3399">
        <v>12.286384809999999</v>
      </c>
      <c r="U3399">
        <f t="shared" si="106"/>
        <v>0</v>
      </c>
      <c r="V3399">
        <f t="shared" si="107"/>
        <v>0</v>
      </c>
    </row>
    <row r="3400" spans="1:22" x14ac:dyDescent="0.2">
      <c r="A3400" t="s">
        <v>4774</v>
      </c>
      <c r="B3400" t="s">
        <v>56</v>
      </c>
      <c r="C3400" t="s">
        <v>76</v>
      </c>
      <c r="D3400" t="s">
        <v>77</v>
      </c>
      <c r="E3400" s="1" t="s">
        <v>82</v>
      </c>
      <c r="F3400" t="s">
        <v>83</v>
      </c>
      <c r="G3400">
        <v>11</v>
      </c>
      <c r="H3400">
        <v>62475</v>
      </c>
      <c r="I3400">
        <v>0</v>
      </c>
      <c r="J3400">
        <v>75</v>
      </c>
      <c r="K3400">
        <v>71</v>
      </c>
      <c r="L3400">
        <v>-62475</v>
      </c>
      <c r="M3400">
        <v>1</v>
      </c>
      <c r="N3400">
        <v>0</v>
      </c>
      <c r="O3400" s="1" t="s">
        <v>5524</v>
      </c>
      <c r="P3400">
        <v>0</v>
      </c>
      <c r="Q3400">
        <v>0</v>
      </c>
      <c r="R3400">
        <v>0</v>
      </c>
      <c r="S3400">
        <v>0</v>
      </c>
      <c r="T3400">
        <v>12.286384809999999</v>
      </c>
      <c r="U3400">
        <f t="shared" si="106"/>
        <v>0</v>
      </c>
      <c r="V3400">
        <f t="shared" si="107"/>
        <v>0</v>
      </c>
    </row>
    <row r="3401" spans="1:22" x14ac:dyDescent="0.2">
      <c r="A3401" t="s">
        <v>4774</v>
      </c>
      <c r="B3401" t="s">
        <v>56</v>
      </c>
      <c r="C3401" t="s">
        <v>76</v>
      </c>
      <c r="D3401" t="s">
        <v>77</v>
      </c>
      <c r="E3401" s="1" t="s">
        <v>138</v>
      </c>
      <c r="F3401" t="s">
        <v>139</v>
      </c>
      <c r="G3401">
        <v>23</v>
      </c>
      <c r="H3401">
        <v>15746</v>
      </c>
      <c r="I3401">
        <v>0</v>
      </c>
      <c r="J3401">
        <v>79</v>
      </c>
      <c r="K3401">
        <v>61</v>
      </c>
      <c r="L3401">
        <v>-15746</v>
      </c>
      <c r="M3401">
        <v>1</v>
      </c>
      <c r="N3401">
        <v>0</v>
      </c>
      <c r="O3401" s="1" t="s">
        <v>5525</v>
      </c>
      <c r="P3401">
        <v>0</v>
      </c>
      <c r="Q3401">
        <v>0</v>
      </c>
      <c r="R3401">
        <v>0</v>
      </c>
      <c r="S3401">
        <v>0</v>
      </c>
      <c r="T3401">
        <v>12.286384809999999</v>
      </c>
      <c r="U3401">
        <f t="shared" si="106"/>
        <v>0</v>
      </c>
      <c r="V3401">
        <f t="shared" si="107"/>
        <v>0</v>
      </c>
    </row>
    <row r="3402" spans="1:22" x14ac:dyDescent="0.2">
      <c r="A3402" t="s">
        <v>4774</v>
      </c>
      <c r="B3402" t="s">
        <v>56</v>
      </c>
      <c r="C3402" t="s">
        <v>76</v>
      </c>
      <c r="D3402" t="s">
        <v>77</v>
      </c>
      <c r="E3402" s="1" t="s">
        <v>138</v>
      </c>
      <c r="F3402" t="s">
        <v>139</v>
      </c>
      <c r="G3402">
        <v>16</v>
      </c>
      <c r="H3402">
        <v>0</v>
      </c>
      <c r="I3402">
        <v>559</v>
      </c>
      <c r="J3402">
        <v>83</v>
      </c>
      <c r="K3402">
        <v>66</v>
      </c>
      <c r="L3402">
        <v>559</v>
      </c>
      <c r="M3402">
        <v>0</v>
      </c>
      <c r="N3402">
        <v>1</v>
      </c>
      <c r="O3402" s="1" t="s">
        <v>5526</v>
      </c>
      <c r="P3402">
        <v>0</v>
      </c>
      <c r="Q3402">
        <v>0</v>
      </c>
      <c r="R3402">
        <v>0</v>
      </c>
      <c r="S3402">
        <v>0</v>
      </c>
      <c r="T3402">
        <v>12.286384809999999</v>
      </c>
      <c r="U3402">
        <f t="shared" si="106"/>
        <v>0</v>
      </c>
      <c r="V3402">
        <f t="shared" si="107"/>
        <v>0</v>
      </c>
    </row>
    <row r="3403" spans="1:22" x14ac:dyDescent="0.2">
      <c r="A3403" t="s">
        <v>4774</v>
      </c>
      <c r="B3403" t="s">
        <v>56</v>
      </c>
      <c r="C3403" t="s">
        <v>76</v>
      </c>
      <c r="D3403" t="s">
        <v>77</v>
      </c>
      <c r="E3403" s="1" t="s">
        <v>82</v>
      </c>
      <c r="F3403" t="s">
        <v>83</v>
      </c>
      <c r="G3403" s="1" t="s">
        <v>89</v>
      </c>
      <c r="H3403">
        <v>0</v>
      </c>
      <c r="I3403">
        <v>48022</v>
      </c>
      <c r="J3403">
        <v>49</v>
      </c>
      <c r="K3403">
        <v>57</v>
      </c>
      <c r="L3403">
        <v>48022</v>
      </c>
      <c r="M3403">
        <v>0</v>
      </c>
      <c r="N3403">
        <v>1</v>
      </c>
      <c r="O3403" s="1" t="s">
        <v>5527</v>
      </c>
      <c r="P3403">
        <v>0</v>
      </c>
      <c r="Q3403">
        <v>0</v>
      </c>
      <c r="R3403">
        <v>0</v>
      </c>
      <c r="S3403">
        <v>0</v>
      </c>
      <c r="T3403">
        <v>12.286384809999999</v>
      </c>
      <c r="U3403">
        <f t="shared" si="106"/>
        <v>0</v>
      </c>
      <c r="V3403">
        <f t="shared" si="107"/>
        <v>0</v>
      </c>
    </row>
    <row r="3404" spans="1:22" x14ac:dyDescent="0.2">
      <c r="A3404" t="s">
        <v>4774</v>
      </c>
      <c r="B3404" t="s">
        <v>56</v>
      </c>
      <c r="C3404" t="s">
        <v>76</v>
      </c>
      <c r="D3404" t="s">
        <v>77</v>
      </c>
      <c r="E3404">
        <v>12</v>
      </c>
      <c r="F3404" t="s">
        <v>194</v>
      </c>
      <c r="G3404">
        <v>64</v>
      </c>
      <c r="H3404">
        <v>0</v>
      </c>
      <c r="I3404">
        <v>117833</v>
      </c>
      <c r="J3404">
        <v>124</v>
      </c>
      <c r="K3404">
        <v>62</v>
      </c>
      <c r="L3404">
        <v>117833</v>
      </c>
      <c r="M3404">
        <v>0</v>
      </c>
      <c r="N3404">
        <v>1</v>
      </c>
      <c r="O3404" s="1" t="s">
        <v>5528</v>
      </c>
      <c r="P3404">
        <v>0</v>
      </c>
      <c r="Q3404">
        <v>0</v>
      </c>
      <c r="R3404">
        <v>0</v>
      </c>
      <c r="S3404">
        <v>0</v>
      </c>
      <c r="T3404">
        <v>12.286384809999999</v>
      </c>
      <c r="U3404">
        <f t="shared" si="106"/>
        <v>0</v>
      </c>
      <c r="V3404">
        <f t="shared" si="107"/>
        <v>0</v>
      </c>
    </row>
    <row r="3405" spans="1:22" x14ac:dyDescent="0.2">
      <c r="A3405" t="s">
        <v>3288</v>
      </c>
      <c r="B3405" t="s">
        <v>44</v>
      </c>
      <c r="C3405" t="s">
        <v>76</v>
      </c>
      <c r="D3405" t="s">
        <v>77</v>
      </c>
      <c r="E3405" s="1" t="s">
        <v>138</v>
      </c>
      <c r="F3405" t="s">
        <v>139</v>
      </c>
      <c r="G3405">
        <v>21</v>
      </c>
      <c r="H3405">
        <v>632155</v>
      </c>
      <c r="I3405">
        <v>0</v>
      </c>
      <c r="J3405">
        <v>63</v>
      </c>
      <c r="K3405">
        <v>99</v>
      </c>
      <c r="L3405">
        <v>-632155</v>
      </c>
      <c r="M3405">
        <v>1</v>
      </c>
      <c r="N3405">
        <v>0</v>
      </c>
      <c r="O3405">
        <v>3.39234230730417E-3</v>
      </c>
      <c r="P3405">
        <v>0</v>
      </c>
      <c r="Q3405">
        <v>0</v>
      </c>
      <c r="R3405">
        <v>0</v>
      </c>
      <c r="S3405">
        <v>0</v>
      </c>
      <c r="T3405">
        <v>45.061213709999997</v>
      </c>
      <c r="U3405">
        <f t="shared" si="106"/>
        <v>0</v>
      </c>
      <c r="V3405">
        <f t="shared" si="107"/>
        <v>0</v>
      </c>
    </row>
    <row r="3406" spans="1:22" x14ac:dyDescent="0.2">
      <c r="A3406" t="s">
        <v>3288</v>
      </c>
      <c r="B3406" t="s">
        <v>44</v>
      </c>
      <c r="C3406" t="s">
        <v>76</v>
      </c>
      <c r="D3406" t="s">
        <v>77</v>
      </c>
      <c r="E3406" s="1" t="s">
        <v>89</v>
      </c>
      <c r="F3406" t="s">
        <v>90</v>
      </c>
      <c r="G3406">
        <v>34</v>
      </c>
      <c r="H3406">
        <v>1546</v>
      </c>
      <c r="I3406">
        <v>0</v>
      </c>
      <c r="J3406">
        <v>115</v>
      </c>
      <c r="K3406">
        <v>87</v>
      </c>
      <c r="L3406">
        <v>-1546</v>
      </c>
      <c r="M3406">
        <v>1</v>
      </c>
      <c r="N3406">
        <v>0</v>
      </c>
      <c r="O3406" s="1" t="s">
        <v>5529</v>
      </c>
      <c r="P3406">
        <v>0</v>
      </c>
      <c r="Q3406">
        <v>0</v>
      </c>
      <c r="R3406">
        <v>0</v>
      </c>
      <c r="S3406">
        <v>0</v>
      </c>
      <c r="T3406">
        <v>45.061213709999997</v>
      </c>
      <c r="U3406">
        <f t="shared" si="106"/>
        <v>0</v>
      </c>
      <c r="V3406">
        <f t="shared" si="107"/>
        <v>0</v>
      </c>
    </row>
    <row r="3407" spans="1:22" x14ac:dyDescent="0.2">
      <c r="A3407" t="s">
        <v>3324</v>
      </c>
      <c r="B3407" t="s">
        <v>45</v>
      </c>
      <c r="C3407" t="s">
        <v>76</v>
      </c>
      <c r="D3407" t="s">
        <v>77</v>
      </c>
      <c r="E3407" s="1" t="s">
        <v>89</v>
      </c>
      <c r="F3407" t="s">
        <v>90</v>
      </c>
      <c r="G3407">
        <v>36</v>
      </c>
      <c r="H3407">
        <v>157720</v>
      </c>
      <c r="I3407">
        <v>0</v>
      </c>
      <c r="J3407">
        <v>42</v>
      </c>
      <c r="K3407">
        <v>37</v>
      </c>
      <c r="L3407">
        <v>-157720</v>
      </c>
      <c r="M3407">
        <v>1</v>
      </c>
      <c r="N3407">
        <v>0</v>
      </c>
      <c r="O3407" s="1" t="s">
        <v>5530</v>
      </c>
      <c r="P3407">
        <v>0</v>
      </c>
      <c r="Q3407">
        <v>0</v>
      </c>
      <c r="R3407">
        <v>0</v>
      </c>
      <c r="S3407">
        <v>0</v>
      </c>
      <c r="T3407">
        <v>50.032637979999997</v>
      </c>
      <c r="U3407">
        <f t="shared" si="106"/>
        <v>0</v>
      </c>
      <c r="V3407">
        <f t="shared" si="107"/>
        <v>0</v>
      </c>
    </row>
    <row r="3408" spans="1:22" x14ac:dyDescent="0.2">
      <c r="A3408" t="s">
        <v>3324</v>
      </c>
      <c r="B3408" t="s">
        <v>45</v>
      </c>
      <c r="C3408" t="s">
        <v>76</v>
      </c>
      <c r="D3408" t="s">
        <v>77</v>
      </c>
      <c r="E3408" s="1" t="s">
        <v>89</v>
      </c>
      <c r="F3408" t="s">
        <v>90</v>
      </c>
      <c r="G3408">
        <v>35</v>
      </c>
      <c r="H3408">
        <v>553</v>
      </c>
      <c r="I3408">
        <v>0</v>
      </c>
      <c r="J3408">
        <v>82</v>
      </c>
      <c r="K3408">
        <v>73</v>
      </c>
      <c r="L3408">
        <v>-553</v>
      </c>
      <c r="M3408">
        <v>1</v>
      </c>
      <c r="N3408">
        <v>0</v>
      </c>
      <c r="O3408" s="1" t="s">
        <v>5531</v>
      </c>
      <c r="P3408">
        <v>0</v>
      </c>
      <c r="Q3408">
        <v>0</v>
      </c>
      <c r="R3408">
        <v>0</v>
      </c>
      <c r="S3408">
        <v>0</v>
      </c>
      <c r="T3408">
        <v>50.032637979999997</v>
      </c>
      <c r="U3408">
        <f t="shared" si="106"/>
        <v>0</v>
      </c>
      <c r="V3408">
        <f t="shared" si="107"/>
        <v>0</v>
      </c>
    </row>
    <row r="3409" spans="1:22" x14ac:dyDescent="0.2">
      <c r="A3409" t="s">
        <v>3324</v>
      </c>
      <c r="B3409" t="s">
        <v>45</v>
      </c>
      <c r="C3409" t="s">
        <v>76</v>
      </c>
      <c r="D3409" t="s">
        <v>77</v>
      </c>
      <c r="E3409" s="1" t="s">
        <v>138</v>
      </c>
      <c r="F3409" t="s">
        <v>139</v>
      </c>
      <c r="G3409">
        <v>17</v>
      </c>
      <c r="H3409">
        <v>343</v>
      </c>
      <c r="I3409">
        <v>0</v>
      </c>
      <c r="J3409">
        <v>107</v>
      </c>
      <c r="K3409">
        <v>88</v>
      </c>
      <c r="L3409">
        <v>-343</v>
      </c>
      <c r="M3409">
        <v>1</v>
      </c>
      <c r="N3409">
        <v>0</v>
      </c>
      <c r="O3409" s="1" t="s">
        <v>5532</v>
      </c>
      <c r="P3409">
        <v>0</v>
      </c>
      <c r="Q3409">
        <v>0</v>
      </c>
      <c r="R3409">
        <v>0</v>
      </c>
      <c r="S3409">
        <v>0</v>
      </c>
      <c r="T3409">
        <v>50.032637979999997</v>
      </c>
      <c r="U3409">
        <f t="shared" si="106"/>
        <v>0</v>
      </c>
      <c r="V3409">
        <f t="shared" si="107"/>
        <v>0</v>
      </c>
    </row>
    <row r="3410" spans="1:22" x14ac:dyDescent="0.2">
      <c r="A3410" t="s">
        <v>3324</v>
      </c>
      <c r="B3410" t="s">
        <v>45</v>
      </c>
      <c r="C3410" t="s">
        <v>76</v>
      </c>
      <c r="D3410" t="s">
        <v>77</v>
      </c>
      <c r="E3410" s="1" t="s">
        <v>82</v>
      </c>
      <c r="F3410" t="s">
        <v>83</v>
      </c>
      <c r="G3410" s="1" t="s">
        <v>99</v>
      </c>
      <c r="H3410">
        <v>0</v>
      </c>
      <c r="I3410">
        <v>1366</v>
      </c>
      <c r="J3410">
        <v>106</v>
      </c>
      <c r="K3410">
        <v>81</v>
      </c>
      <c r="L3410">
        <v>1366</v>
      </c>
      <c r="M3410">
        <v>0</v>
      </c>
      <c r="N3410">
        <v>1</v>
      </c>
      <c r="O3410" s="1" t="s">
        <v>5533</v>
      </c>
      <c r="P3410">
        <v>0</v>
      </c>
      <c r="Q3410">
        <v>0</v>
      </c>
      <c r="R3410">
        <v>0</v>
      </c>
      <c r="S3410">
        <v>0</v>
      </c>
      <c r="T3410">
        <v>50.032637979999997</v>
      </c>
      <c r="U3410">
        <f t="shared" si="106"/>
        <v>0</v>
      </c>
      <c r="V3410">
        <f t="shared" si="107"/>
        <v>0</v>
      </c>
    </row>
    <row r="3411" spans="1:22" x14ac:dyDescent="0.2">
      <c r="A3411" t="s">
        <v>3543</v>
      </c>
      <c r="B3411" t="s">
        <v>47</v>
      </c>
      <c r="C3411" t="s">
        <v>76</v>
      </c>
      <c r="D3411" t="s">
        <v>77</v>
      </c>
      <c r="E3411">
        <v>11</v>
      </c>
      <c r="F3411" t="s">
        <v>127</v>
      </c>
      <c r="G3411">
        <v>60</v>
      </c>
      <c r="H3411">
        <v>139</v>
      </c>
      <c r="I3411">
        <v>38197</v>
      </c>
      <c r="J3411">
        <v>50</v>
      </c>
      <c r="K3411">
        <v>46</v>
      </c>
      <c r="L3411">
        <v>38058</v>
      </c>
      <c r="M3411">
        <v>3.6258347245409E-3</v>
      </c>
      <c r="N3411" s="1" t="s">
        <v>5534</v>
      </c>
      <c r="O3411" s="1" t="s">
        <v>5535</v>
      </c>
      <c r="P3411">
        <v>0</v>
      </c>
      <c r="Q3411">
        <v>0</v>
      </c>
      <c r="R3411">
        <v>0</v>
      </c>
      <c r="S3411">
        <v>0</v>
      </c>
      <c r="T3411">
        <v>45.410769389999999</v>
      </c>
      <c r="U3411">
        <f t="shared" si="106"/>
        <v>0</v>
      </c>
      <c r="V3411">
        <f t="shared" si="107"/>
        <v>0</v>
      </c>
    </row>
    <row r="3412" spans="1:22" x14ac:dyDescent="0.2">
      <c r="A3412" t="s">
        <v>3543</v>
      </c>
      <c r="B3412" t="s">
        <v>47</v>
      </c>
      <c r="C3412" t="s">
        <v>76</v>
      </c>
      <c r="D3412" t="s">
        <v>77</v>
      </c>
      <c r="E3412" s="1" t="s">
        <v>93</v>
      </c>
      <c r="F3412" t="s">
        <v>94</v>
      </c>
      <c r="G3412">
        <v>45</v>
      </c>
      <c r="H3412">
        <v>50</v>
      </c>
      <c r="I3412">
        <v>0</v>
      </c>
      <c r="J3412">
        <v>45</v>
      </c>
      <c r="K3412">
        <v>45</v>
      </c>
      <c r="L3412">
        <v>-50</v>
      </c>
      <c r="M3412">
        <v>1</v>
      </c>
      <c r="N3412">
        <v>0</v>
      </c>
      <c r="O3412" s="1" t="s">
        <v>5536</v>
      </c>
      <c r="P3412">
        <v>0</v>
      </c>
      <c r="Q3412">
        <v>0</v>
      </c>
      <c r="R3412">
        <v>0</v>
      </c>
      <c r="S3412">
        <v>0</v>
      </c>
      <c r="T3412">
        <v>45.410769389999999</v>
      </c>
      <c r="U3412">
        <f t="shared" si="106"/>
        <v>0</v>
      </c>
      <c r="V3412">
        <f t="shared" si="107"/>
        <v>0</v>
      </c>
    </row>
    <row r="3413" spans="1:22" x14ac:dyDescent="0.2">
      <c r="A3413" t="s">
        <v>3728</v>
      </c>
      <c r="B3413" t="s">
        <v>48</v>
      </c>
      <c r="C3413" t="s">
        <v>76</v>
      </c>
      <c r="D3413" t="s">
        <v>77</v>
      </c>
      <c r="E3413">
        <v>15</v>
      </c>
      <c r="F3413" t="s">
        <v>88</v>
      </c>
      <c r="G3413">
        <v>80</v>
      </c>
      <c r="H3413">
        <v>107749</v>
      </c>
      <c r="I3413">
        <v>0</v>
      </c>
      <c r="J3413">
        <v>25</v>
      </c>
      <c r="K3413">
        <v>42</v>
      </c>
      <c r="L3413">
        <v>-107749</v>
      </c>
      <c r="M3413">
        <v>1</v>
      </c>
      <c r="N3413">
        <v>0</v>
      </c>
      <c r="O3413" s="1" t="s">
        <v>5537</v>
      </c>
      <c r="P3413">
        <v>0</v>
      </c>
      <c r="Q3413">
        <v>0</v>
      </c>
      <c r="R3413">
        <v>0</v>
      </c>
      <c r="S3413">
        <v>0</v>
      </c>
      <c r="T3413">
        <v>7.1877201389999996</v>
      </c>
      <c r="U3413">
        <f t="shared" si="106"/>
        <v>0</v>
      </c>
      <c r="V3413">
        <f t="shared" si="107"/>
        <v>0</v>
      </c>
    </row>
    <row r="3414" spans="1:22" x14ac:dyDescent="0.2">
      <c r="A3414" t="s">
        <v>3728</v>
      </c>
      <c r="B3414" t="s">
        <v>48</v>
      </c>
      <c r="C3414" t="s">
        <v>76</v>
      </c>
      <c r="D3414" t="s">
        <v>77</v>
      </c>
      <c r="E3414">
        <v>15</v>
      </c>
      <c r="F3414" t="s">
        <v>88</v>
      </c>
      <c r="G3414">
        <v>79</v>
      </c>
      <c r="H3414">
        <v>62522</v>
      </c>
      <c r="I3414">
        <v>0</v>
      </c>
      <c r="J3414">
        <v>48</v>
      </c>
      <c r="K3414">
        <v>54</v>
      </c>
      <c r="L3414">
        <v>-62522</v>
      </c>
      <c r="M3414">
        <v>1</v>
      </c>
      <c r="N3414">
        <v>0</v>
      </c>
      <c r="O3414" s="1" t="s">
        <v>5538</v>
      </c>
      <c r="P3414">
        <v>0</v>
      </c>
      <c r="Q3414">
        <v>0</v>
      </c>
      <c r="R3414">
        <v>0</v>
      </c>
      <c r="S3414">
        <v>0</v>
      </c>
      <c r="T3414">
        <v>7.1877201389999996</v>
      </c>
      <c r="U3414">
        <f t="shared" si="106"/>
        <v>0</v>
      </c>
      <c r="V3414">
        <f t="shared" si="107"/>
        <v>0</v>
      </c>
    </row>
    <row r="3415" spans="1:22" x14ac:dyDescent="0.2">
      <c r="A3415" t="s">
        <v>3728</v>
      </c>
      <c r="B3415" t="s">
        <v>48</v>
      </c>
      <c r="C3415" t="s">
        <v>76</v>
      </c>
      <c r="D3415" t="s">
        <v>77</v>
      </c>
      <c r="E3415" s="1" t="s">
        <v>89</v>
      </c>
      <c r="F3415" t="s">
        <v>90</v>
      </c>
      <c r="G3415">
        <v>32</v>
      </c>
      <c r="H3415">
        <v>4528</v>
      </c>
      <c r="I3415">
        <v>172</v>
      </c>
      <c r="J3415">
        <v>115</v>
      </c>
      <c r="K3415">
        <v>77</v>
      </c>
      <c r="L3415">
        <v>-4356</v>
      </c>
      <c r="M3415">
        <v>0.96340425531914897</v>
      </c>
      <c r="N3415">
        <v>3.6595744680851E-2</v>
      </c>
      <c r="O3415" s="1" t="s">
        <v>5539</v>
      </c>
      <c r="P3415">
        <v>0</v>
      </c>
      <c r="Q3415">
        <v>0</v>
      </c>
      <c r="R3415">
        <v>0</v>
      </c>
      <c r="S3415">
        <v>0</v>
      </c>
      <c r="T3415">
        <v>7.1877201389999996</v>
      </c>
      <c r="U3415">
        <f t="shared" si="106"/>
        <v>0</v>
      </c>
      <c r="V3415">
        <f t="shared" si="107"/>
        <v>0</v>
      </c>
    </row>
    <row r="3416" spans="1:22" x14ac:dyDescent="0.2">
      <c r="A3416" t="s">
        <v>3728</v>
      </c>
      <c r="B3416" t="s">
        <v>48</v>
      </c>
      <c r="C3416" t="s">
        <v>76</v>
      </c>
      <c r="D3416" t="s">
        <v>77</v>
      </c>
      <c r="E3416">
        <v>18</v>
      </c>
      <c r="F3416" t="s">
        <v>147</v>
      </c>
      <c r="G3416">
        <v>91</v>
      </c>
      <c r="H3416">
        <v>3290</v>
      </c>
      <c r="I3416">
        <v>0</v>
      </c>
      <c r="J3416">
        <v>68</v>
      </c>
      <c r="K3416">
        <v>69</v>
      </c>
      <c r="L3416">
        <v>-3290</v>
      </c>
      <c r="M3416">
        <v>1</v>
      </c>
      <c r="N3416">
        <v>0</v>
      </c>
      <c r="O3416" s="1" t="s">
        <v>5540</v>
      </c>
      <c r="P3416">
        <v>0</v>
      </c>
      <c r="Q3416">
        <v>0</v>
      </c>
      <c r="R3416">
        <v>0</v>
      </c>
      <c r="S3416">
        <v>0</v>
      </c>
      <c r="T3416">
        <v>7.1877201389999996</v>
      </c>
      <c r="U3416">
        <f t="shared" si="106"/>
        <v>0</v>
      </c>
      <c r="V3416">
        <f t="shared" si="107"/>
        <v>0</v>
      </c>
    </row>
    <row r="3417" spans="1:22" x14ac:dyDescent="0.2">
      <c r="A3417" t="s">
        <v>3728</v>
      </c>
      <c r="B3417" t="s">
        <v>48</v>
      </c>
      <c r="C3417" t="s">
        <v>76</v>
      </c>
      <c r="D3417" t="s">
        <v>77</v>
      </c>
      <c r="E3417" s="1" t="s">
        <v>138</v>
      </c>
      <c r="F3417" t="s">
        <v>139</v>
      </c>
      <c r="G3417">
        <v>18</v>
      </c>
      <c r="H3417">
        <v>1206</v>
      </c>
      <c r="I3417">
        <v>1077</v>
      </c>
      <c r="J3417">
        <v>97</v>
      </c>
      <c r="K3417">
        <v>77</v>
      </c>
      <c r="L3417">
        <v>-129</v>
      </c>
      <c r="M3417" s="1" t="s">
        <v>5541</v>
      </c>
      <c r="N3417" s="1" t="s">
        <v>5542</v>
      </c>
      <c r="O3417" s="1" t="s">
        <v>5543</v>
      </c>
      <c r="P3417">
        <v>0</v>
      </c>
      <c r="Q3417">
        <v>0</v>
      </c>
      <c r="R3417">
        <v>0</v>
      </c>
      <c r="S3417">
        <v>0</v>
      </c>
      <c r="T3417">
        <v>7.1877201389999996</v>
      </c>
      <c r="U3417">
        <f t="shared" si="106"/>
        <v>0</v>
      </c>
      <c r="V3417">
        <f t="shared" si="107"/>
        <v>0</v>
      </c>
    </row>
    <row r="3418" spans="1:22" x14ac:dyDescent="0.2">
      <c r="A3418" t="s">
        <v>3728</v>
      </c>
      <c r="B3418" t="s">
        <v>48</v>
      </c>
      <c r="C3418" t="s">
        <v>76</v>
      </c>
      <c r="D3418" t="s">
        <v>77</v>
      </c>
      <c r="E3418">
        <v>11</v>
      </c>
      <c r="F3418" t="s">
        <v>127</v>
      </c>
      <c r="G3418">
        <v>58</v>
      </c>
      <c r="H3418">
        <v>1</v>
      </c>
      <c r="I3418">
        <v>0</v>
      </c>
      <c r="J3418">
        <v>81</v>
      </c>
      <c r="K3418">
        <v>65</v>
      </c>
      <c r="L3418">
        <v>-1</v>
      </c>
      <c r="M3418">
        <v>1</v>
      </c>
      <c r="N3418">
        <v>0</v>
      </c>
      <c r="O3418" s="1" t="s">
        <v>5544</v>
      </c>
      <c r="P3418">
        <v>0</v>
      </c>
      <c r="Q3418">
        <v>0</v>
      </c>
      <c r="R3418">
        <v>0</v>
      </c>
      <c r="S3418">
        <v>0</v>
      </c>
      <c r="T3418">
        <v>7.1877201389999996</v>
      </c>
      <c r="U3418">
        <f t="shared" si="106"/>
        <v>0</v>
      </c>
      <c r="V3418">
        <f t="shared" si="107"/>
        <v>0</v>
      </c>
    </row>
    <row r="3419" spans="1:22" x14ac:dyDescent="0.2">
      <c r="A3419" t="s">
        <v>3728</v>
      </c>
      <c r="B3419" t="s">
        <v>48</v>
      </c>
      <c r="C3419" t="s">
        <v>76</v>
      </c>
      <c r="D3419" t="s">
        <v>77</v>
      </c>
      <c r="E3419" s="1" t="s">
        <v>93</v>
      </c>
      <c r="F3419" t="s">
        <v>94</v>
      </c>
      <c r="G3419">
        <v>45</v>
      </c>
      <c r="H3419">
        <v>0</v>
      </c>
      <c r="I3419">
        <v>4</v>
      </c>
      <c r="J3419">
        <v>48</v>
      </c>
      <c r="K3419">
        <v>44</v>
      </c>
      <c r="L3419">
        <v>4</v>
      </c>
      <c r="M3419">
        <v>0</v>
      </c>
      <c r="N3419">
        <v>1</v>
      </c>
      <c r="O3419" s="1" t="s">
        <v>5545</v>
      </c>
      <c r="P3419">
        <v>0</v>
      </c>
      <c r="Q3419">
        <v>0</v>
      </c>
      <c r="R3419">
        <v>0</v>
      </c>
      <c r="S3419">
        <v>0</v>
      </c>
      <c r="T3419">
        <v>7.1877201389999996</v>
      </c>
      <c r="U3419">
        <f t="shared" si="106"/>
        <v>0</v>
      </c>
      <c r="V3419">
        <f t="shared" si="107"/>
        <v>0</v>
      </c>
    </row>
    <row r="3420" spans="1:22" x14ac:dyDescent="0.2">
      <c r="A3420" t="s">
        <v>3845</v>
      </c>
      <c r="B3420" t="s">
        <v>49</v>
      </c>
      <c r="C3420" t="s">
        <v>76</v>
      </c>
      <c r="D3420" t="s">
        <v>77</v>
      </c>
      <c r="E3420">
        <v>11</v>
      </c>
      <c r="F3420" t="s">
        <v>127</v>
      </c>
      <c r="G3420">
        <v>52</v>
      </c>
      <c r="H3420">
        <v>12195</v>
      </c>
      <c r="I3420">
        <v>0</v>
      </c>
      <c r="J3420">
        <v>49</v>
      </c>
      <c r="K3420">
        <v>67</v>
      </c>
      <c r="L3420">
        <v>-12195</v>
      </c>
      <c r="M3420">
        <v>1</v>
      </c>
      <c r="N3420">
        <v>0</v>
      </c>
      <c r="O3420" s="1" t="s">
        <v>5546</v>
      </c>
      <c r="P3420">
        <v>0</v>
      </c>
      <c r="Q3420">
        <v>0</v>
      </c>
      <c r="R3420">
        <v>0</v>
      </c>
      <c r="S3420">
        <v>0</v>
      </c>
      <c r="T3420">
        <v>12.720721579999999</v>
      </c>
      <c r="U3420">
        <f t="shared" si="106"/>
        <v>0</v>
      </c>
      <c r="V3420">
        <f t="shared" si="107"/>
        <v>0</v>
      </c>
    </row>
    <row r="3421" spans="1:22" x14ac:dyDescent="0.2">
      <c r="A3421" t="s">
        <v>3845</v>
      </c>
      <c r="B3421" t="s">
        <v>49</v>
      </c>
      <c r="C3421" t="s">
        <v>76</v>
      </c>
      <c r="D3421" t="s">
        <v>77</v>
      </c>
      <c r="E3421">
        <v>17</v>
      </c>
      <c r="F3421" t="s">
        <v>97</v>
      </c>
      <c r="G3421">
        <v>89</v>
      </c>
      <c r="H3421">
        <v>0</v>
      </c>
      <c r="I3421">
        <v>89139</v>
      </c>
      <c r="J3421">
        <v>85</v>
      </c>
      <c r="K3421">
        <v>51</v>
      </c>
      <c r="L3421">
        <v>89139</v>
      </c>
      <c r="M3421">
        <v>0</v>
      </c>
      <c r="N3421">
        <v>1</v>
      </c>
      <c r="O3421" s="1" t="s">
        <v>5547</v>
      </c>
      <c r="P3421">
        <v>0</v>
      </c>
      <c r="Q3421">
        <v>0</v>
      </c>
      <c r="R3421">
        <v>0</v>
      </c>
      <c r="S3421">
        <v>0</v>
      </c>
      <c r="T3421">
        <v>12.720721579999999</v>
      </c>
      <c r="U3421">
        <f t="shared" si="106"/>
        <v>0</v>
      </c>
      <c r="V3421">
        <f t="shared" si="107"/>
        <v>0</v>
      </c>
    </row>
    <row r="3422" spans="1:22" x14ac:dyDescent="0.2">
      <c r="A3422" t="s">
        <v>4118</v>
      </c>
      <c r="B3422" t="s">
        <v>51</v>
      </c>
      <c r="C3422" t="s">
        <v>76</v>
      </c>
      <c r="D3422" t="s">
        <v>77</v>
      </c>
      <c r="E3422" s="1" t="s">
        <v>138</v>
      </c>
      <c r="F3422" t="s">
        <v>139</v>
      </c>
      <c r="G3422">
        <v>21</v>
      </c>
      <c r="H3422">
        <v>61388</v>
      </c>
      <c r="I3422">
        <v>0</v>
      </c>
      <c r="J3422">
        <v>95</v>
      </c>
      <c r="K3422">
        <v>99</v>
      </c>
      <c r="L3422">
        <v>-61388</v>
      </c>
      <c r="M3422">
        <v>1</v>
      </c>
      <c r="N3422">
        <v>0</v>
      </c>
      <c r="O3422" s="1" t="s">
        <v>5548</v>
      </c>
      <c r="P3422">
        <v>0</v>
      </c>
      <c r="Q3422">
        <v>0</v>
      </c>
      <c r="R3422">
        <v>0</v>
      </c>
      <c r="S3422">
        <v>0</v>
      </c>
      <c r="T3422">
        <v>36.805438330000001</v>
      </c>
      <c r="U3422">
        <f t="shared" si="106"/>
        <v>0</v>
      </c>
      <c r="V3422">
        <f t="shared" si="107"/>
        <v>0</v>
      </c>
    </row>
    <row r="3423" spans="1:22" x14ac:dyDescent="0.2">
      <c r="A3423" t="s">
        <v>4118</v>
      </c>
      <c r="B3423" t="s">
        <v>51</v>
      </c>
      <c r="C3423" t="s">
        <v>76</v>
      </c>
      <c r="D3423" t="s">
        <v>77</v>
      </c>
      <c r="E3423" s="1" t="s">
        <v>138</v>
      </c>
      <c r="F3423" t="s">
        <v>139</v>
      </c>
      <c r="G3423">
        <v>18</v>
      </c>
      <c r="H3423">
        <v>9097</v>
      </c>
      <c r="I3423">
        <v>0</v>
      </c>
      <c r="J3423">
        <v>87</v>
      </c>
      <c r="K3423">
        <v>82</v>
      </c>
      <c r="L3423">
        <v>-9097</v>
      </c>
      <c r="M3423">
        <v>1</v>
      </c>
      <c r="N3423">
        <v>0</v>
      </c>
      <c r="O3423" s="1" t="s">
        <v>5549</v>
      </c>
      <c r="P3423">
        <v>0</v>
      </c>
      <c r="Q3423">
        <v>0</v>
      </c>
      <c r="R3423">
        <v>0</v>
      </c>
      <c r="S3423">
        <v>0</v>
      </c>
      <c r="T3423">
        <v>36.805438330000001</v>
      </c>
      <c r="U3423">
        <f t="shared" si="106"/>
        <v>0</v>
      </c>
      <c r="V3423">
        <f t="shared" si="107"/>
        <v>0</v>
      </c>
    </row>
    <row r="3424" spans="1:22" x14ac:dyDescent="0.2">
      <c r="A3424" t="s">
        <v>4118</v>
      </c>
      <c r="B3424" t="s">
        <v>51</v>
      </c>
      <c r="C3424" t="s">
        <v>76</v>
      </c>
      <c r="D3424" t="s">
        <v>77</v>
      </c>
      <c r="E3424">
        <v>11</v>
      </c>
      <c r="F3424" t="s">
        <v>127</v>
      </c>
      <c r="G3424">
        <v>56</v>
      </c>
      <c r="H3424">
        <v>1543</v>
      </c>
      <c r="I3424">
        <v>0</v>
      </c>
      <c r="J3424">
        <v>88</v>
      </c>
      <c r="K3424">
        <v>77</v>
      </c>
      <c r="L3424">
        <v>-1543</v>
      </c>
      <c r="M3424">
        <v>1</v>
      </c>
      <c r="N3424">
        <v>0</v>
      </c>
      <c r="O3424" s="1" t="s">
        <v>5550</v>
      </c>
      <c r="P3424">
        <v>0</v>
      </c>
      <c r="Q3424">
        <v>0</v>
      </c>
      <c r="R3424">
        <v>0</v>
      </c>
      <c r="S3424">
        <v>0</v>
      </c>
      <c r="T3424">
        <v>36.805438330000001</v>
      </c>
      <c r="U3424">
        <f t="shared" si="106"/>
        <v>0</v>
      </c>
      <c r="V3424">
        <f t="shared" si="107"/>
        <v>0</v>
      </c>
    </row>
    <row r="3425" spans="1:22" x14ac:dyDescent="0.2">
      <c r="A3425" t="s">
        <v>4118</v>
      </c>
      <c r="B3425" t="s">
        <v>51</v>
      </c>
      <c r="C3425" t="s">
        <v>76</v>
      </c>
      <c r="D3425" t="s">
        <v>77</v>
      </c>
      <c r="E3425">
        <v>21</v>
      </c>
      <c r="F3425" t="s">
        <v>212</v>
      </c>
      <c r="G3425">
        <v>97</v>
      </c>
      <c r="H3425">
        <v>222</v>
      </c>
      <c r="I3425">
        <v>1794</v>
      </c>
      <c r="J3425">
        <v>90</v>
      </c>
      <c r="K3425">
        <v>71</v>
      </c>
      <c r="L3425">
        <v>1572</v>
      </c>
      <c r="M3425" s="1" t="s">
        <v>5551</v>
      </c>
      <c r="N3425" s="1" t="s">
        <v>5552</v>
      </c>
      <c r="O3425" s="1" t="s">
        <v>5553</v>
      </c>
      <c r="P3425">
        <v>0</v>
      </c>
      <c r="Q3425">
        <v>0</v>
      </c>
      <c r="R3425">
        <v>0</v>
      </c>
      <c r="S3425">
        <v>0</v>
      </c>
      <c r="T3425">
        <v>36.805438330000001</v>
      </c>
      <c r="U3425">
        <f t="shared" si="106"/>
        <v>0</v>
      </c>
      <c r="V3425">
        <f t="shared" si="107"/>
        <v>0</v>
      </c>
    </row>
    <row r="3426" spans="1:22" x14ac:dyDescent="0.2">
      <c r="A3426" t="s">
        <v>4118</v>
      </c>
      <c r="B3426" t="s">
        <v>51</v>
      </c>
      <c r="C3426" t="s">
        <v>76</v>
      </c>
      <c r="D3426" t="s">
        <v>77</v>
      </c>
      <c r="E3426" s="1" t="s">
        <v>82</v>
      </c>
      <c r="F3426" t="s">
        <v>83</v>
      </c>
      <c r="G3426" s="1" t="s">
        <v>163</v>
      </c>
      <c r="H3426">
        <v>0</v>
      </c>
      <c r="I3426">
        <v>10671</v>
      </c>
      <c r="J3426">
        <v>74</v>
      </c>
      <c r="K3426">
        <v>94</v>
      </c>
      <c r="L3426">
        <v>10671</v>
      </c>
      <c r="M3426">
        <v>0</v>
      </c>
      <c r="N3426">
        <v>1</v>
      </c>
      <c r="O3426" s="1" t="s">
        <v>5554</v>
      </c>
      <c r="P3426">
        <v>0</v>
      </c>
      <c r="Q3426">
        <v>0</v>
      </c>
      <c r="R3426">
        <v>0</v>
      </c>
      <c r="S3426">
        <v>0</v>
      </c>
      <c r="T3426">
        <v>36.805438330000001</v>
      </c>
      <c r="U3426">
        <f t="shared" si="106"/>
        <v>0</v>
      </c>
      <c r="V3426">
        <f t="shared" si="107"/>
        <v>0</v>
      </c>
    </row>
    <row r="3427" spans="1:22" x14ac:dyDescent="0.2">
      <c r="A3427" t="s">
        <v>4368</v>
      </c>
      <c r="B3427" t="s">
        <v>53</v>
      </c>
      <c r="C3427" t="s">
        <v>76</v>
      </c>
      <c r="D3427" t="s">
        <v>77</v>
      </c>
      <c r="E3427" s="1" t="s">
        <v>89</v>
      </c>
      <c r="F3427" t="s">
        <v>90</v>
      </c>
      <c r="G3427">
        <v>36</v>
      </c>
      <c r="H3427">
        <v>81151</v>
      </c>
      <c r="I3427">
        <v>0</v>
      </c>
      <c r="J3427">
        <v>46</v>
      </c>
      <c r="K3427">
        <v>37</v>
      </c>
      <c r="L3427">
        <v>-81151</v>
      </c>
      <c r="M3427">
        <v>1</v>
      </c>
      <c r="N3427">
        <v>0</v>
      </c>
      <c r="O3427">
        <v>1.27809548825882E-3</v>
      </c>
      <c r="P3427">
        <v>0</v>
      </c>
      <c r="Q3427">
        <v>0</v>
      </c>
      <c r="R3427">
        <v>0</v>
      </c>
      <c r="S3427">
        <v>0</v>
      </c>
      <c r="T3427">
        <v>46.141767209999998</v>
      </c>
      <c r="U3427">
        <f t="shared" si="106"/>
        <v>0</v>
      </c>
      <c r="V3427">
        <f t="shared" si="107"/>
        <v>0</v>
      </c>
    </row>
    <row r="3428" spans="1:22" x14ac:dyDescent="0.2">
      <c r="A3428" t="s">
        <v>4368</v>
      </c>
      <c r="B3428" t="s">
        <v>53</v>
      </c>
      <c r="C3428" t="s">
        <v>76</v>
      </c>
      <c r="D3428" t="s">
        <v>77</v>
      </c>
      <c r="E3428" s="1" t="s">
        <v>82</v>
      </c>
      <c r="F3428" t="s">
        <v>83</v>
      </c>
      <c r="G3428">
        <v>11</v>
      </c>
      <c r="H3428">
        <v>3367</v>
      </c>
      <c r="I3428">
        <v>0</v>
      </c>
      <c r="J3428">
        <v>93</v>
      </c>
      <c r="K3428">
        <v>71</v>
      </c>
      <c r="L3428">
        <v>-3367</v>
      </c>
      <c r="M3428">
        <v>1</v>
      </c>
      <c r="N3428">
        <v>0</v>
      </c>
      <c r="O3428" s="1" t="s">
        <v>5555</v>
      </c>
      <c r="P3428">
        <v>0</v>
      </c>
      <c r="Q3428">
        <v>0</v>
      </c>
      <c r="R3428">
        <v>0</v>
      </c>
      <c r="S3428">
        <v>0</v>
      </c>
      <c r="T3428">
        <v>46.141767209999998</v>
      </c>
      <c r="U3428">
        <f t="shared" si="106"/>
        <v>0</v>
      </c>
      <c r="V3428">
        <f t="shared" si="107"/>
        <v>0</v>
      </c>
    </row>
    <row r="3429" spans="1:22" x14ac:dyDescent="0.2">
      <c r="A3429" t="s">
        <v>4368</v>
      </c>
      <c r="B3429" t="s">
        <v>53</v>
      </c>
      <c r="C3429" t="s">
        <v>76</v>
      </c>
      <c r="D3429" t="s">
        <v>77</v>
      </c>
      <c r="E3429">
        <v>20</v>
      </c>
      <c r="F3429" t="s">
        <v>104</v>
      </c>
      <c r="G3429">
        <v>95</v>
      </c>
      <c r="H3429">
        <v>3623</v>
      </c>
      <c r="I3429">
        <v>0</v>
      </c>
      <c r="J3429">
        <v>106</v>
      </c>
      <c r="K3429">
        <v>91</v>
      </c>
      <c r="L3429">
        <v>-3623</v>
      </c>
      <c r="M3429">
        <v>1</v>
      </c>
      <c r="N3429">
        <v>0</v>
      </c>
      <c r="O3429" s="1" t="s">
        <v>5556</v>
      </c>
      <c r="P3429">
        <v>0</v>
      </c>
      <c r="Q3429">
        <v>0</v>
      </c>
      <c r="R3429">
        <v>0</v>
      </c>
      <c r="S3429">
        <v>0</v>
      </c>
      <c r="T3429">
        <v>46.141767209999998</v>
      </c>
      <c r="U3429">
        <f t="shared" si="106"/>
        <v>0</v>
      </c>
      <c r="V3429">
        <f t="shared" si="107"/>
        <v>0</v>
      </c>
    </row>
    <row r="3430" spans="1:22" x14ac:dyDescent="0.2">
      <c r="A3430" t="s">
        <v>4368</v>
      </c>
      <c r="B3430" t="s">
        <v>53</v>
      </c>
      <c r="C3430" t="s">
        <v>76</v>
      </c>
      <c r="D3430" t="s">
        <v>77</v>
      </c>
      <c r="E3430" s="1" t="s">
        <v>138</v>
      </c>
      <c r="F3430" t="s">
        <v>139</v>
      </c>
      <c r="G3430">
        <v>19</v>
      </c>
      <c r="H3430">
        <v>26475</v>
      </c>
      <c r="I3430">
        <v>0</v>
      </c>
      <c r="J3430">
        <v>73</v>
      </c>
      <c r="K3430">
        <v>86</v>
      </c>
      <c r="L3430">
        <v>-26475</v>
      </c>
      <c r="M3430">
        <v>1</v>
      </c>
      <c r="N3430">
        <v>0</v>
      </c>
      <c r="O3430" s="1" t="s">
        <v>5557</v>
      </c>
      <c r="P3430">
        <v>0</v>
      </c>
      <c r="Q3430">
        <v>0</v>
      </c>
      <c r="R3430">
        <v>0</v>
      </c>
      <c r="S3430">
        <v>0</v>
      </c>
      <c r="T3430">
        <v>46.141767209999998</v>
      </c>
      <c r="U3430">
        <f t="shared" si="106"/>
        <v>0</v>
      </c>
      <c r="V3430">
        <f t="shared" si="107"/>
        <v>0</v>
      </c>
    </row>
    <row r="3431" spans="1:22" x14ac:dyDescent="0.2">
      <c r="A3431" t="s">
        <v>4368</v>
      </c>
      <c r="B3431" t="s">
        <v>53</v>
      </c>
      <c r="C3431" t="s">
        <v>76</v>
      </c>
      <c r="D3431" t="s">
        <v>77</v>
      </c>
      <c r="E3431" s="1" t="s">
        <v>89</v>
      </c>
      <c r="F3431" t="s">
        <v>90</v>
      </c>
      <c r="G3431">
        <v>37</v>
      </c>
      <c r="H3431">
        <v>663</v>
      </c>
      <c r="I3431">
        <v>0</v>
      </c>
      <c r="J3431">
        <v>57</v>
      </c>
      <c r="K3431">
        <v>50</v>
      </c>
      <c r="L3431">
        <v>-663</v>
      </c>
      <c r="M3431">
        <v>1</v>
      </c>
      <c r="N3431">
        <v>0</v>
      </c>
      <c r="O3431" s="1" t="s">
        <v>5558</v>
      </c>
      <c r="P3431">
        <v>0</v>
      </c>
      <c r="Q3431">
        <v>0</v>
      </c>
      <c r="R3431">
        <v>0</v>
      </c>
      <c r="S3431">
        <v>0</v>
      </c>
      <c r="T3431">
        <v>46.141767209999998</v>
      </c>
      <c r="U3431">
        <f t="shared" si="106"/>
        <v>0</v>
      </c>
      <c r="V3431">
        <f t="shared" si="107"/>
        <v>0</v>
      </c>
    </row>
    <row r="3432" spans="1:22" x14ac:dyDescent="0.2">
      <c r="A3432" t="s">
        <v>4368</v>
      </c>
      <c r="B3432" t="s">
        <v>53</v>
      </c>
      <c r="C3432" t="s">
        <v>76</v>
      </c>
      <c r="D3432" t="s">
        <v>77</v>
      </c>
      <c r="E3432">
        <v>10</v>
      </c>
      <c r="F3432" t="s">
        <v>119</v>
      </c>
      <c r="G3432">
        <v>49</v>
      </c>
      <c r="H3432">
        <v>1146</v>
      </c>
      <c r="I3432">
        <v>0</v>
      </c>
      <c r="J3432">
        <v>121</v>
      </c>
      <c r="K3432">
        <v>109</v>
      </c>
      <c r="L3432">
        <v>-1146</v>
      </c>
      <c r="M3432">
        <v>1</v>
      </c>
      <c r="N3432">
        <v>0</v>
      </c>
      <c r="O3432" s="1" t="s">
        <v>5559</v>
      </c>
      <c r="P3432">
        <v>0</v>
      </c>
      <c r="Q3432">
        <v>0</v>
      </c>
      <c r="R3432">
        <v>0</v>
      </c>
      <c r="S3432">
        <v>0</v>
      </c>
      <c r="T3432">
        <v>46.141767209999998</v>
      </c>
      <c r="U3432">
        <f t="shared" si="106"/>
        <v>0</v>
      </c>
      <c r="V3432">
        <f t="shared" si="107"/>
        <v>0</v>
      </c>
    </row>
    <row r="3433" spans="1:22" x14ac:dyDescent="0.2">
      <c r="A3433" t="s">
        <v>4368</v>
      </c>
      <c r="B3433" t="s">
        <v>53</v>
      </c>
      <c r="C3433" t="s">
        <v>76</v>
      </c>
      <c r="D3433" t="s">
        <v>77</v>
      </c>
      <c r="E3433">
        <v>11</v>
      </c>
      <c r="F3433" t="s">
        <v>127</v>
      </c>
      <c r="G3433">
        <v>61</v>
      </c>
      <c r="H3433">
        <v>245</v>
      </c>
      <c r="I3433">
        <v>0</v>
      </c>
      <c r="J3433">
        <v>120</v>
      </c>
      <c r="K3433">
        <v>104</v>
      </c>
      <c r="L3433">
        <v>-245</v>
      </c>
      <c r="M3433">
        <v>1</v>
      </c>
      <c r="N3433">
        <v>0</v>
      </c>
      <c r="O3433" s="1" t="s">
        <v>5560</v>
      </c>
      <c r="P3433">
        <v>0</v>
      </c>
      <c r="Q3433">
        <v>0</v>
      </c>
      <c r="R3433">
        <v>0</v>
      </c>
      <c r="S3433">
        <v>0</v>
      </c>
      <c r="T3433">
        <v>46.141767209999998</v>
      </c>
      <c r="U3433">
        <f t="shared" si="106"/>
        <v>0</v>
      </c>
      <c r="V3433">
        <f t="shared" si="107"/>
        <v>0</v>
      </c>
    </row>
    <row r="3434" spans="1:22" x14ac:dyDescent="0.2">
      <c r="A3434" t="s">
        <v>4368</v>
      </c>
      <c r="B3434" t="s">
        <v>53</v>
      </c>
      <c r="C3434" t="s">
        <v>76</v>
      </c>
      <c r="D3434" t="s">
        <v>77</v>
      </c>
      <c r="E3434">
        <v>20</v>
      </c>
      <c r="F3434" t="s">
        <v>104</v>
      </c>
      <c r="G3434">
        <v>96</v>
      </c>
      <c r="H3434">
        <v>2219</v>
      </c>
      <c r="I3434">
        <v>10687</v>
      </c>
      <c r="J3434">
        <v>92</v>
      </c>
      <c r="K3434">
        <v>72</v>
      </c>
      <c r="L3434">
        <v>8468</v>
      </c>
      <c r="M3434" s="1" t="s">
        <v>5561</v>
      </c>
      <c r="N3434" s="1" t="s">
        <v>5562</v>
      </c>
      <c r="O3434" s="1" t="s">
        <v>5563</v>
      </c>
      <c r="P3434">
        <v>0</v>
      </c>
      <c r="Q3434">
        <v>0</v>
      </c>
      <c r="R3434">
        <v>0</v>
      </c>
      <c r="S3434">
        <v>0</v>
      </c>
      <c r="T3434">
        <v>46.141767209999998</v>
      </c>
      <c r="U3434">
        <f t="shared" si="106"/>
        <v>0</v>
      </c>
      <c r="V3434">
        <f t="shared" si="107"/>
        <v>0</v>
      </c>
    </row>
    <row r="3435" spans="1:22" x14ac:dyDescent="0.2">
      <c r="A3435" t="s">
        <v>4368</v>
      </c>
      <c r="B3435" t="s">
        <v>53</v>
      </c>
      <c r="C3435" t="s">
        <v>76</v>
      </c>
      <c r="D3435" t="s">
        <v>77</v>
      </c>
      <c r="E3435">
        <v>15</v>
      </c>
      <c r="F3435" t="s">
        <v>88</v>
      </c>
      <c r="G3435">
        <v>72</v>
      </c>
      <c r="H3435">
        <v>0</v>
      </c>
      <c r="I3435">
        <v>554949</v>
      </c>
      <c r="J3435">
        <v>128</v>
      </c>
      <c r="K3435">
        <v>54</v>
      </c>
      <c r="L3435">
        <v>554949</v>
      </c>
      <c r="M3435">
        <v>0</v>
      </c>
      <c r="N3435">
        <v>1</v>
      </c>
      <c r="O3435">
        <v>8.7402227096862201E-3</v>
      </c>
      <c r="P3435">
        <v>0</v>
      </c>
      <c r="Q3435">
        <v>0</v>
      </c>
      <c r="R3435">
        <v>0</v>
      </c>
      <c r="S3435">
        <v>0</v>
      </c>
      <c r="T3435">
        <v>46.141767209999998</v>
      </c>
      <c r="U3435">
        <f t="shared" si="106"/>
        <v>0</v>
      </c>
      <c r="V3435">
        <f t="shared" si="107"/>
        <v>0</v>
      </c>
    </row>
    <row r="3436" spans="1:22" x14ac:dyDescent="0.2">
      <c r="A3436" t="s">
        <v>4386</v>
      </c>
      <c r="B3436" t="s">
        <v>54</v>
      </c>
      <c r="C3436" t="s">
        <v>76</v>
      </c>
      <c r="D3436" t="s">
        <v>77</v>
      </c>
      <c r="E3436" s="1" t="s">
        <v>82</v>
      </c>
      <c r="F3436" t="s">
        <v>83</v>
      </c>
      <c r="G3436">
        <v>12</v>
      </c>
      <c r="H3436">
        <v>0</v>
      </c>
      <c r="I3436">
        <v>20289</v>
      </c>
      <c r="J3436">
        <v>103</v>
      </c>
      <c r="K3436">
        <v>83</v>
      </c>
      <c r="L3436">
        <v>20289</v>
      </c>
      <c r="M3436">
        <v>0</v>
      </c>
      <c r="N3436">
        <v>1</v>
      </c>
      <c r="O3436" s="1" t="s">
        <v>5564</v>
      </c>
      <c r="P3436">
        <v>0</v>
      </c>
      <c r="Q3436">
        <v>0</v>
      </c>
      <c r="R3436">
        <v>0</v>
      </c>
      <c r="S3436">
        <v>0</v>
      </c>
      <c r="T3436">
        <v>12.987771670000001</v>
      </c>
      <c r="U3436">
        <f t="shared" si="106"/>
        <v>0</v>
      </c>
      <c r="V3436">
        <f t="shared" si="107"/>
        <v>0</v>
      </c>
    </row>
    <row r="3437" spans="1:22" x14ac:dyDescent="0.2">
      <c r="A3437" t="s">
        <v>4386</v>
      </c>
      <c r="B3437" t="s">
        <v>54</v>
      </c>
      <c r="C3437" t="s">
        <v>76</v>
      </c>
      <c r="D3437" t="s">
        <v>77</v>
      </c>
      <c r="E3437" s="1" t="s">
        <v>138</v>
      </c>
      <c r="F3437" t="s">
        <v>139</v>
      </c>
      <c r="G3437">
        <v>21</v>
      </c>
      <c r="H3437">
        <v>0</v>
      </c>
      <c r="I3437">
        <v>8848</v>
      </c>
      <c r="J3437">
        <v>122</v>
      </c>
      <c r="K3437">
        <v>89</v>
      </c>
      <c r="L3437">
        <v>8848</v>
      </c>
      <c r="M3437">
        <v>0</v>
      </c>
      <c r="N3437">
        <v>1</v>
      </c>
      <c r="O3437" s="1" t="s">
        <v>5565</v>
      </c>
      <c r="P3437">
        <v>0</v>
      </c>
      <c r="Q3437">
        <v>0</v>
      </c>
      <c r="R3437">
        <v>0</v>
      </c>
      <c r="S3437">
        <v>0</v>
      </c>
      <c r="T3437">
        <v>12.987771670000001</v>
      </c>
      <c r="U3437">
        <f t="shared" si="106"/>
        <v>0</v>
      </c>
      <c r="V3437">
        <f t="shared" si="107"/>
        <v>0</v>
      </c>
    </row>
    <row r="3438" spans="1:22" x14ac:dyDescent="0.2">
      <c r="A3438" t="s">
        <v>75</v>
      </c>
      <c r="B3438" t="s">
        <v>6</v>
      </c>
      <c r="C3438" t="s">
        <v>76</v>
      </c>
      <c r="D3438" t="s">
        <v>77</v>
      </c>
      <c r="E3438" s="1" t="s">
        <v>138</v>
      </c>
      <c r="F3438" t="s">
        <v>139</v>
      </c>
      <c r="G3438">
        <v>17</v>
      </c>
      <c r="H3438">
        <v>4955518</v>
      </c>
      <c r="I3438">
        <v>0</v>
      </c>
      <c r="J3438">
        <v>34</v>
      </c>
      <c r="K3438">
        <v>88</v>
      </c>
      <c r="L3438">
        <v>-4955518</v>
      </c>
      <c r="M3438">
        <v>1</v>
      </c>
      <c r="N3438">
        <v>0</v>
      </c>
      <c r="O3438">
        <v>9.2048415332799602E-3</v>
      </c>
      <c r="P3438">
        <v>0</v>
      </c>
      <c r="Q3438">
        <v>0</v>
      </c>
      <c r="R3438">
        <v>0</v>
      </c>
      <c r="S3438">
        <v>0</v>
      </c>
      <c r="T3438">
        <v>37.967415780000003</v>
      </c>
      <c r="U3438">
        <f t="shared" si="106"/>
        <v>0</v>
      </c>
      <c r="V3438">
        <f t="shared" si="107"/>
        <v>0</v>
      </c>
    </row>
    <row r="3439" spans="1:22" x14ac:dyDescent="0.2">
      <c r="A3439" t="s">
        <v>75</v>
      </c>
      <c r="B3439" t="s">
        <v>6</v>
      </c>
      <c r="C3439" t="s">
        <v>76</v>
      </c>
      <c r="D3439" t="s">
        <v>77</v>
      </c>
      <c r="E3439">
        <v>15</v>
      </c>
      <c r="F3439" t="s">
        <v>88</v>
      </c>
      <c r="G3439">
        <v>73</v>
      </c>
      <c r="H3439">
        <v>90024</v>
      </c>
      <c r="I3439">
        <v>0</v>
      </c>
      <c r="J3439">
        <v>111</v>
      </c>
      <c r="K3439">
        <v>103</v>
      </c>
      <c r="L3439">
        <v>-90024</v>
      </c>
      <c r="M3439">
        <v>1</v>
      </c>
      <c r="N3439">
        <v>0</v>
      </c>
      <c r="O3439" s="1" t="s">
        <v>5566</v>
      </c>
      <c r="P3439">
        <v>0</v>
      </c>
      <c r="Q3439">
        <v>0</v>
      </c>
      <c r="R3439">
        <v>0</v>
      </c>
      <c r="S3439">
        <v>0</v>
      </c>
      <c r="T3439">
        <v>37.967415780000003</v>
      </c>
      <c r="U3439">
        <f t="shared" si="106"/>
        <v>0</v>
      </c>
      <c r="V3439">
        <f t="shared" si="107"/>
        <v>0</v>
      </c>
    </row>
    <row r="3440" spans="1:22" x14ac:dyDescent="0.2">
      <c r="A3440" t="s">
        <v>451</v>
      </c>
      <c r="B3440" t="s">
        <v>10</v>
      </c>
      <c r="C3440" t="s">
        <v>76</v>
      </c>
      <c r="D3440" t="s">
        <v>77</v>
      </c>
      <c r="E3440">
        <v>11</v>
      </c>
      <c r="F3440" t="s">
        <v>127</v>
      </c>
      <c r="G3440">
        <v>50</v>
      </c>
      <c r="H3440">
        <v>42</v>
      </c>
      <c r="I3440">
        <v>0</v>
      </c>
      <c r="J3440">
        <v>30</v>
      </c>
      <c r="K3440">
        <v>43</v>
      </c>
      <c r="L3440">
        <v>-42</v>
      </c>
      <c r="M3440">
        <v>1</v>
      </c>
      <c r="N3440">
        <v>0</v>
      </c>
      <c r="O3440" s="1" t="s">
        <v>5567</v>
      </c>
      <c r="P3440">
        <v>0</v>
      </c>
      <c r="Q3440">
        <v>0</v>
      </c>
      <c r="R3440">
        <v>0</v>
      </c>
      <c r="S3440">
        <v>0</v>
      </c>
      <c r="T3440">
        <v>483.10993400000001</v>
      </c>
      <c r="U3440">
        <f t="shared" si="106"/>
        <v>0</v>
      </c>
      <c r="V3440">
        <f t="shared" si="107"/>
        <v>0</v>
      </c>
    </row>
    <row r="3441" spans="1:22" x14ac:dyDescent="0.2">
      <c r="A3441" t="s">
        <v>814</v>
      </c>
      <c r="B3441" t="s">
        <v>12</v>
      </c>
      <c r="C3441" t="s">
        <v>76</v>
      </c>
      <c r="D3441" t="s">
        <v>77</v>
      </c>
      <c r="E3441" s="1" t="s">
        <v>93</v>
      </c>
      <c r="F3441" t="s">
        <v>94</v>
      </c>
      <c r="G3441">
        <v>44</v>
      </c>
      <c r="H3441">
        <v>17346</v>
      </c>
      <c r="I3441">
        <v>0</v>
      </c>
      <c r="J3441">
        <v>129</v>
      </c>
      <c r="K3441">
        <v>103</v>
      </c>
      <c r="L3441">
        <v>-17346</v>
      </c>
      <c r="M3441">
        <v>1</v>
      </c>
      <c r="N3441">
        <v>0</v>
      </c>
      <c r="O3441" s="1" t="s">
        <v>5568</v>
      </c>
      <c r="P3441">
        <v>0</v>
      </c>
      <c r="Q3441">
        <v>0</v>
      </c>
      <c r="R3441">
        <v>0</v>
      </c>
      <c r="S3441">
        <v>0</v>
      </c>
      <c r="T3441">
        <v>41.643896949999998</v>
      </c>
      <c r="U3441">
        <f t="shared" si="106"/>
        <v>0</v>
      </c>
      <c r="V3441">
        <f t="shared" si="107"/>
        <v>0</v>
      </c>
    </row>
    <row r="3442" spans="1:22" x14ac:dyDescent="0.2">
      <c r="A3442" t="s">
        <v>814</v>
      </c>
      <c r="B3442" t="s">
        <v>12</v>
      </c>
      <c r="C3442" t="s">
        <v>76</v>
      </c>
      <c r="D3442" t="s">
        <v>77</v>
      </c>
      <c r="E3442">
        <v>20</v>
      </c>
      <c r="F3442" t="s">
        <v>104</v>
      </c>
      <c r="G3442">
        <v>96</v>
      </c>
      <c r="H3442">
        <v>97</v>
      </c>
      <c r="I3442">
        <v>0</v>
      </c>
      <c r="J3442">
        <v>123</v>
      </c>
      <c r="K3442">
        <v>90</v>
      </c>
      <c r="L3442">
        <v>-97</v>
      </c>
      <c r="M3442">
        <v>1</v>
      </c>
      <c r="N3442">
        <v>0</v>
      </c>
      <c r="O3442" s="1" t="s">
        <v>5569</v>
      </c>
      <c r="P3442">
        <v>0</v>
      </c>
      <c r="Q3442">
        <v>0</v>
      </c>
      <c r="R3442">
        <v>0</v>
      </c>
      <c r="S3442">
        <v>0</v>
      </c>
      <c r="T3442">
        <v>41.643896949999998</v>
      </c>
      <c r="U3442">
        <f t="shared" si="106"/>
        <v>0</v>
      </c>
      <c r="V3442">
        <f t="shared" si="107"/>
        <v>0</v>
      </c>
    </row>
    <row r="3443" spans="1:22" x14ac:dyDescent="0.2">
      <c r="A3443" t="s">
        <v>814</v>
      </c>
      <c r="B3443" t="s">
        <v>12</v>
      </c>
      <c r="C3443" t="s">
        <v>76</v>
      </c>
      <c r="D3443" t="s">
        <v>77</v>
      </c>
      <c r="E3443" s="1" t="s">
        <v>155</v>
      </c>
      <c r="F3443" t="s">
        <v>156</v>
      </c>
      <c r="G3443" s="1" t="s">
        <v>138</v>
      </c>
      <c r="H3443">
        <v>0</v>
      </c>
      <c r="I3443">
        <v>3117</v>
      </c>
      <c r="J3443">
        <v>75</v>
      </c>
      <c r="K3443">
        <v>63</v>
      </c>
      <c r="L3443">
        <v>3117</v>
      </c>
      <c r="M3443">
        <v>0</v>
      </c>
      <c r="N3443">
        <v>1</v>
      </c>
      <c r="O3443" s="1" t="s">
        <v>5570</v>
      </c>
      <c r="P3443">
        <v>0</v>
      </c>
      <c r="Q3443">
        <v>0</v>
      </c>
      <c r="R3443">
        <v>0</v>
      </c>
      <c r="S3443">
        <v>0</v>
      </c>
      <c r="T3443">
        <v>41.643896949999998</v>
      </c>
      <c r="U3443">
        <f t="shared" si="106"/>
        <v>0</v>
      </c>
      <c r="V3443">
        <f t="shared" si="107"/>
        <v>0</v>
      </c>
    </row>
    <row r="3444" spans="1:22" x14ac:dyDescent="0.2">
      <c r="A3444" t="s">
        <v>828</v>
      </c>
      <c r="B3444" t="s">
        <v>13</v>
      </c>
      <c r="C3444" t="s">
        <v>76</v>
      </c>
      <c r="D3444" t="s">
        <v>77</v>
      </c>
      <c r="E3444" s="1" t="s">
        <v>155</v>
      </c>
      <c r="F3444" t="s">
        <v>156</v>
      </c>
      <c r="G3444" s="1" t="s">
        <v>110</v>
      </c>
      <c r="H3444">
        <v>16963645</v>
      </c>
      <c r="I3444">
        <v>0</v>
      </c>
      <c r="J3444">
        <v>31</v>
      </c>
      <c r="K3444">
        <v>77</v>
      </c>
      <c r="L3444">
        <v>-16963645</v>
      </c>
      <c r="M3444">
        <v>1</v>
      </c>
      <c r="N3444">
        <v>0</v>
      </c>
      <c r="O3444" s="1" t="s">
        <v>5571</v>
      </c>
      <c r="P3444">
        <v>0</v>
      </c>
      <c r="Q3444">
        <v>0</v>
      </c>
      <c r="R3444">
        <v>0</v>
      </c>
      <c r="S3444">
        <v>0</v>
      </c>
      <c r="T3444">
        <v>100.6357569</v>
      </c>
      <c r="U3444">
        <f t="shared" si="106"/>
        <v>0</v>
      </c>
      <c r="V3444">
        <f t="shared" si="107"/>
        <v>0</v>
      </c>
    </row>
    <row r="3445" spans="1:22" x14ac:dyDescent="0.2">
      <c r="A3445" t="s">
        <v>828</v>
      </c>
      <c r="B3445" t="s">
        <v>13</v>
      </c>
      <c r="C3445" t="s">
        <v>76</v>
      </c>
      <c r="D3445" t="s">
        <v>77</v>
      </c>
      <c r="E3445" s="1" t="s">
        <v>82</v>
      </c>
      <c r="F3445" t="s">
        <v>83</v>
      </c>
      <c r="G3445" s="1" t="s">
        <v>99</v>
      </c>
      <c r="H3445">
        <v>345942</v>
      </c>
      <c r="I3445">
        <v>0</v>
      </c>
      <c r="J3445">
        <v>73</v>
      </c>
      <c r="K3445">
        <v>90</v>
      </c>
      <c r="L3445">
        <v>-345942</v>
      </c>
      <c r="M3445">
        <v>1</v>
      </c>
      <c r="N3445">
        <v>0</v>
      </c>
      <c r="O3445" s="1" t="s">
        <v>5572</v>
      </c>
      <c r="P3445">
        <v>0</v>
      </c>
      <c r="Q3445">
        <v>0</v>
      </c>
      <c r="R3445">
        <v>0</v>
      </c>
      <c r="S3445">
        <v>0</v>
      </c>
      <c r="T3445">
        <v>100.6357569</v>
      </c>
      <c r="U3445">
        <f t="shared" si="106"/>
        <v>0</v>
      </c>
      <c r="V3445">
        <f t="shared" si="107"/>
        <v>0</v>
      </c>
    </row>
    <row r="3446" spans="1:22" x14ac:dyDescent="0.2">
      <c r="A3446" t="s">
        <v>828</v>
      </c>
      <c r="B3446" t="s">
        <v>13</v>
      </c>
      <c r="C3446" t="s">
        <v>76</v>
      </c>
      <c r="D3446" t="s">
        <v>77</v>
      </c>
      <c r="E3446">
        <v>13</v>
      </c>
      <c r="F3446" t="s">
        <v>91</v>
      </c>
      <c r="G3446">
        <v>69</v>
      </c>
      <c r="H3446">
        <v>6907</v>
      </c>
      <c r="I3446">
        <v>0</v>
      </c>
      <c r="J3446">
        <v>90</v>
      </c>
      <c r="K3446">
        <v>91</v>
      </c>
      <c r="L3446">
        <v>-6907</v>
      </c>
      <c r="M3446">
        <v>1</v>
      </c>
      <c r="N3446">
        <v>0</v>
      </c>
      <c r="O3446" s="1" t="s">
        <v>5573</v>
      </c>
      <c r="P3446">
        <v>0</v>
      </c>
      <c r="Q3446">
        <v>0</v>
      </c>
      <c r="R3446">
        <v>0</v>
      </c>
      <c r="S3446">
        <v>0</v>
      </c>
      <c r="T3446">
        <v>100.6357569</v>
      </c>
      <c r="U3446">
        <f t="shared" si="106"/>
        <v>0</v>
      </c>
      <c r="V3446">
        <f t="shared" si="107"/>
        <v>0</v>
      </c>
    </row>
    <row r="3447" spans="1:22" x14ac:dyDescent="0.2">
      <c r="A3447" t="s">
        <v>857</v>
      </c>
      <c r="B3447" t="s">
        <v>14</v>
      </c>
      <c r="C3447" t="s">
        <v>76</v>
      </c>
      <c r="D3447" t="s">
        <v>77</v>
      </c>
      <c r="E3447" s="1" t="s">
        <v>89</v>
      </c>
      <c r="F3447" t="s">
        <v>90</v>
      </c>
      <c r="G3447">
        <v>35</v>
      </c>
      <c r="H3447">
        <v>2277</v>
      </c>
      <c r="I3447">
        <v>0</v>
      </c>
      <c r="J3447">
        <v>75</v>
      </c>
      <c r="K3447">
        <v>73</v>
      </c>
      <c r="L3447">
        <v>-2277</v>
      </c>
      <c r="M3447">
        <v>1</v>
      </c>
      <c r="N3447">
        <v>0</v>
      </c>
      <c r="O3447" s="1" t="s">
        <v>5574</v>
      </c>
      <c r="P3447">
        <v>0</v>
      </c>
      <c r="Q3447">
        <v>0</v>
      </c>
      <c r="R3447">
        <v>0</v>
      </c>
      <c r="S3447">
        <v>0</v>
      </c>
      <c r="T3447">
        <v>30.8574895</v>
      </c>
      <c r="U3447">
        <f t="shared" si="106"/>
        <v>0</v>
      </c>
      <c r="V3447">
        <f t="shared" si="107"/>
        <v>0</v>
      </c>
    </row>
    <row r="3448" spans="1:22" x14ac:dyDescent="0.2">
      <c r="A3448" t="s">
        <v>857</v>
      </c>
      <c r="B3448" t="s">
        <v>14</v>
      </c>
      <c r="C3448" t="s">
        <v>76</v>
      </c>
      <c r="D3448" t="s">
        <v>77</v>
      </c>
      <c r="E3448">
        <v>15</v>
      </c>
      <c r="F3448" t="s">
        <v>88</v>
      </c>
      <c r="G3448">
        <v>82</v>
      </c>
      <c r="H3448">
        <v>48</v>
      </c>
      <c r="I3448">
        <v>0</v>
      </c>
      <c r="J3448">
        <v>136</v>
      </c>
      <c r="K3448">
        <v>96</v>
      </c>
      <c r="L3448">
        <v>-48</v>
      </c>
      <c r="M3448">
        <v>1</v>
      </c>
      <c r="N3448">
        <v>0</v>
      </c>
      <c r="O3448" s="1" t="s">
        <v>5575</v>
      </c>
      <c r="P3448">
        <v>0</v>
      </c>
      <c r="Q3448">
        <v>0</v>
      </c>
      <c r="R3448">
        <v>0</v>
      </c>
      <c r="S3448">
        <v>0</v>
      </c>
      <c r="T3448">
        <v>30.8574895</v>
      </c>
      <c r="U3448">
        <f t="shared" si="106"/>
        <v>0</v>
      </c>
      <c r="V3448">
        <f t="shared" si="107"/>
        <v>0</v>
      </c>
    </row>
    <row r="3449" spans="1:22" x14ac:dyDescent="0.2">
      <c r="A3449" t="s">
        <v>857</v>
      </c>
      <c r="B3449" t="s">
        <v>14</v>
      </c>
      <c r="C3449" t="s">
        <v>76</v>
      </c>
      <c r="D3449" t="s">
        <v>77</v>
      </c>
      <c r="E3449">
        <v>13</v>
      </c>
      <c r="F3449" t="s">
        <v>91</v>
      </c>
      <c r="G3449">
        <v>70</v>
      </c>
      <c r="H3449">
        <v>39</v>
      </c>
      <c r="I3449">
        <v>0</v>
      </c>
      <c r="J3449">
        <v>137</v>
      </c>
      <c r="K3449">
        <v>88</v>
      </c>
      <c r="L3449">
        <v>-39</v>
      </c>
      <c r="M3449">
        <v>1</v>
      </c>
      <c r="N3449">
        <v>0</v>
      </c>
      <c r="O3449" s="1" t="s">
        <v>5576</v>
      </c>
      <c r="P3449">
        <v>0</v>
      </c>
      <c r="Q3449">
        <v>0</v>
      </c>
      <c r="R3449">
        <v>0</v>
      </c>
      <c r="S3449">
        <v>0</v>
      </c>
      <c r="T3449">
        <v>30.8574895</v>
      </c>
      <c r="U3449">
        <f t="shared" si="106"/>
        <v>0</v>
      </c>
      <c r="V3449">
        <f t="shared" si="107"/>
        <v>0</v>
      </c>
    </row>
    <row r="3450" spans="1:22" x14ac:dyDescent="0.2">
      <c r="A3450" t="s">
        <v>920</v>
      </c>
      <c r="B3450" t="s">
        <v>16</v>
      </c>
      <c r="C3450" t="s">
        <v>76</v>
      </c>
      <c r="D3450" t="s">
        <v>77</v>
      </c>
      <c r="E3450">
        <v>12</v>
      </c>
      <c r="F3450" t="s">
        <v>194</v>
      </c>
      <c r="G3450">
        <v>65</v>
      </c>
      <c r="H3450">
        <v>742</v>
      </c>
      <c r="I3450">
        <v>145</v>
      </c>
      <c r="J3450">
        <v>78</v>
      </c>
      <c r="K3450">
        <v>76</v>
      </c>
      <c r="L3450">
        <v>-597</v>
      </c>
      <c r="M3450" s="1" t="s">
        <v>5577</v>
      </c>
      <c r="N3450" s="1" t="s">
        <v>5578</v>
      </c>
      <c r="O3450" s="1" t="s">
        <v>5579</v>
      </c>
      <c r="P3450">
        <v>0</v>
      </c>
      <c r="Q3450">
        <v>0</v>
      </c>
      <c r="R3450">
        <v>0</v>
      </c>
      <c r="S3450">
        <v>0</v>
      </c>
      <c r="T3450">
        <v>8.9011500350000006</v>
      </c>
      <c r="U3450">
        <f t="shared" si="106"/>
        <v>0</v>
      </c>
      <c r="V3450">
        <f t="shared" si="107"/>
        <v>0</v>
      </c>
    </row>
    <row r="3451" spans="1:22" x14ac:dyDescent="0.2">
      <c r="A3451" t="s">
        <v>920</v>
      </c>
      <c r="B3451" t="s">
        <v>16</v>
      </c>
      <c r="C3451" t="s">
        <v>76</v>
      </c>
      <c r="D3451" t="s">
        <v>77</v>
      </c>
      <c r="E3451">
        <v>11</v>
      </c>
      <c r="F3451" t="s">
        <v>127</v>
      </c>
      <c r="G3451">
        <v>57</v>
      </c>
      <c r="H3451">
        <v>0</v>
      </c>
      <c r="I3451">
        <v>75365</v>
      </c>
      <c r="J3451">
        <v>94</v>
      </c>
      <c r="K3451">
        <v>49</v>
      </c>
      <c r="L3451">
        <v>75365</v>
      </c>
      <c r="M3451">
        <v>0</v>
      </c>
      <c r="N3451">
        <v>1</v>
      </c>
      <c r="O3451" s="1" t="s">
        <v>5580</v>
      </c>
      <c r="P3451">
        <v>0</v>
      </c>
      <c r="Q3451">
        <v>0</v>
      </c>
      <c r="R3451">
        <v>0</v>
      </c>
      <c r="S3451">
        <v>0</v>
      </c>
      <c r="T3451">
        <v>8.9011500350000006</v>
      </c>
      <c r="U3451">
        <f t="shared" si="106"/>
        <v>0</v>
      </c>
      <c r="V3451">
        <f t="shared" si="107"/>
        <v>0</v>
      </c>
    </row>
    <row r="3452" spans="1:22" x14ac:dyDescent="0.2">
      <c r="A3452" t="s">
        <v>1011</v>
      </c>
      <c r="B3452" t="s">
        <v>17</v>
      </c>
      <c r="C3452" t="s">
        <v>76</v>
      </c>
      <c r="D3452" t="s">
        <v>77</v>
      </c>
      <c r="E3452">
        <v>15</v>
      </c>
      <c r="F3452" t="s">
        <v>88</v>
      </c>
      <c r="G3452">
        <v>81</v>
      </c>
      <c r="H3452">
        <v>13736</v>
      </c>
      <c r="I3452">
        <v>0</v>
      </c>
      <c r="J3452">
        <v>70</v>
      </c>
      <c r="K3452">
        <v>59</v>
      </c>
      <c r="L3452">
        <v>-13736</v>
      </c>
      <c r="M3452">
        <v>1</v>
      </c>
      <c r="N3452">
        <v>0</v>
      </c>
      <c r="O3452" s="1" t="s">
        <v>5581</v>
      </c>
      <c r="P3452">
        <v>0</v>
      </c>
      <c r="Q3452">
        <v>0</v>
      </c>
      <c r="R3452">
        <v>0</v>
      </c>
      <c r="S3452">
        <v>0</v>
      </c>
      <c r="T3452">
        <v>10.352380159999999</v>
      </c>
      <c r="U3452">
        <f t="shared" si="106"/>
        <v>0</v>
      </c>
      <c r="V3452">
        <f t="shared" si="107"/>
        <v>0</v>
      </c>
    </row>
    <row r="3453" spans="1:22" x14ac:dyDescent="0.2">
      <c r="A3453" t="s">
        <v>1011</v>
      </c>
      <c r="B3453" t="s">
        <v>17</v>
      </c>
      <c r="C3453" t="s">
        <v>76</v>
      </c>
      <c r="D3453" t="s">
        <v>77</v>
      </c>
      <c r="E3453">
        <v>11</v>
      </c>
      <c r="F3453" t="s">
        <v>127</v>
      </c>
      <c r="G3453">
        <v>56</v>
      </c>
      <c r="H3453">
        <v>9720</v>
      </c>
      <c r="I3453">
        <v>0</v>
      </c>
      <c r="J3453">
        <v>77</v>
      </c>
      <c r="K3453">
        <v>77</v>
      </c>
      <c r="L3453">
        <v>-9720</v>
      </c>
      <c r="M3453">
        <v>1</v>
      </c>
      <c r="N3453">
        <v>0</v>
      </c>
      <c r="O3453" s="1" t="s">
        <v>5582</v>
      </c>
      <c r="P3453">
        <v>0</v>
      </c>
      <c r="Q3453">
        <v>0</v>
      </c>
      <c r="R3453">
        <v>0</v>
      </c>
      <c r="S3453">
        <v>0</v>
      </c>
      <c r="T3453">
        <v>10.352380159999999</v>
      </c>
      <c r="U3453">
        <f t="shared" si="106"/>
        <v>0</v>
      </c>
      <c r="V3453">
        <f t="shared" si="107"/>
        <v>0</v>
      </c>
    </row>
    <row r="3454" spans="1:22" x14ac:dyDescent="0.2">
      <c r="A3454" t="s">
        <v>1011</v>
      </c>
      <c r="B3454" t="s">
        <v>17</v>
      </c>
      <c r="C3454" t="s">
        <v>76</v>
      </c>
      <c r="D3454" t="s">
        <v>77</v>
      </c>
      <c r="E3454" s="1" t="s">
        <v>82</v>
      </c>
      <c r="F3454" t="s">
        <v>83</v>
      </c>
      <c r="G3454">
        <v>13</v>
      </c>
      <c r="H3454">
        <v>0</v>
      </c>
      <c r="I3454">
        <v>3100</v>
      </c>
      <c r="J3454">
        <v>59</v>
      </c>
      <c r="K3454">
        <v>55</v>
      </c>
      <c r="L3454">
        <v>3100</v>
      </c>
      <c r="M3454">
        <v>0</v>
      </c>
      <c r="N3454">
        <v>1</v>
      </c>
      <c r="O3454" s="1" t="s">
        <v>5583</v>
      </c>
      <c r="P3454">
        <v>0</v>
      </c>
      <c r="Q3454">
        <v>0</v>
      </c>
      <c r="R3454">
        <v>0</v>
      </c>
      <c r="S3454">
        <v>0</v>
      </c>
      <c r="T3454">
        <v>10.352380159999999</v>
      </c>
      <c r="U3454">
        <f t="shared" si="106"/>
        <v>0</v>
      </c>
      <c r="V3454">
        <f t="shared" si="107"/>
        <v>0</v>
      </c>
    </row>
    <row r="3455" spans="1:22" x14ac:dyDescent="0.2">
      <c r="A3455" t="s">
        <v>1011</v>
      </c>
      <c r="B3455" t="s">
        <v>17</v>
      </c>
      <c r="C3455" t="s">
        <v>76</v>
      </c>
      <c r="D3455" t="s">
        <v>77</v>
      </c>
      <c r="E3455" s="1" t="s">
        <v>82</v>
      </c>
      <c r="F3455" t="s">
        <v>83</v>
      </c>
      <c r="G3455">
        <v>14</v>
      </c>
      <c r="H3455">
        <v>0</v>
      </c>
      <c r="I3455">
        <v>12273</v>
      </c>
      <c r="J3455">
        <v>41</v>
      </c>
      <c r="K3455">
        <v>32</v>
      </c>
      <c r="L3455">
        <v>12273</v>
      </c>
      <c r="M3455">
        <v>0</v>
      </c>
      <c r="N3455">
        <v>1</v>
      </c>
      <c r="O3455" s="1" t="s">
        <v>5584</v>
      </c>
      <c r="P3455">
        <v>0</v>
      </c>
      <c r="Q3455">
        <v>0</v>
      </c>
      <c r="R3455">
        <v>0</v>
      </c>
      <c r="S3455">
        <v>0</v>
      </c>
      <c r="T3455">
        <v>10.352380159999999</v>
      </c>
      <c r="U3455">
        <f t="shared" si="106"/>
        <v>0</v>
      </c>
      <c r="V3455">
        <f t="shared" si="107"/>
        <v>0</v>
      </c>
    </row>
    <row r="3456" spans="1:22" x14ac:dyDescent="0.2">
      <c r="A3456" t="s">
        <v>1068</v>
      </c>
      <c r="B3456" t="s">
        <v>18</v>
      </c>
      <c r="C3456" t="s">
        <v>76</v>
      </c>
      <c r="D3456" t="s">
        <v>77</v>
      </c>
      <c r="E3456" s="1" t="s">
        <v>82</v>
      </c>
      <c r="F3456" t="s">
        <v>83</v>
      </c>
      <c r="G3456">
        <v>10</v>
      </c>
      <c r="H3456">
        <v>35156</v>
      </c>
      <c r="I3456">
        <v>0</v>
      </c>
      <c r="J3456">
        <v>119</v>
      </c>
      <c r="K3456">
        <v>65</v>
      </c>
      <c r="L3456">
        <v>-35156</v>
      </c>
      <c r="M3456">
        <v>1</v>
      </c>
      <c r="N3456">
        <v>0</v>
      </c>
      <c r="O3456" s="1" t="s">
        <v>5585</v>
      </c>
      <c r="P3456">
        <v>0</v>
      </c>
      <c r="Q3456">
        <v>0</v>
      </c>
      <c r="R3456">
        <v>0</v>
      </c>
      <c r="S3456">
        <v>0</v>
      </c>
      <c r="T3456">
        <v>6.7062261379999999</v>
      </c>
      <c r="U3456">
        <f t="shared" si="106"/>
        <v>0</v>
      </c>
      <c r="V3456">
        <f t="shared" si="107"/>
        <v>0</v>
      </c>
    </row>
    <row r="3457" spans="1:22" x14ac:dyDescent="0.2">
      <c r="A3457" t="s">
        <v>1068</v>
      </c>
      <c r="B3457" t="s">
        <v>18</v>
      </c>
      <c r="C3457" t="s">
        <v>76</v>
      </c>
      <c r="D3457" t="s">
        <v>77</v>
      </c>
      <c r="E3457">
        <v>10</v>
      </c>
      <c r="F3457" t="s">
        <v>119</v>
      </c>
      <c r="G3457">
        <v>47</v>
      </c>
      <c r="H3457">
        <v>17840</v>
      </c>
      <c r="I3457">
        <v>0</v>
      </c>
      <c r="J3457">
        <v>73</v>
      </c>
      <c r="K3457">
        <v>37</v>
      </c>
      <c r="L3457">
        <v>-17840</v>
      </c>
      <c r="M3457">
        <v>1</v>
      </c>
      <c r="N3457">
        <v>0</v>
      </c>
      <c r="O3457" s="1" t="s">
        <v>5586</v>
      </c>
      <c r="P3457">
        <v>0</v>
      </c>
      <c r="Q3457">
        <v>0</v>
      </c>
      <c r="R3457">
        <v>0</v>
      </c>
      <c r="S3457">
        <v>0</v>
      </c>
      <c r="T3457">
        <v>6.7062261379999999</v>
      </c>
      <c r="U3457">
        <f t="shared" si="106"/>
        <v>0</v>
      </c>
      <c r="V3457">
        <f t="shared" si="107"/>
        <v>0</v>
      </c>
    </row>
    <row r="3458" spans="1:22" x14ac:dyDescent="0.2">
      <c r="A3458" t="s">
        <v>1068</v>
      </c>
      <c r="B3458" t="s">
        <v>18</v>
      </c>
      <c r="C3458" t="s">
        <v>76</v>
      </c>
      <c r="D3458" t="s">
        <v>77</v>
      </c>
      <c r="E3458">
        <v>18</v>
      </c>
      <c r="F3458" t="s">
        <v>147</v>
      </c>
      <c r="G3458">
        <v>91</v>
      </c>
      <c r="H3458">
        <v>319</v>
      </c>
      <c r="I3458">
        <v>0</v>
      </c>
      <c r="J3458">
        <v>83</v>
      </c>
      <c r="K3458">
        <v>69</v>
      </c>
      <c r="L3458">
        <v>-319</v>
      </c>
      <c r="M3458">
        <v>1</v>
      </c>
      <c r="N3458">
        <v>0</v>
      </c>
      <c r="O3458" s="1" t="s">
        <v>5587</v>
      </c>
      <c r="P3458">
        <v>0</v>
      </c>
      <c r="Q3458">
        <v>0</v>
      </c>
      <c r="R3458">
        <v>0</v>
      </c>
      <c r="S3458">
        <v>0</v>
      </c>
      <c r="T3458">
        <v>6.7062261379999999</v>
      </c>
      <c r="U3458">
        <f t="shared" si="106"/>
        <v>0</v>
      </c>
      <c r="V3458">
        <f t="shared" si="107"/>
        <v>0</v>
      </c>
    </row>
    <row r="3459" spans="1:22" x14ac:dyDescent="0.2">
      <c r="A3459" t="s">
        <v>1068</v>
      </c>
      <c r="B3459" t="s">
        <v>18</v>
      </c>
      <c r="C3459" t="s">
        <v>76</v>
      </c>
      <c r="D3459" t="s">
        <v>77</v>
      </c>
      <c r="E3459">
        <v>11</v>
      </c>
      <c r="F3459" t="s">
        <v>127</v>
      </c>
      <c r="G3459">
        <v>57</v>
      </c>
      <c r="H3459">
        <v>0</v>
      </c>
      <c r="I3459">
        <v>620</v>
      </c>
      <c r="J3459">
        <v>94</v>
      </c>
      <c r="K3459">
        <v>66</v>
      </c>
      <c r="L3459">
        <v>620</v>
      </c>
      <c r="M3459">
        <v>0</v>
      </c>
      <c r="N3459">
        <v>1</v>
      </c>
      <c r="O3459" s="1" t="s">
        <v>5588</v>
      </c>
      <c r="P3459">
        <v>0</v>
      </c>
      <c r="Q3459">
        <v>0</v>
      </c>
      <c r="R3459">
        <v>0</v>
      </c>
      <c r="S3459">
        <v>0</v>
      </c>
      <c r="T3459">
        <v>6.7062261379999999</v>
      </c>
      <c r="U3459">
        <f t="shared" ref="U3459:U3522" si="108">IF(OR(P3459=1,Q3459=1),1,0)</f>
        <v>0</v>
      </c>
      <c r="V3459">
        <f t="shared" ref="V3459:V3522" si="109">IF(OR(R3459=1,S3459=1),1,0)</f>
        <v>0</v>
      </c>
    </row>
    <row r="3460" spans="1:22" x14ac:dyDescent="0.2">
      <c r="A3460" t="s">
        <v>1068</v>
      </c>
      <c r="B3460" t="s">
        <v>18</v>
      </c>
      <c r="C3460" t="s">
        <v>76</v>
      </c>
      <c r="D3460" t="s">
        <v>77</v>
      </c>
      <c r="E3460">
        <v>11</v>
      </c>
      <c r="F3460" t="s">
        <v>127</v>
      </c>
      <c r="G3460">
        <v>63</v>
      </c>
      <c r="H3460">
        <v>0</v>
      </c>
      <c r="I3460">
        <v>6000</v>
      </c>
      <c r="J3460">
        <v>127</v>
      </c>
      <c r="K3460">
        <v>85</v>
      </c>
      <c r="L3460">
        <v>6000</v>
      </c>
      <c r="M3460">
        <v>0</v>
      </c>
      <c r="N3460">
        <v>1</v>
      </c>
      <c r="O3460" s="1" t="s">
        <v>5589</v>
      </c>
      <c r="P3460">
        <v>0</v>
      </c>
      <c r="Q3460">
        <v>0</v>
      </c>
      <c r="R3460">
        <v>0</v>
      </c>
      <c r="S3460">
        <v>0</v>
      </c>
      <c r="T3460">
        <v>6.7062261379999999</v>
      </c>
      <c r="U3460">
        <f t="shared" si="108"/>
        <v>0</v>
      </c>
      <c r="V3460">
        <f t="shared" si="109"/>
        <v>0</v>
      </c>
    </row>
    <row r="3461" spans="1:22" x14ac:dyDescent="0.2">
      <c r="A3461" t="s">
        <v>1098</v>
      </c>
      <c r="B3461" t="s">
        <v>19</v>
      </c>
      <c r="C3461" t="s">
        <v>76</v>
      </c>
      <c r="D3461" t="s">
        <v>77</v>
      </c>
      <c r="E3461" s="1" t="s">
        <v>138</v>
      </c>
      <c r="F3461" t="s">
        <v>139</v>
      </c>
      <c r="G3461">
        <v>24</v>
      </c>
      <c r="H3461">
        <v>78408</v>
      </c>
      <c r="I3461">
        <v>0</v>
      </c>
      <c r="J3461">
        <v>60</v>
      </c>
      <c r="K3461">
        <v>80</v>
      </c>
      <c r="L3461">
        <v>-78408</v>
      </c>
      <c r="M3461">
        <v>1</v>
      </c>
      <c r="N3461">
        <v>0</v>
      </c>
      <c r="O3461" s="1" t="s">
        <v>5590</v>
      </c>
      <c r="P3461">
        <v>0</v>
      </c>
      <c r="Q3461">
        <v>0</v>
      </c>
      <c r="R3461">
        <v>0</v>
      </c>
      <c r="S3461">
        <v>0</v>
      </c>
      <c r="T3461">
        <v>158.85371929999999</v>
      </c>
      <c r="U3461">
        <f t="shared" si="108"/>
        <v>0</v>
      </c>
      <c r="V3461">
        <f t="shared" si="109"/>
        <v>0</v>
      </c>
    </row>
    <row r="3462" spans="1:22" x14ac:dyDescent="0.2">
      <c r="A3462" t="s">
        <v>1098</v>
      </c>
      <c r="B3462" t="s">
        <v>19</v>
      </c>
      <c r="C3462" t="s">
        <v>76</v>
      </c>
      <c r="D3462" t="s">
        <v>77</v>
      </c>
      <c r="E3462" s="1" t="s">
        <v>89</v>
      </c>
      <c r="F3462" t="s">
        <v>90</v>
      </c>
      <c r="G3462">
        <v>34</v>
      </c>
      <c r="H3462">
        <v>137</v>
      </c>
      <c r="I3462">
        <v>0</v>
      </c>
      <c r="J3462">
        <v>124</v>
      </c>
      <c r="K3462">
        <v>87</v>
      </c>
      <c r="L3462">
        <v>-137</v>
      </c>
      <c r="M3462">
        <v>1</v>
      </c>
      <c r="N3462">
        <v>0</v>
      </c>
      <c r="O3462" s="1" t="s">
        <v>5591</v>
      </c>
      <c r="P3462">
        <v>0</v>
      </c>
      <c r="Q3462">
        <v>0</v>
      </c>
      <c r="R3462">
        <v>0</v>
      </c>
      <c r="S3462">
        <v>0</v>
      </c>
      <c r="T3462">
        <v>158.85371929999999</v>
      </c>
      <c r="U3462">
        <f t="shared" si="108"/>
        <v>0</v>
      </c>
      <c r="V3462">
        <f t="shared" si="109"/>
        <v>0</v>
      </c>
    </row>
    <row r="3463" spans="1:22" x14ac:dyDescent="0.2">
      <c r="A3463" t="s">
        <v>1098</v>
      </c>
      <c r="B3463" t="s">
        <v>19</v>
      </c>
      <c r="C3463" t="s">
        <v>76</v>
      </c>
      <c r="D3463" t="s">
        <v>77</v>
      </c>
      <c r="E3463">
        <v>15</v>
      </c>
      <c r="F3463" t="s">
        <v>88</v>
      </c>
      <c r="G3463">
        <v>74</v>
      </c>
      <c r="H3463">
        <v>1</v>
      </c>
      <c r="I3463">
        <v>0</v>
      </c>
      <c r="J3463">
        <v>109</v>
      </c>
      <c r="K3463">
        <v>84</v>
      </c>
      <c r="L3463">
        <v>-1</v>
      </c>
      <c r="M3463">
        <v>1</v>
      </c>
      <c r="N3463">
        <v>0</v>
      </c>
      <c r="O3463" s="1" t="s">
        <v>5592</v>
      </c>
      <c r="P3463">
        <v>0</v>
      </c>
      <c r="Q3463">
        <v>0</v>
      </c>
      <c r="R3463">
        <v>0</v>
      </c>
      <c r="S3463">
        <v>0</v>
      </c>
      <c r="T3463">
        <v>158.85371929999999</v>
      </c>
      <c r="U3463">
        <f t="shared" si="108"/>
        <v>0</v>
      </c>
      <c r="V3463">
        <f t="shared" si="109"/>
        <v>0</v>
      </c>
    </row>
    <row r="3464" spans="1:22" x14ac:dyDescent="0.2">
      <c r="A3464" t="s">
        <v>1374</v>
      </c>
      <c r="B3464" t="s">
        <v>22</v>
      </c>
      <c r="C3464" t="s">
        <v>76</v>
      </c>
      <c r="D3464" t="s">
        <v>77</v>
      </c>
      <c r="E3464">
        <v>11</v>
      </c>
      <c r="F3464" t="s">
        <v>127</v>
      </c>
      <c r="G3464">
        <v>58</v>
      </c>
      <c r="H3464">
        <v>109</v>
      </c>
      <c r="I3464">
        <v>0</v>
      </c>
      <c r="J3464">
        <v>74</v>
      </c>
      <c r="K3464">
        <v>65</v>
      </c>
      <c r="L3464">
        <v>-109</v>
      </c>
      <c r="M3464">
        <v>1</v>
      </c>
      <c r="N3464">
        <v>0</v>
      </c>
      <c r="O3464" s="1" t="s">
        <v>5593</v>
      </c>
      <c r="P3464">
        <v>0</v>
      </c>
      <c r="Q3464">
        <v>0</v>
      </c>
      <c r="R3464">
        <v>0</v>
      </c>
      <c r="S3464">
        <v>0</v>
      </c>
      <c r="T3464">
        <v>10.251031490000001</v>
      </c>
      <c r="U3464">
        <f t="shared" si="108"/>
        <v>0</v>
      </c>
      <c r="V3464">
        <f t="shared" si="109"/>
        <v>0</v>
      </c>
    </row>
    <row r="3465" spans="1:22" x14ac:dyDescent="0.2">
      <c r="A3465" t="s">
        <v>1484</v>
      </c>
      <c r="B3465" t="s">
        <v>24</v>
      </c>
      <c r="C3465" t="s">
        <v>76</v>
      </c>
      <c r="D3465" t="s">
        <v>77</v>
      </c>
      <c r="E3465" s="1" t="s">
        <v>155</v>
      </c>
      <c r="F3465" t="s">
        <v>156</v>
      </c>
      <c r="G3465" s="1" t="s">
        <v>110</v>
      </c>
      <c r="H3465">
        <v>116225</v>
      </c>
      <c r="I3465">
        <v>0</v>
      </c>
      <c r="J3465">
        <v>83</v>
      </c>
      <c r="K3465">
        <v>77</v>
      </c>
      <c r="L3465">
        <v>-116225</v>
      </c>
      <c r="M3465">
        <v>1</v>
      </c>
      <c r="N3465">
        <v>0</v>
      </c>
      <c r="O3465" s="1" t="s">
        <v>5594</v>
      </c>
      <c r="P3465">
        <v>0</v>
      </c>
      <c r="Q3465">
        <v>0</v>
      </c>
      <c r="R3465">
        <v>0</v>
      </c>
      <c r="S3465">
        <v>0</v>
      </c>
      <c r="T3465">
        <v>146.3475875</v>
      </c>
      <c r="U3465">
        <f t="shared" si="108"/>
        <v>0</v>
      </c>
      <c r="V3465">
        <f t="shared" si="109"/>
        <v>0</v>
      </c>
    </row>
    <row r="3466" spans="1:22" x14ac:dyDescent="0.2">
      <c r="A3466" t="s">
        <v>1484</v>
      </c>
      <c r="B3466" t="s">
        <v>24</v>
      </c>
      <c r="C3466" t="s">
        <v>76</v>
      </c>
      <c r="D3466" t="s">
        <v>77</v>
      </c>
      <c r="E3466">
        <v>11</v>
      </c>
      <c r="F3466" t="s">
        <v>127</v>
      </c>
      <c r="G3466">
        <v>50</v>
      </c>
      <c r="H3466">
        <v>249</v>
      </c>
      <c r="I3466">
        <v>0</v>
      </c>
      <c r="J3466">
        <v>25</v>
      </c>
      <c r="K3466">
        <v>43</v>
      </c>
      <c r="L3466">
        <v>-249</v>
      </c>
      <c r="M3466">
        <v>1</v>
      </c>
      <c r="N3466">
        <v>0</v>
      </c>
      <c r="O3466" s="1" t="s">
        <v>5595</v>
      </c>
      <c r="P3466">
        <v>0</v>
      </c>
      <c r="Q3466">
        <v>0</v>
      </c>
      <c r="R3466">
        <v>0</v>
      </c>
      <c r="S3466">
        <v>0</v>
      </c>
      <c r="T3466">
        <v>146.3475875</v>
      </c>
      <c r="U3466">
        <f t="shared" si="108"/>
        <v>0</v>
      </c>
      <c r="V3466">
        <f t="shared" si="109"/>
        <v>0</v>
      </c>
    </row>
    <row r="3467" spans="1:22" x14ac:dyDescent="0.2">
      <c r="A3467" t="s">
        <v>1849</v>
      </c>
      <c r="B3467" t="s">
        <v>26</v>
      </c>
      <c r="C3467" t="s">
        <v>76</v>
      </c>
      <c r="D3467" t="s">
        <v>77</v>
      </c>
      <c r="E3467" s="1" t="s">
        <v>89</v>
      </c>
      <c r="F3467" t="s">
        <v>90</v>
      </c>
      <c r="G3467">
        <v>36</v>
      </c>
      <c r="H3467">
        <v>141</v>
      </c>
      <c r="I3467">
        <v>0</v>
      </c>
      <c r="J3467">
        <v>63</v>
      </c>
      <c r="K3467">
        <v>37</v>
      </c>
      <c r="L3467">
        <v>-141</v>
      </c>
      <c r="M3467">
        <v>1</v>
      </c>
      <c r="N3467">
        <v>0</v>
      </c>
      <c r="O3467" s="1" t="s">
        <v>5596</v>
      </c>
      <c r="P3467">
        <v>0</v>
      </c>
      <c r="Q3467">
        <v>0</v>
      </c>
      <c r="R3467">
        <v>0</v>
      </c>
      <c r="S3467">
        <v>0</v>
      </c>
      <c r="T3467">
        <v>12.98266392</v>
      </c>
      <c r="U3467">
        <f t="shared" si="108"/>
        <v>0</v>
      </c>
      <c r="V3467">
        <f t="shared" si="109"/>
        <v>0</v>
      </c>
    </row>
    <row r="3468" spans="1:22" x14ac:dyDescent="0.2">
      <c r="A3468" t="s">
        <v>1849</v>
      </c>
      <c r="B3468" t="s">
        <v>26</v>
      </c>
      <c r="C3468" t="s">
        <v>76</v>
      </c>
      <c r="D3468" t="s">
        <v>77</v>
      </c>
      <c r="E3468" s="1" t="s">
        <v>155</v>
      </c>
      <c r="F3468" t="s">
        <v>156</v>
      </c>
      <c r="G3468" s="1" t="s">
        <v>138</v>
      </c>
      <c r="H3468">
        <v>69</v>
      </c>
      <c r="I3468">
        <v>0</v>
      </c>
      <c r="J3468">
        <v>67</v>
      </c>
      <c r="K3468">
        <v>75</v>
      </c>
      <c r="L3468">
        <v>-69</v>
      </c>
      <c r="M3468">
        <v>1</v>
      </c>
      <c r="N3468">
        <v>0</v>
      </c>
      <c r="O3468" s="1" t="s">
        <v>5597</v>
      </c>
      <c r="P3468">
        <v>0</v>
      </c>
      <c r="Q3468">
        <v>0</v>
      </c>
      <c r="R3468">
        <v>0</v>
      </c>
      <c r="S3468">
        <v>0</v>
      </c>
      <c r="T3468">
        <v>12.98266392</v>
      </c>
      <c r="U3468">
        <f t="shared" si="108"/>
        <v>0</v>
      </c>
      <c r="V3468">
        <f t="shared" si="109"/>
        <v>0</v>
      </c>
    </row>
    <row r="3469" spans="1:22" x14ac:dyDescent="0.2">
      <c r="A3469" t="s">
        <v>1849</v>
      </c>
      <c r="B3469" t="s">
        <v>26</v>
      </c>
      <c r="C3469" t="s">
        <v>76</v>
      </c>
      <c r="D3469" t="s">
        <v>77</v>
      </c>
      <c r="E3469">
        <v>11</v>
      </c>
      <c r="F3469" t="s">
        <v>127</v>
      </c>
      <c r="G3469">
        <v>51</v>
      </c>
      <c r="H3469">
        <v>35</v>
      </c>
      <c r="I3469">
        <v>0</v>
      </c>
      <c r="J3469">
        <v>57</v>
      </c>
      <c r="K3469">
        <v>56</v>
      </c>
      <c r="L3469">
        <v>-35</v>
      </c>
      <c r="M3469">
        <v>1</v>
      </c>
      <c r="N3469">
        <v>0</v>
      </c>
      <c r="O3469" s="1" t="s">
        <v>5598</v>
      </c>
      <c r="P3469">
        <v>0</v>
      </c>
      <c r="Q3469">
        <v>0</v>
      </c>
      <c r="R3469">
        <v>0</v>
      </c>
      <c r="S3469">
        <v>0</v>
      </c>
      <c r="T3469">
        <v>12.98266392</v>
      </c>
      <c r="U3469">
        <f t="shared" si="108"/>
        <v>0</v>
      </c>
      <c r="V3469">
        <f t="shared" si="109"/>
        <v>0</v>
      </c>
    </row>
    <row r="3470" spans="1:22" x14ac:dyDescent="0.2">
      <c r="A3470" t="s">
        <v>2010</v>
      </c>
      <c r="B3470" t="s">
        <v>27</v>
      </c>
      <c r="C3470" t="s">
        <v>76</v>
      </c>
      <c r="D3470" t="s">
        <v>77</v>
      </c>
      <c r="E3470" s="1" t="s">
        <v>89</v>
      </c>
      <c r="F3470" t="s">
        <v>90</v>
      </c>
      <c r="G3470">
        <v>38</v>
      </c>
      <c r="H3470">
        <v>69733</v>
      </c>
      <c r="I3470">
        <v>0</v>
      </c>
      <c r="J3470">
        <v>105</v>
      </c>
      <c r="K3470">
        <v>87</v>
      </c>
      <c r="L3470">
        <v>-69733</v>
      </c>
      <c r="M3470">
        <v>1</v>
      </c>
      <c r="N3470">
        <v>0</v>
      </c>
      <c r="O3470" s="1" t="s">
        <v>5599</v>
      </c>
      <c r="P3470">
        <v>0</v>
      </c>
      <c r="Q3470">
        <v>0</v>
      </c>
      <c r="R3470">
        <v>0</v>
      </c>
      <c r="S3470">
        <v>0</v>
      </c>
      <c r="T3470">
        <v>13.62458097</v>
      </c>
      <c r="U3470">
        <f t="shared" si="108"/>
        <v>0</v>
      </c>
      <c r="V3470">
        <f t="shared" si="109"/>
        <v>0</v>
      </c>
    </row>
    <row r="3471" spans="1:22" x14ac:dyDescent="0.2">
      <c r="A3471" t="s">
        <v>2010</v>
      </c>
      <c r="B3471" t="s">
        <v>27</v>
      </c>
      <c r="C3471" t="s">
        <v>76</v>
      </c>
      <c r="D3471" t="s">
        <v>77</v>
      </c>
      <c r="E3471" s="1" t="s">
        <v>89</v>
      </c>
      <c r="F3471" t="s">
        <v>90</v>
      </c>
      <c r="G3471">
        <v>34</v>
      </c>
      <c r="H3471">
        <v>40077</v>
      </c>
      <c r="I3471">
        <v>0</v>
      </c>
      <c r="J3471">
        <v>95</v>
      </c>
      <c r="K3471">
        <v>87</v>
      </c>
      <c r="L3471">
        <v>-40077</v>
      </c>
      <c r="M3471">
        <v>1</v>
      </c>
      <c r="N3471">
        <v>0</v>
      </c>
      <c r="O3471" s="1" t="s">
        <v>5600</v>
      </c>
      <c r="P3471">
        <v>0</v>
      </c>
      <c r="Q3471">
        <v>0</v>
      </c>
      <c r="R3471">
        <v>0</v>
      </c>
      <c r="S3471">
        <v>0</v>
      </c>
      <c r="T3471">
        <v>13.62458097</v>
      </c>
      <c r="U3471">
        <f t="shared" si="108"/>
        <v>0</v>
      </c>
      <c r="V3471">
        <f t="shared" si="109"/>
        <v>0</v>
      </c>
    </row>
    <row r="3472" spans="1:22" x14ac:dyDescent="0.2">
      <c r="A3472" t="s">
        <v>2010</v>
      </c>
      <c r="B3472" t="s">
        <v>27</v>
      </c>
      <c r="C3472" t="s">
        <v>76</v>
      </c>
      <c r="D3472" t="s">
        <v>77</v>
      </c>
      <c r="E3472" s="1" t="s">
        <v>85</v>
      </c>
      <c r="F3472" t="s">
        <v>86</v>
      </c>
      <c r="G3472">
        <v>27</v>
      </c>
      <c r="H3472">
        <v>38401</v>
      </c>
      <c r="I3472">
        <v>0</v>
      </c>
      <c r="J3472">
        <v>131</v>
      </c>
      <c r="K3472">
        <v>91</v>
      </c>
      <c r="L3472">
        <v>-38401</v>
      </c>
      <c r="M3472">
        <v>1</v>
      </c>
      <c r="N3472">
        <v>0</v>
      </c>
      <c r="O3472" s="1" t="s">
        <v>5601</v>
      </c>
      <c r="P3472">
        <v>0</v>
      </c>
      <c r="Q3472">
        <v>0</v>
      </c>
      <c r="R3472">
        <v>0</v>
      </c>
      <c r="S3472">
        <v>0</v>
      </c>
      <c r="T3472">
        <v>13.62458097</v>
      </c>
      <c r="U3472">
        <f t="shared" si="108"/>
        <v>0</v>
      </c>
      <c r="V3472">
        <f t="shared" si="109"/>
        <v>0</v>
      </c>
    </row>
    <row r="3473" spans="1:22" x14ac:dyDescent="0.2">
      <c r="A3473" t="s">
        <v>2010</v>
      </c>
      <c r="B3473" t="s">
        <v>27</v>
      </c>
      <c r="C3473" t="s">
        <v>76</v>
      </c>
      <c r="D3473" t="s">
        <v>77</v>
      </c>
      <c r="E3473" s="1" t="s">
        <v>138</v>
      </c>
      <c r="F3473" t="s">
        <v>139</v>
      </c>
      <c r="G3473">
        <v>24</v>
      </c>
      <c r="H3473">
        <v>1414</v>
      </c>
      <c r="I3473">
        <v>0</v>
      </c>
      <c r="J3473">
        <v>85</v>
      </c>
      <c r="K3473">
        <v>80</v>
      </c>
      <c r="L3473">
        <v>-1414</v>
      </c>
      <c r="M3473">
        <v>1</v>
      </c>
      <c r="N3473">
        <v>0</v>
      </c>
      <c r="O3473" s="1" t="s">
        <v>5602</v>
      </c>
      <c r="P3473">
        <v>0</v>
      </c>
      <c r="Q3473">
        <v>0</v>
      </c>
      <c r="R3473">
        <v>0</v>
      </c>
      <c r="S3473">
        <v>0</v>
      </c>
      <c r="T3473">
        <v>13.62458097</v>
      </c>
      <c r="U3473">
        <f t="shared" si="108"/>
        <v>0</v>
      </c>
      <c r="V3473">
        <f t="shared" si="109"/>
        <v>0</v>
      </c>
    </row>
    <row r="3474" spans="1:22" x14ac:dyDescent="0.2">
      <c r="A3474" t="s">
        <v>2010</v>
      </c>
      <c r="B3474" t="s">
        <v>27</v>
      </c>
      <c r="C3474" t="s">
        <v>76</v>
      </c>
      <c r="D3474" t="s">
        <v>77</v>
      </c>
      <c r="E3474">
        <v>11</v>
      </c>
      <c r="F3474" t="s">
        <v>127</v>
      </c>
      <c r="G3474">
        <v>63</v>
      </c>
      <c r="H3474">
        <v>144</v>
      </c>
      <c r="I3474">
        <v>0</v>
      </c>
      <c r="J3474">
        <v>123</v>
      </c>
      <c r="K3474">
        <v>108</v>
      </c>
      <c r="L3474">
        <v>-144</v>
      </c>
      <c r="M3474">
        <v>1</v>
      </c>
      <c r="N3474">
        <v>0</v>
      </c>
      <c r="O3474" s="1" t="s">
        <v>5603</v>
      </c>
      <c r="P3474">
        <v>0</v>
      </c>
      <c r="Q3474">
        <v>0</v>
      </c>
      <c r="R3474">
        <v>0</v>
      </c>
      <c r="S3474">
        <v>0</v>
      </c>
      <c r="T3474">
        <v>13.62458097</v>
      </c>
      <c r="U3474">
        <f t="shared" si="108"/>
        <v>0</v>
      </c>
      <c r="V3474">
        <f t="shared" si="109"/>
        <v>0</v>
      </c>
    </row>
    <row r="3475" spans="1:22" x14ac:dyDescent="0.2">
      <c r="A3475" t="s">
        <v>2010</v>
      </c>
      <c r="B3475" t="s">
        <v>27</v>
      </c>
      <c r="C3475" t="s">
        <v>76</v>
      </c>
      <c r="D3475" t="s">
        <v>77</v>
      </c>
      <c r="E3475">
        <v>13</v>
      </c>
      <c r="F3475" t="s">
        <v>91</v>
      </c>
      <c r="G3475">
        <v>70</v>
      </c>
      <c r="H3475">
        <v>102</v>
      </c>
      <c r="I3475">
        <v>0</v>
      </c>
      <c r="J3475">
        <v>133</v>
      </c>
      <c r="K3475">
        <v>88</v>
      </c>
      <c r="L3475">
        <v>-102</v>
      </c>
      <c r="M3475">
        <v>1</v>
      </c>
      <c r="N3475">
        <v>0</v>
      </c>
      <c r="O3475" s="1" t="s">
        <v>5604</v>
      </c>
      <c r="P3475">
        <v>0</v>
      </c>
      <c r="Q3475">
        <v>0</v>
      </c>
      <c r="R3475">
        <v>0</v>
      </c>
      <c r="S3475">
        <v>0</v>
      </c>
      <c r="T3475">
        <v>13.62458097</v>
      </c>
      <c r="U3475">
        <f t="shared" si="108"/>
        <v>0</v>
      </c>
      <c r="V3475">
        <f t="shared" si="109"/>
        <v>0</v>
      </c>
    </row>
    <row r="3476" spans="1:22" x14ac:dyDescent="0.2">
      <c r="A3476" t="s">
        <v>2212</v>
      </c>
      <c r="B3476" t="s">
        <v>29</v>
      </c>
      <c r="C3476" t="s">
        <v>76</v>
      </c>
      <c r="D3476" t="s">
        <v>77</v>
      </c>
      <c r="E3476">
        <v>11</v>
      </c>
      <c r="F3476" t="s">
        <v>127</v>
      </c>
      <c r="G3476">
        <v>56</v>
      </c>
      <c r="H3476">
        <v>6534</v>
      </c>
      <c r="I3476">
        <v>0</v>
      </c>
      <c r="J3476">
        <v>81</v>
      </c>
      <c r="K3476">
        <v>77</v>
      </c>
      <c r="L3476">
        <v>-6534</v>
      </c>
      <c r="M3476">
        <v>1</v>
      </c>
      <c r="N3476">
        <v>0</v>
      </c>
      <c r="O3476" s="1" t="s">
        <v>5605</v>
      </c>
      <c r="P3476">
        <v>0</v>
      </c>
      <c r="Q3476">
        <v>0</v>
      </c>
      <c r="R3476">
        <v>0</v>
      </c>
      <c r="S3476">
        <v>0</v>
      </c>
      <c r="T3476">
        <v>25.232029140000002</v>
      </c>
      <c r="U3476">
        <f t="shared" si="108"/>
        <v>0</v>
      </c>
      <c r="V3476">
        <f t="shared" si="109"/>
        <v>0</v>
      </c>
    </row>
    <row r="3477" spans="1:22" x14ac:dyDescent="0.2">
      <c r="A3477" t="s">
        <v>2212</v>
      </c>
      <c r="B3477" t="s">
        <v>29</v>
      </c>
      <c r="C3477" t="s">
        <v>76</v>
      </c>
      <c r="D3477" t="s">
        <v>77</v>
      </c>
      <c r="E3477">
        <v>12</v>
      </c>
      <c r="F3477" t="s">
        <v>194</v>
      </c>
      <c r="G3477">
        <v>65</v>
      </c>
      <c r="H3477">
        <v>102</v>
      </c>
      <c r="I3477">
        <v>0</v>
      </c>
      <c r="J3477">
        <v>96</v>
      </c>
      <c r="K3477">
        <v>84</v>
      </c>
      <c r="L3477">
        <v>-102</v>
      </c>
      <c r="M3477">
        <v>1</v>
      </c>
      <c r="N3477">
        <v>0</v>
      </c>
      <c r="O3477" s="1" t="s">
        <v>5606</v>
      </c>
      <c r="P3477">
        <v>0</v>
      </c>
      <c r="Q3477">
        <v>0</v>
      </c>
      <c r="R3477">
        <v>0</v>
      </c>
      <c r="S3477">
        <v>0</v>
      </c>
      <c r="T3477">
        <v>25.232029140000002</v>
      </c>
      <c r="U3477">
        <f t="shared" si="108"/>
        <v>0</v>
      </c>
      <c r="V3477">
        <f t="shared" si="109"/>
        <v>0</v>
      </c>
    </row>
    <row r="3478" spans="1:22" x14ac:dyDescent="0.2">
      <c r="A3478" t="s">
        <v>2212</v>
      </c>
      <c r="B3478" t="s">
        <v>29</v>
      </c>
      <c r="C3478" t="s">
        <v>76</v>
      </c>
      <c r="D3478" t="s">
        <v>77</v>
      </c>
      <c r="E3478">
        <v>18</v>
      </c>
      <c r="F3478" t="s">
        <v>147</v>
      </c>
      <c r="G3478">
        <v>91</v>
      </c>
      <c r="H3478">
        <v>41</v>
      </c>
      <c r="I3478">
        <v>0</v>
      </c>
      <c r="J3478">
        <v>99</v>
      </c>
      <c r="K3478">
        <v>69</v>
      </c>
      <c r="L3478">
        <v>-41</v>
      </c>
      <c r="M3478">
        <v>1</v>
      </c>
      <c r="N3478">
        <v>0</v>
      </c>
      <c r="O3478" s="1" t="s">
        <v>5607</v>
      </c>
      <c r="P3478">
        <v>0</v>
      </c>
      <c r="Q3478">
        <v>0</v>
      </c>
      <c r="R3478">
        <v>0</v>
      </c>
      <c r="S3478">
        <v>0</v>
      </c>
      <c r="T3478">
        <v>25.232029140000002</v>
      </c>
      <c r="U3478">
        <f t="shared" si="108"/>
        <v>0</v>
      </c>
      <c r="V3478">
        <f t="shared" si="109"/>
        <v>0</v>
      </c>
    </row>
    <row r="3479" spans="1:22" x14ac:dyDescent="0.2">
      <c r="A3479" t="s">
        <v>2471</v>
      </c>
      <c r="B3479" t="s">
        <v>31</v>
      </c>
      <c r="C3479" t="s">
        <v>76</v>
      </c>
      <c r="D3479" t="s">
        <v>77</v>
      </c>
      <c r="E3479">
        <v>20</v>
      </c>
      <c r="F3479" t="s">
        <v>104</v>
      </c>
      <c r="G3479">
        <v>96</v>
      </c>
      <c r="H3479">
        <v>103</v>
      </c>
      <c r="I3479">
        <v>0</v>
      </c>
      <c r="J3479">
        <v>121</v>
      </c>
      <c r="K3479">
        <v>90</v>
      </c>
      <c r="L3479">
        <v>-103</v>
      </c>
      <c r="M3479">
        <v>1</v>
      </c>
      <c r="N3479">
        <v>0</v>
      </c>
      <c r="O3479" s="1" t="s">
        <v>5608</v>
      </c>
      <c r="P3479">
        <v>0</v>
      </c>
      <c r="Q3479">
        <v>0</v>
      </c>
      <c r="R3479">
        <v>0</v>
      </c>
      <c r="S3479">
        <v>0</v>
      </c>
      <c r="T3479">
        <v>11.22870996</v>
      </c>
      <c r="U3479">
        <f t="shared" si="108"/>
        <v>0</v>
      </c>
      <c r="V3479">
        <f t="shared" si="109"/>
        <v>0</v>
      </c>
    </row>
    <row r="3480" spans="1:22" x14ac:dyDescent="0.2">
      <c r="A3480" t="s">
        <v>2495</v>
      </c>
      <c r="B3480" t="s">
        <v>32</v>
      </c>
      <c r="C3480" t="s">
        <v>76</v>
      </c>
      <c r="D3480" t="s">
        <v>77</v>
      </c>
      <c r="E3480">
        <v>21</v>
      </c>
      <c r="F3480" t="s">
        <v>212</v>
      </c>
      <c r="G3480">
        <v>97</v>
      </c>
      <c r="H3480">
        <v>7851</v>
      </c>
      <c r="I3480">
        <v>0</v>
      </c>
      <c r="J3480">
        <v>67</v>
      </c>
      <c r="K3480">
        <v>90</v>
      </c>
      <c r="L3480">
        <v>-7851</v>
      </c>
      <c r="M3480">
        <v>1</v>
      </c>
      <c r="N3480">
        <v>0</v>
      </c>
      <c r="O3480" s="1" t="s">
        <v>5609</v>
      </c>
      <c r="P3480">
        <v>0</v>
      </c>
      <c r="Q3480">
        <v>0</v>
      </c>
      <c r="R3480">
        <v>0</v>
      </c>
      <c r="S3480">
        <v>0</v>
      </c>
      <c r="T3480">
        <v>12.2149565</v>
      </c>
      <c r="U3480">
        <f t="shared" si="108"/>
        <v>0</v>
      </c>
      <c r="V3480">
        <f t="shared" si="109"/>
        <v>0</v>
      </c>
    </row>
    <row r="3481" spans="1:22" x14ac:dyDescent="0.2">
      <c r="A3481" t="s">
        <v>2495</v>
      </c>
      <c r="B3481" t="s">
        <v>32</v>
      </c>
      <c r="C3481" t="s">
        <v>76</v>
      </c>
      <c r="D3481" t="s">
        <v>77</v>
      </c>
      <c r="E3481">
        <v>17</v>
      </c>
      <c r="F3481" t="s">
        <v>97</v>
      </c>
      <c r="G3481">
        <v>86</v>
      </c>
      <c r="H3481">
        <v>0</v>
      </c>
      <c r="I3481">
        <v>318795</v>
      </c>
      <c r="J3481">
        <v>87</v>
      </c>
      <c r="K3481">
        <v>44</v>
      </c>
      <c r="L3481">
        <v>318795</v>
      </c>
      <c r="M3481">
        <v>0</v>
      </c>
      <c r="N3481">
        <v>1</v>
      </c>
      <c r="O3481" s="1" t="s">
        <v>5610</v>
      </c>
      <c r="P3481">
        <v>0</v>
      </c>
      <c r="Q3481">
        <v>0</v>
      </c>
      <c r="R3481">
        <v>0</v>
      </c>
      <c r="S3481">
        <v>0</v>
      </c>
      <c r="T3481">
        <v>12.2149565</v>
      </c>
      <c r="U3481">
        <f t="shared" si="108"/>
        <v>0</v>
      </c>
      <c r="V3481">
        <f t="shared" si="109"/>
        <v>0</v>
      </c>
    </row>
    <row r="3482" spans="1:22" x14ac:dyDescent="0.2">
      <c r="A3482" t="s">
        <v>2666</v>
      </c>
      <c r="B3482" t="s">
        <v>34</v>
      </c>
      <c r="C3482" t="s">
        <v>76</v>
      </c>
      <c r="D3482" t="s">
        <v>77</v>
      </c>
      <c r="E3482" s="1" t="s">
        <v>138</v>
      </c>
      <c r="F3482" t="s">
        <v>139</v>
      </c>
      <c r="G3482">
        <v>21</v>
      </c>
      <c r="H3482">
        <v>32361</v>
      </c>
      <c r="I3482">
        <v>0</v>
      </c>
      <c r="J3482">
        <v>100</v>
      </c>
      <c r="K3482">
        <v>99</v>
      </c>
      <c r="L3482">
        <v>-32361</v>
      </c>
      <c r="M3482">
        <v>1</v>
      </c>
      <c r="N3482">
        <v>0</v>
      </c>
      <c r="O3482" s="1" t="s">
        <v>5611</v>
      </c>
      <c r="P3482">
        <v>0</v>
      </c>
      <c r="Q3482">
        <v>0</v>
      </c>
      <c r="R3482">
        <v>0</v>
      </c>
      <c r="S3482">
        <v>0</v>
      </c>
      <c r="T3482">
        <v>25.946113820000001</v>
      </c>
      <c r="U3482">
        <f t="shared" si="108"/>
        <v>0</v>
      </c>
      <c r="V3482">
        <f t="shared" si="109"/>
        <v>0</v>
      </c>
    </row>
    <row r="3483" spans="1:22" x14ac:dyDescent="0.2">
      <c r="A3483" t="s">
        <v>2666</v>
      </c>
      <c r="B3483" t="s">
        <v>34</v>
      </c>
      <c r="C3483" t="s">
        <v>76</v>
      </c>
      <c r="D3483" t="s">
        <v>77</v>
      </c>
      <c r="E3483">
        <v>15</v>
      </c>
      <c r="F3483" t="s">
        <v>88</v>
      </c>
      <c r="G3483">
        <v>73</v>
      </c>
      <c r="H3483">
        <v>0</v>
      </c>
      <c r="I3483">
        <v>744</v>
      </c>
      <c r="J3483">
        <v>146</v>
      </c>
      <c r="K3483">
        <v>94</v>
      </c>
      <c r="L3483">
        <v>744</v>
      </c>
      <c r="M3483">
        <v>0</v>
      </c>
      <c r="N3483">
        <v>1</v>
      </c>
      <c r="O3483" s="1" t="s">
        <v>5612</v>
      </c>
      <c r="P3483">
        <v>0</v>
      </c>
      <c r="Q3483">
        <v>0</v>
      </c>
      <c r="R3483">
        <v>0</v>
      </c>
      <c r="S3483">
        <v>0</v>
      </c>
      <c r="T3483">
        <v>25.946113820000001</v>
      </c>
      <c r="U3483">
        <f t="shared" si="108"/>
        <v>0</v>
      </c>
      <c r="V3483">
        <f t="shared" si="109"/>
        <v>0</v>
      </c>
    </row>
    <row r="3484" spans="1:22" x14ac:dyDescent="0.2">
      <c r="A3484" t="s">
        <v>4657</v>
      </c>
      <c r="B3484" t="s">
        <v>55</v>
      </c>
      <c r="C3484" t="s">
        <v>76</v>
      </c>
      <c r="D3484" t="s">
        <v>77</v>
      </c>
      <c r="E3484" s="1" t="s">
        <v>89</v>
      </c>
      <c r="F3484" t="s">
        <v>90</v>
      </c>
      <c r="G3484">
        <v>28</v>
      </c>
      <c r="H3484">
        <v>12268</v>
      </c>
      <c r="I3484">
        <v>0</v>
      </c>
      <c r="J3484">
        <v>130</v>
      </c>
      <c r="K3484">
        <v>85</v>
      </c>
      <c r="L3484">
        <v>-12268</v>
      </c>
      <c r="M3484">
        <v>1</v>
      </c>
      <c r="N3484">
        <v>0</v>
      </c>
      <c r="O3484" s="1" t="s">
        <v>5613</v>
      </c>
      <c r="P3484">
        <v>0</v>
      </c>
      <c r="Q3484">
        <v>0</v>
      </c>
      <c r="R3484">
        <v>0</v>
      </c>
      <c r="S3484">
        <v>0</v>
      </c>
      <c r="T3484">
        <v>64.132670540000007</v>
      </c>
      <c r="U3484">
        <f t="shared" si="108"/>
        <v>0</v>
      </c>
      <c r="V3484">
        <f t="shared" si="109"/>
        <v>0</v>
      </c>
    </row>
    <row r="3485" spans="1:22" x14ac:dyDescent="0.2">
      <c r="A3485" t="s">
        <v>4657</v>
      </c>
      <c r="B3485" t="s">
        <v>55</v>
      </c>
      <c r="C3485" t="s">
        <v>76</v>
      </c>
      <c r="D3485" t="s">
        <v>77</v>
      </c>
      <c r="E3485" s="1" t="s">
        <v>138</v>
      </c>
      <c r="F3485" t="s">
        <v>139</v>
      </c>
      <c r="G3485">
        <v>22</v>
      </c>
      <c r="H3485">
        <v>145</v>
      </c>
      <c r="I3485">
        <v>0</v>
      </c>
      <c r="J3485">
        <v>138</v>
      </c>
      <c r="K3485">
        <v>98</v>
      </c>
      <c r="L3485">
        <v>-145</v>
      </c>
      <c r="M3485">
        <v>1</v>
      </c>
      <c r="N3485">
        <v>0</v>
      </c>
      <c r="O3485" s="1" t="s">
        <v>5614</v>
      </c>
      <c r="P3485">
        <v>0</v>
      </c>
      <c r="Q3485">
        <v>0</v>
      </c>
      <c r="R3485">
        <v>0</v>
      </c>
      <c r="S3485">
        <v>0</v>
      </c>
      <c r="T3485">
        <v>64.132670540000007</v>
      </c>
      <c r="U3485">
        <f t="shared" si="108"/>
        <v>0</v>
      </c>
      <c r="V3485">
        <f t="shared" si="109"/>
        <v>0</v>
      </c>
    </row>
    <row r="3486" spans="1:22" x14ac:dyDescent="0.2">
      <c r="A3486" t="s">
        <v>2813</v>
      </c>
      <c r="B3486" t="s">
        <v>36</v>
      </c>
      <c r="C3486" t="s">
        <v>76</v>
      </c>
      <c r="D3486" t="s">
        <v>77</v>
      </c>
      <c r="E3486" s="1" t="s">
        <v>82</v>
      </c>
      <c r="F3486" t="s">
        <v>83</v>
      </c>
      <c r="G3486">
        <v>12</v>
      </c>
      <c r="H3486">
        <v>0</v>
      </c>
      <c r="I3486">
        <v>2248</v>
      </c>
      <c r="J3486">
        <v>103</v>
      </c>
      <c r="K3486">
        <v>89</v>
      </c>
      <c r="L3486">
        <v>2248</v>
      </c>
      <c r="M3486">
        <v>0</v>
      </c>
      <c r="N3486">
        <v>1</v>
      </c>
      <c r="O3486" s="1" t="s">
        <v>5615</v>
      </c>
      <c r="P3486">
        <v>0</v>
      </c>
      <c r="Q3486">
        <v>0</v>
      </c>
      <c r="R3486">
        <v>0</v>
      </c>
      <c r="S3486">
        <v>0</v>
      </c>
      <c r="T3486">
        <v>25.83542374</v>
      </c>
      <c r="U3486">
        <f t="shared" si="108"/>
        <v>0</v>
      </c>
      <c r="V3486">
        <f t="shared" si="109"/>
        <v>0</v>
      </c>
    </row>
    <row r="3487" spans="1:22" x14ac:dyDescent="0.2">
      <c r="A3487" t="s">
        <v>2813</v>
      </c>
      <c r="B3487" t="s">
        <v>36</v>
      </c>
      <c r="C3487" t="s">
        <v>76</v>
      </c>
      <c r="D3487" t="s">
        <v>77</v>
      </c>
      <c r="E3487" s="1" t="s">
        <v>85</v>
      </c>
      <c r="F3487" t="s">
        <v>86</v>
      </c>
      <c r="G3487">
        <v>26</v>
      </c>
      <c r="H3487">
        <v>0</v>
      </c>
      <c r="I3487">
        <v>70</v>
      </c>
      <c r="J3487">
        <v>65</v>
      </c>
      <c r="K3487">
        <v>60</v>
      </c>
      <c r="L3487">
        <v>70</v>
      </c>
      <c r="M3487">
        <v>0</v>
      </c>
      <c r="N3487">
        <v>1</v>
      </c>
      <c r="O3487" s="1" t="s">
        <v>5616</v>
      </c>
      <c r="P3487">
        <v>0</v>
      </c>
      <c r="Q3487">
        <v>0</v>
      </c>
      <c r="R3487">
        <v>0</v>
      </c>
      <c r="S3487">
        <v>0</v>
      </c>
      <c r="T3487">
        <v>25.83542374</v>
      </c>
      <c r="U3487">
        <f t="shared" si="108"/>
        <v>0</v>
      </c>
      <c r="V3487">
        <f t="shared" si="109"/>
        <v>0</v>
      </c>
    </row>
    <row r="3488" spans="1:22" x14ac:dyDescent="0.2">
      <c r="A3488" t="s">
        <v>2813</v>
      </c>
      <c r="B3488" t="s">
        <v>36</v>
      </c>
      <c r="C3488" t="s">
        <v>76</v>
      </c>
      <c r="D3488" t="s">
        <v>77</v>
      </c>
      <c r="E3488">
        <v>11</v>
      </c>
      <c r="F3488" t="s">
        <v>127</v>
      </c>
      <c r="G3488">
        <v>54</v>
      </c>
      <c r="H3488">
        <v>0</v>
      </c>
      <c r="I3488">
        <v>109</v>
      </c>
      <c r="J3488">
        <v>84</v>
      </c>
      <c r="K3488">
        <v>67</v>
      </c>
      <c r="L3488">
        <v>109</v>
      </c>
      <c r="M3488">
        <v>0</v>
      </c>
      <c r="N3488">
        <v>1</v>
      </c>
      <c r="O3488" s="1" t="s">
        <v>5617</v>
      </c>
      <c r="P3488">
        <v>0</v>
      </c>
      <c r="Q3488">
        <v>0</v>
      </c>
      <c r="R3488">
        <v>0</v>
      </c>
      <c r="S3488">
        <v>0</v>
      </c>
      <c r="T3488">
        <v>25.83542374</v>
      </c>
      <c r="U3488">
        <f t="shared" si="108"/>
        <v>0</v>
      </c>
      <c r="V3488">
        <f t="shared" si="109"/>
        <v>0</v>
      </c>
    </row>
    <row r="3489" spans="1:22" x14ac:dyDescent="0.2">
      <c r="A3489" t="s">
        <v>2948</v>
      </c>
      <c r="B3489" t="s">
        <v>38</v>
      </c>
      <c r="C3489" t="s">
        <v>76</v>
      </c>
      <c r="D3489" t="s">
        <v>77</v>
      </c>
      <c r="E3489" s="1" t="s">
        <v>138</v>
      </c>
      <c r="F3489" t="s">
        <v>139</v>
      </c>
      <c r="G3489">
        <v>18</v>
      </c>
      <c r="H3489">
        <v>0</v>
      </c>
      <c r="I3489">
        <v>29980</v>
      </c>
      <c r="J3489">
        <v>110</v>
      </c>
      <c r="K3489">
        <v>64</v>
      </c>
      <c r="L3489">
        <v>29980</v>
      </c>
      <c r="M3489">
        <v>0</v>
      </c>
      <c r="N3489">
        <v>1</v>
      </c>
      <c r="O3489" s="1" t="s">
        <v>5618</v>
      </c>
      <c r="P3489">
        <v>0</v>
      </c>
      <c r="Q3489">
        <v>0</v>
      </c>
      <c r="R3489">
        <v>0</v>
      </c>
      <c r="S3489">
        <v>0</v>
      </c>
      <c r="T3489">
        <v>71.887944790000006</v>
      </c>
      <c r="U3489">
        <f t="shared" si="108"/>
        <v>0</v>
      </c>
      <c r="V3489">
        <f t="shared" si="109"/>
        <v>0</v>
      </c>
    </row>
    <row r="3490" spans="1:22" x14ac:dyDescent="0.2">
      <c r="A3490" t="s">
        <v>2999</v>
      </c>
      <c r="B3490" t="s">
        <v>39</v>
      </c>
      <c r="C3490" t="s">
        <v>76</v>
      </c>
      <c r="D3490" t="s">
        <v>77</v>
      </c>
      <c r="E3490" s="1" t="s">
        <v>89</v>
      </c>
      <c r="F3490" t="s">
        <v>90</v>
      </c>
      <c r="G3490">
        <v>31</v>
      </c>
      <c r="H3490">
        <v>6796524</v>
      </c>
      <c r="I3490">
        <v>0</v>
      </c>
      <c r="J3490">
        <v>105</v>
      </c>
      <c r="K3490">
        <v>51</v>
      </c>
      <c r="L3490">
        <v>-6796524</v>
      </c>
      <c r="M3490">
        <v>1</v>
      </c>
      <c r="N3490">
        <v>0</v>
      </c>
      <c r="O3490" s="1" t="s">
        <v>5619</v>
      </c>
      <c r="P3490">
        <v>0</v>
      </c>
      <c r="Q3490">
        <v>0</v>
      </c>
      <c r="R3490">
        <v>0</v>
      </c>
      <c r="S3490">
        <v>0</v>
      </c>
      <c r="T3490">
        <v>123.159243</v>
      </c>
      <c r="U3490">
        <f t="shared" si="108"/>
        <v>0</v>
      </c>
      <c r="V3490">
        <f t="shared" si="109"/>
        <v>0</v>
      </c>
    </row>
    <row r="3491" spans="1:22" x14ac:dyDescent="0.2">
      <c r="A3491" t="s">
        <v>2999</v>
      </c>
      <c r="B3491" t="s">
        <v>39</v>
      </c>
      <c r="C3491" t="s">
        <v>76</v>
      </c>
      <c r="D3491" t="s">
        <v>77</v>
      </c>
      <c r="E3491" s="1" t="s">
        <v>138</v>
      </c>
      <c r="F3491" t="s">
        <v>139</v>
      </c>
      <c r="G3491">
        <v>17</v>
      </c>
      <c r="H3491">
        <v>142149</v>
      </c>
      <c r="I3491">
        <v>0</v>
      </c>
      <c r="J3491">
        <v>74</v>
      </c>
      <c r="K3491">
        <v>88</v>
      </c>
      <c r="L3491">
        <v>-142149</v>
      </c>
      <c r="M3491">
        <v>1</v>
      </c>
      <c r="N3491">
        <v>0</v>
      </c>
      <c r="O3491">
        <v>6.96448616208352E-3</v>
      </c>
      <c r="P3491">
        <v>0</v>
      </c>
      <c r="Q3491">
        <v>0</v>
      </c>
      <c r="R3491">
        <v>0</v>
      </c>
      <c r="S3491">
        <v>0</v>
      </c>
      <c r="T3491">
        <v>123.159243</v>
      </c>
      <c r="U3491">
        <f t="shared" si="108"/>
        <v>0</v>
      </c>
      <c r="V3491">
        <f t="shared" si="109"/>
        <v>0</v>
      </c>
    </row>
    <row r="3492" spans="1:22" x14ac:dyDescent="0.2">
      <c r="A3492" t="s">
        <v>2999</v>
      </c>
      <c r="B3492" t="s">
        <v>39</v>
      </c>
      <c r="C3492" t="s">
        <v>76</v>
      </c>
      <c r="D3492" t="s">
        <v>77</v>
      </c>
      <c r="E3492">
        <v>15</v>
      </c>
      <c r="F3492" t="s">
        <v>88</v>
      </c>
      <c r="G3492">
        <v>82</v>
      </c>
      <c r="H3492">
        <v>79</v>
      </c>
      <c r="I3492">
        <v>0</v>
      </c>
      <c r="J3492">
        <v>135</v>
      </c>
      <c r="K3492">
        <v>96</v>
      </c>
      <c r="L3492">
        <v>-79</v>
      </c>
      <c r="M3492">
        <v>1</v>
      </c>
      <c r="N3492">
        <v>0</v>
      </c>
      <c r="O3492" s="1" t="s">
        <v>5620</v>
      </c>
      <c r="P3492">
        <v>0</v>
      </c>
      <c r="Q3492">
        <v>0</v>
      </c>
      <c r="R3492">
        <v>0</v>
      </c>
      <c r="S3492">
        <v>0</v>
      </c>
      <c r="T3492">
        <v>123.159243</v>
      </c>
      <c r="U3492">
        <f t="shared" si="108"/>
        <v>0</v>
      </c>
      <c r="V3492">
        <f t="shared" si="109"/>
        <v>0</v>
      </c>
    </row>
    <row r="3493" spans="1:22" x14ac:dyDescent="0.2">
      <c r="A3493" t="s">
        <v>2999</v>
      </c>
      <c r="B3493" t="s">
        <v>39</v>
      </c>
      <c r="C3493" t="s">
        <v>76</v>
      </c>
      <c r="D3493" t="s">
        <v>77</v>
      </c>
      <c r="E3493">
        <v>11</v>
      </c>
      <c r="F3493" t="s">
        <v>127</v>
      </c>
      <c r="G3493">
        <v>52</v>
      </c>
      <c r="H3493">
        <v>19</v>
      </c>
      <c r="I3493">
        <v>0</v>
      </c>
      <c r="J3493">
        <v>77</v>
      </c>
      <c r="K3493">
        <v>67</v>
      </c>
      <c r="L3493">
        <v>-19</v>
      </c>
      <c r="M3493">
        <v>1</v>
      </c>
      <c r="N3493">
        <v>0</v>
      </c>
      <c r="O3493" s="1" t="s">
        <v>5621</v>
      </c>
      <c r="P3493">
        <v>0</v>
      </c>
      <c r="Q3493">
        <v>0</v>
      </c>
      <c r="R3493">
        <v>0</v>
      </c>
      <c r="S3493">
        <v>0</v>
      </c>
      <c r="T3493">
        <v>123.159243</v>
      </c>
      <c r="U3493">
        <f t="shared" si="108"/>
        <v>0</v>
      </c>
      <c r="V3493">
        <f t="shared" si="109"/>
        <v>0</v>
      </c>
    </row>
    <row r="3494" spans="1:22" x14ac:dyDescent="0.2">
      <c r="A3494" t="s">
        <v>3011</v>
      </c>
      <c r="B3494" t="s">
        <v>40</v>
      </c>
      <c r="C3494" t="s">
        <v>76</v>
      </c>
      <c r="D3494" t="s">
        <v>77</v>
      </c>
      <c r="E3494" s="1" t="s">
        <v>93</v>
      </c>
      <c r="F3494" t="s">
        <v>94</v>
      </c>
      <c r="G3494">
        <v>45</v>
      </c>
      <c r="H3494">
        <v>23345</v>
      </c>
      <c r="I3494">
        <v>0</v>
      </c>
      <c r="J3494">
        <v>13</v>
      </c>
      <c r="K3494">
        <v>45</v>
      </c>
      <c r="L3494">
        <v>-23345</v>
      </c>
      <c r="M3494">
        <v>1</v>
      </c>
      <c r="N3494">
        <v>0</v>
      </c>
      <c r="O3494" s="1" t="s">
        <v>5622</v>
      </c>
      <c r="P3494">
        <v>0</v>
      </c>
      <c r="Q3494">
        <v>0</v>
      </c>
      <c r="R3494">
        <v>0</v>
      </c>
      <c r="S3494">
        <v>0</v>
      </c>
      <c r="T3494">
        <v>12.30838397</v>
      </c>
      <c r="U3494">
        <f t="shared" si="108"/>
        <v>0</v>
      </c>
      <c r="V3494">
        <f t="shared" si="109"/>
        <v>0</v>
      </c>
    </row>
    <row r="3495" spans="1:22" x14ac:dyDescent="0.2">
      <c r="A3495" t="s">
        <v>3011</v>
      </c>
      <c r="B3495" t="s">
        <v>40</v>
      </c>
      <c r="C3495" t="s">
        <v>76</v>
      </c>
      <c r="D3495" t="s">
        <v>77</v>
      </c>
      <c r="E3495">
        <v>13</v>
      </c>
      <c r="F3495" t="s">
        <v>91</v>
      </c>
      <c r="G3495">
        <v>70</v>
      </c>
      <c r="H3495">
        <v>8843</v>
      </c>
      <c r="I3495">
        <v>0</v>
      </c>
      <c r="J3495">
        <v>105</v>
      </c>
      <c r="K3495">
        <v>88</v>
      </c>
      <c r="L3495">
        <v>-8843</v>
      </c>
      <c r="M3495">
        <v>1</v>
      </c>
      <c r="N3495">
        <v>0</v>
      </c>
      <c r="O3495" s="1" t="s">
        <v>5623</v>
      </c>
      <c r="P3495">
        <v>0</v>
      </c>
      <c r="Q3495">
        <v>0</v>
      </c>
      <c r="R3495">
        <v>0</v>
      </c>
      <c r="S3495">
        <v>0</v>
      </c>
      <c r="T3495">
        <v>12.30838397</v>
      </c>
      <c r="U3495">
        <f t="shared" si="108"/>
        <v>0</v>
      </c>
      <c r="V3495">
        <f t="shared" si="109"/>
        <v>0</v>
      </c>
    </row>
    <row r="3496" spans="1:22" x14ac:dyDescent="0.2">
      <c r="A3496" t="s">
        <v>3011</v>
      </c>
      <c r="B3496" t="s">
        <v>40</v>
      </c>
      <c r="C3496" t="s">
        <v>76</v>
      </c>
      <c r="D3496" t="s">
        <v>77</v>
      </c>
      <c r="E3496">
        <v>18</v>
      </c>
      <c r="F3496" t="s">
        <v>147</v>
      </c>
      <c r="G3496">
        <v>92</v>
      </c>
      <c r="H3496">
        <v>1137</v>
      </c>
      <c r="I3496">
        <v>0</v>
      </c>
      <c r="J3496">
        <v>77</v>
      </c>
      <c r="K3496">
        <v>66</v>
      </c>
      <c r="L3496">
        <v>-1137</v>
      </c>
      <c r="M3496">
        <v>1</v>
      </c>
      <c r="N3496">
        <v>0</v>
      </c>
      <c r="O3496" s="1" t="s">
        <v>5624</v>
      </c>
      <c r="P3496">
        <v>0</v>
      </c>
      <c r="Q3496">
        <v>0</v>
      </c>
      <c r="R3496">
        <v>0</v>
      </c>
      <c r="S3496">
        <v>0</v>
      </c>
      <c r="T3496">
        <v>12.30838397</v>
      </c>
      <c r="U3496">
        <f t="shared" si="108"/>
        <v>0</v>
      </c>
      <c r="V3496">
        <f t="shared" si="109"/>
        <v>0</v>
      </c>
    </row>
    <row r="3497" spans="1:22" x14ac:dyDescent="0.2">
      <c r="A3497" t="s">
        <v>3011</v>
      </c>
      <c r="B3497" t="s">
        <v>40</v>
      </c>
      <c r="C3497" t="s">
        <v>76</v>
      </c>
      <c r="D3497" t="s">
        <v>77</v>
      </c>
      <c r="E3497">
        <v>11</v>
      </c>
      <c r="F3497" t="s">
        <v>127</v>
      </c>
      <c r="G3497">
        <v>50</v>
      </c>
      <c r="H3497">
        <v>340</v>
      </c>
      <c r="I3497">
        <v>0</v>
      </c>
      <c r="J3497">
        <v>23</v>
      </c>
      <c r="K3497">
        <v>43</v>
      </c>
      <c r="L3497">
        <v>-340</v>
      </c>
      <c r="M3497">
        <v>1</v>
      </c>
      <c r="N3497">
        <v>0</v>
      </c>
      <c r="O3497" s="1" t="s">
        <v>5625</v>
      </c>
      <c r="P3497">
        <v>0</v>
      </c>
      <c r="Q3497">
        <v>0</v>
      </c>
      <c r="R3497">
        <v>0</v>
      </c>
      <c r="S3497">
        <v>0</v>
      </c>
      <c r="T3497">
        <v>12.30838397</v>
      </c>
      <c r="U3497">
        <f t="shared" si="108"/>
        <v>0</v>
      </c>
      <c r="V3497">
        <f t="shared" si="109"/>
        <v>0</v>
      </c>
    </row>
    <row r="3498" spans="1:22" x14ac:dyDescent="0.2">
      <c r="A3498" t="s">
        <v>3011</v>
      </c>
      <c r="B3498" t="s">
        <v>40</v>
      </c>
      <c r="C3498" t="s">
        <v>76</v>
      </c>
      <c r="D3498" t="s">
        <v>77</v>
      </c>
      <c r="E3498">
        <v>14</v>
      </c>
      <c r="F3498" t="s">
        <v>261</v>
      </c>
      <c r="G3498">
        <v>71</v>
      </c>
      <c r="H3498">
        <v>103</v>
      </c>
      <c r="I3498">
        <v>0</v>
      </c>
      <c r="J3498">
        <v>92</v>
      </c>
      <c r="K3498">
        <v>89</v>
      </c>
      <c r="L3498">
        <v>-103</v>
      </c>
      <c r="M3498">
        <v>1</v>
      </c>
      <c r="N3498">
        <v>0</v>
      </c>
      <c r="O3498" s="1" t="s">
        <v>5626</v>
      </c>
      <c r="P3498">
        <v>0</v>
      </c>
      <c r="Q3498">
        <v>0</v>
      </c>
      <c r="R3498">
        <v>0</v>
      </c>
      <c r="S3498">
        <v>0</v>
      </c>
      <c r="T3498">
        <v>12.30838397</v>
      </c>
      <c r="U3498">
        <f t="shared" si="108"/>
        <v>0</v>
      </c>
      <c r="V3498">
        <f t="shared" si="109"/>
        <v>0</v>
      </c>
    </row>
    <row r="3499" spans="1:22" x14ac:dyDescent="0.2">
      <c r="A3499" t="s">
        <v>3011</v>
      </c>
      <c r="B3499" t="s">
        <v>40</v>
      </c>
      <c r="C3499" t="s">
        <v>76</v>
      </c>
      <c r="D3499" t="s">
        <v>77</v>
      </c>
      <c r="E3499" s="1" t="s">
        <v>163</v>
      </c>
      <c r="F3499" t="s">
        <v>224</v>
      </c>
      <c r="G3499">
        <v>42</v>
      </c>
      <c r="H3499">
        <v>75</v>
      </c>
      <c r="I3499">
        <v>0</v>
      </c>
      <c r="J3499">
        <v>119</v>
      </c>
      <c r="K3499">
        <v>99</v>
      </c>
      <c r="L3499">
        <v>-75</v>
      </c>
      <c r="M3499">
        <v>1</v>
      </c>
      <c r="N3499">
        <v>0</v>
      </c>
      <c r="O3499" s="1" t="s">
        <v>5627</v>
      </c>
      <c r="P3499">
        <v>0</v>
      </c>
      <c r="Q3499">
        <v>0</v>
      </c>
      <c r="R3499">
        <v>0</v>
      </c>
      <c r="S3499">
        <v>0</v>
      </c>
      <c r="T3499">
        <v>12.30838397</v>
      </c>
      <c r="U3499">
        <f t="shared" si="108"/>
        <v>0</v>
      </c>
      <c r="V3499">
        <f t="shared" si="109"/>
        <v>0</v>
      </c>
    </row>
    <row r="3500" spans="1:22" x14ac:dyDescent="0.2">
      <c r="A3500" t="s">
        <v>3011</v>
      </c>
      <c r="B3500" t="s">
        <v>40</v>
      </c>
      <c r="C3500" t="s">
        <v>76</v>
      </c>
      <c r="D3500" t="s">
        <v>77</v>
      </c>
      <c r="E3500" s="1" t="s">
        <v>138</v>
      </c>
      <c r="F3500" t="s">
        <v>139</v>
      </c>
      <c r="G3500">
        <v>19</v>
      </c>
      <c r="H3500">
        <v>3</v>
      </c>
      <c r="I3500">
        <v>0</v>
      </c>
      <c r="J3500">
        <v>105</v>
      </c>
      <c r="K3500">
        <v>86</v>
      </c>
      <c r="L3500">
        <v>-3</v>
      </c>
      <c r="M3500">
        <v>1</v>
      </c>
      <c r="N3500">
        <v>0</v>
      </c>
      <c r="O3500" s="1" t="s">
        <v>5628</v>
      </c>
      <c r="P3500">
        <v>0</v>
      </c>
      <c r="Q3500">
        <v>0</v>
      </c>
      <c r="R3500">
        <v>0</v>
      </c>
      <c r="S3500">
        <v>0</v>
      </c>
      <c r="T3500">
        <v>12.30838397</v>
      </c>
      <c r="U3500">
        <f t="shared" si="108"/>
        <v>0</v>
      </c>
      <c r="V3500">
        <f t="shared" si="109"/>
        <v>0</v>
      </c>
    </row>
    <row r="3501" spans="1:22" x14ac:dyDescent="0.2">
      <c r="A3501" t="s">
        <v>3011</v>
      </c>
      <c r="B3501" t="s">
        <v>40</v>
      </c>
      <c r="C3501" t="s">
        <v>76</v>
      </c>
      <c r="D3501" t="s">
        <v>77</v>
      </c>
      <c r="E3501" s="1" t="s">
        <v>163</v>
      </c>
      <c r="F3501" t="s">
        <v>224</v>
      </c>
      <c r="G3501">
        <v>41</v>
      </c>
      <c r="H3501">
        <v>0</v>
      </c>
      <c r="I3501">
        <v>14696</v>
      </c>
      <c r="J3501">
        <v>66</v>
      </c>
      <c r="K3501">
        <v>62</v>
      </c>
      <c r="L3501">
        <v>14696</v>
      </c>
      <c r="M3501">
        <v>0</v>
      </c>
      <c r="N3501">
        <v>1</v>
      </c>
      <c r="O3501" s="1" t="s">
        <v>5629</v>
      </c>
      <c r="P3501">
        <v>0</v>
      </c>
      <c r="Q3501">
        <v>0</v>
      </c>
      <c r="R3501">
        <v>0</v>
      </c>
      <c r="S3501">
        <v>0</v>
      </c>
      <c r="T3501">
        <v>12.30838397</v>
      </c>
      <c r="U3501">
        <f t="shared" si="108"/>
        <v>0</v>
      </c>
      <c r="V3501">
        <f t="shared" si="109"/>
        <v>0</v>
      </c>
    </row>
    <row r="3502" spans="1:22" x14ac:dyDescent="0.2">
      <c r="A3502" t="s">
        <v>3050</v>
      </c>
      <c r="B3502" t="s">
        <v>41</v>
      </c>
      <c r="C3502" t="s">
        <v>76</v>
      </c>
      <c r="D3502" t="s">
        <v>77</v>
      </c>
      <c r="E3502" s="1" t="s">
        <v>138</v>
      </c>
      <c r="F3502" t="s">
        <v>139</v>
      </c>
      <c r="G3502">
        <v>20</v>
      </c>
      <c r="H3502">
        <v>0</v>
      </c>
      <c r="I3502">
        <v>16655</v>
      </c>
      <c r="J3502">
        <v>88</v>
      </c>
      <c r="K3502">
        <v>85</v>
      </c>
      <c r="L3502">
        <v>16655</v>
      </c>
      <c r="M3502">
        <v>0</v>
      </c>
      <c r="N3502">
        <v>1</v>
      </c>
      <c r="O3502" s="1" t="s">
        <v>5630</v>
      </c>
      <c r="P3502">
        <v>0</v>
      </c>
      <c r="Q3502">
        <v>0</v>
      </c>
      <c r="R3502">
        <v>0</v>
      </c>
      <c r="S3502">
        <v>0</v>
      </c>
      <c r="T3502">
        <v>29.702585079999999</v>
      </c>
      <c r="U3502">
        <f t="shared" si="108"/>
        <v>0</v>
      </c>
      <c r="V3502">
        <f t="shared" si="109"/>
        <v>0</v>
      </c>
    </row>
    <row r="3503" spans="1:22" x14ac:dyDescent="0.2">
      <c r="A3503" t="s">
        <v>3148</v>
      </c>
      <c r="B3503" t="s">
        <v>42</v>
      </c>
      <c r="C3503" t="s">
        <v>76</v>
      </c>
      <c r="D3503" t="s">
        <v>77</v>
      </c>
      <c r="E3503">
        <v>12</v>
      </c>
      <c r="F3503" t="s">
        <v>194</v>
      </c>
      <c r="G3503">
        <v>65</v>
      </c>
      <c r="H3503">
        <v>648</v>
      </c>
      <c r="I3503">
        <v>0</v>
      </c>
      <c r="J3503">
        <v>81</v>
      </c>
      <c r="K3503">
        <v>84</v>
      </c>
      <c r="L3503">
        <v>-648</v>
      </c>
      <c r="M3503">
        <v>1</v>
      </c>
      <c r="N3503">
        <v>0</v>
      </c>
      <c r="O3503" s="1" t="s">
        <v>5631</v>
      </c>
      <c r="P3503">
        <v>0</v>
      </c>
      <c r="Q3503">
        <v>0</v>
      </c>
      <c r="R3503">
        <v>0</v>
      </c>
      <c r="S3503">
        <v>0</v>
      </c>
      <c r="T3503">
        <v>2.5920305099999998</v>
      </c>
      <c r="U3503">
        <f t="shared" si="108"/>
        <v>0</v>
      </c>
      <c r="V3503">
        <f t="shared" si="109"/>
        <v>0</v>
      </c>
    </row>
    <row r="3504" spans="1:22" x14ac:dyDescent="0.2">
      <c r="A3504" t="s">
        <v>3148</v>
      </c>
      <c r="B3504" t="s">
        <v>42</v>
      </c>
      <c r="C3504" t="s">
        <v>76</v>
      </c>
      <c r="D3504" t="s">
        <v>77</v>
      </c>
      <c r="E3504">
        <v>12</v>
      </c>
      <c r="F3504" t="s">
        <v>194</v>
      </c>
      <c r="G3504">
        <v>67</v>
      </c>
      <c r="H3504">
        <v>0</v>
      </c>
      <c r="I3504">
        <v>8400</v>
      </c>
      <c r="J3504">
        <v>82</v>
      </c>
      <c r="K3504">
        <v>37</v>
      </c>
      <c r="L3504">
        <v>8400</v>
      </c>
      <c r="M3504">
        <v>0</v>
      </c>
      <c r="N3504">
        <v>1</v>
      </c>
      <c r="O3504" s="1" t="s">
        <v>5632</v>
      </c>
      <c r="P3504">
        <v>0</v>
      </c>
      <c r="Q3504">
        <v>0</v>
      </c>
      <c r="R3504">
        <v>0</v>
      </c>
      <c r="S3504">
        <v>0</v>
      </c>
      <c r="T3504">
        <v>2.5920305099999998</v>
      </c>
      <c r="U3504">
        <f t="shared" si="108"/>
        <v>0</v>
      </c>
      <c r="V3504">
        <f t="shared" si="109"/>
        <v>0</v>
      </c>
    </row>
    <row r="3505" spans="1:22" x14ac:dyDescent="0.2">
      <c r="A3505" t="s">
        <v>3148</v>
      </c>
      <c r="B3505" t="s">
        <v>42</v>
      </c>
      <c r="C3505" t="s">
        <v>76</v>
      </c>
      <c r="D3505" t="s">
        <v>77</v>
      </c>
      <c r="E3505" s="1" t="s">
        <v>82</v>
      </c>
      <c r="F3505" t="s">
        <v>83</v>
      </c>
      <c r="G3505">
        <v>10</v>
      </c>
      <c r="H3505">
        <v>0</v>
      </c>
      <c r="I3505">
        <v>112500</v>
      </c>
      <c r="J3505">
        <v>126</v>
      </c>
      <c r="K3505">
        <v>46</v>
      </c>
      <c r="L3505">
        <v>112500</v>
      </c>
      <c r="M3505">
        <v>0</v>
      </c>
      <c r="N3505">
        <v>1</v>
      </c>
      <c r="O3505" s="1" t="s">
        <v>5633</v>
      </c>
      <c r="P3505">
        <v>0</v>
      </c>
      <c r="Q3505">
        <v>0</v>
      </c>
      <c r="R3505">
        <v>0</v>
      </c>
      <c r="S3505">
        <v>0</v>
      </c>
      <c r="T3505">
        <v>2.5920305099999998</v>
      </c>
      <c r="U3505">
        <f t="shared" si="108"/>
        <v>0</v>
      </c>
      <c r="V3505">
        <f t="shared" si="109"/>
        <v>0</v>
      </c>
    </row>
    <row r="3506" spans="1:22" x14ac:dyDescent="0.2">
      <c r="A3506" t="s">
        <v>3180</v>
      </c>
      <c r="B3506" t="s">
        <v>43</v>
      </c>
      <c r="C3506" t="s">
        <v>76</v>
      </c>
      <c r="D3506" t="s">
        <v>77</v>
      </c>
      <c r="E3506">
        <v>15</v>
      </c>
      <c r="F3506" t="s">
        <v>88</v>
      </c>
      <c r="G3506">
        <v>81</v>
      </c>
      <c r="H3506">
        <v>13844</v>
      </c>
      <c r="I3506">
        <v>0</v>
      </c>
      <c r="J3506">
        <v>69</v>
      </c>
      <c r="K3506">
        <v>59</v>
      </c>
      <c r="L3506">
        <v>-13844</v>
      </c>
      <c r="M3506">
        <v>1</v>
      </c>
      <c r="N3506">
        <v>0</v>
      </c>
      <c r="O3506" s="1" t="s">
        <v>5634</v>
      </c>
      <c r="P3506">
        <v>0</v>
      </c>
      <c r="Q3506">
        <v>0</v>
      </c>
      <c r="R3506">
        <v>0</v>
      </c>
      <c r="S3506">
        <v>0</v>
      </c>
      <c r="T3506">
        <v>134.31486390000001</v>
      </c>
      <c r="U3506">
        <f t="shared" si="108"/>
        <v>0</v>
      </c>
      <c r="V3506">
        <f t="shared" si="109"/>
        <v>0</v>
      </c>
    </row>
    <row r="3507" spans="1:22" x14ac:dyDescent="0.2">
      <c r="A3507" t="s">
        <v>3324</v>
      </c>
      <c r="B3507" t="s">
        <v>45</v>
      </c>
      <c r="C3507" t="s">
        <v>76</v>
      </c>
      <c r="D3507" t="s">
        <v>77</v>
      </c>
      <c r="E3507">
        <v>13</v>
      </c>
      <c r="F3507" t="s">
        <v>91</v>
      </c>
      <c r="G3507">
        <v>69</v>
      </c>
      <c r="H3507">
        <v>544</v>
      </c>
      <c r="I3507">
        <v>0</v>
      </c>
      <c r="J3507">
        <v>107</v>
      </c>
      <c r="K3507">
        <v>91</v>
      </c>
      <c r="L3507">
        <v>-544</v>
      </c>
      <c r="M3507">
        <v>1</v>
      </c>
      <c r="N3507">
        <v>0</v>
      </c>
      <c r="O3507" s="1" t="s">
        <v>5635</v>
      </c>
      <c r="P3507">
        <v>0</v>
      </c>
      <c r="Q3507">
        <v>0</v>
      </c>
      <c r="R3507">
        <v>0</v>
      </c>
      <c r="S3507">
        <v>0</v>
      </c>
      <c r="T3507">
        <v>50.032637979999997</v>
      </c>
      <c r="U3507">
        <f t="shared" si="108"/>
        <v>0</v>
      </c>
      <c r="V3507">
        <f t="shared" si="109"/>
        <v>0</v>
      </c>
    </row>
    <row r="3508" spans="1:22" x14ac:dyDescent="0.2">
      <c r="A3508" t="s">
        <v>3324</v>
      </c>
      <c r="B3508" t="s">
        <v>45</v>
      </c>
      <c r="C3508" t="s">
        <v>76</v>
      </c>
      <c r="D3508" t="s">
        <v>77</v>
      </c>
      <c r="E3508">
        <v>20</v>
      </c>
      <c r="F3508" t="s">
        <v>104</v>
      </c>
      <c r="G3508">
        <v>95</v>
      </c>
      <c r="H3508">
        <v>393</v>
      </c>
      <c r="I3508">
        <v>0</v>
      </c>
      <c r="J3508">
        <v>120</v>
      </c>
      <c r="K3508">
        <v>91</v>
      </c>
      <c r="L3508">
        <v>-393</v>
      </c>
      <c r="M3508">
        <v>1</v>
      </c>
      <c r="N3508">
        <v>0</v>
      </c>
      <c r="O3508" s="1" t="s">
        <v>5636</v>
      </c>
      <c r="P3508">
        <v>0</v>
      </c>
      <c r="Q3508">
        <v>0</v>
      </c>
      <c r="R3508">
        <v>0</v>
      </c>
      <c r="S3508">
        <v>0</v>
      </c>
      <c r="T3508">
        <v>50.032637979999997</v>
      </c>
      <c r="U3508">
        <f t="shared" si="108"/>
        <v>0</v>
      </c>
      <c r="V3508">
        <f t="shared" si="109"/>
        <v>0</v>
      </c>
    </row>
    <row r="3509" spans="1:22" x14ac:dyDescent="0.2">
      <c r="A3509" t="s">
        <v>3728</v>
      </c>
      <c r="B3509" t="s">
        <v>48</v>
      </c>
      <c r="C3509" t="s">
        <v>76</v>
      </c>
      <c r="D3509" t="s">
        <v>77</v>
      </c>
      <c r="E3509" s="1" t="s">
        <v>155</v>
      </c>
      <c r="F3509" t="s">
        <v>156</v>
      </c>
      <c r="G3509" s="1" t="s">
        <v>138</v>
      </c>
      <c r="H3509">
        <v>9</v>
      </c>
      <c r="I3509">
        <v>0</v>
      </c>
      <c r="J3509">
        <v>73</v>
      </c>
      <c r="K3509">
        <v>75</v>
      </c>
      <c r="L3509">
        <v>-9</v>
      </c>
      <c r="M3509">
        <v>1</v>
      </c>
      <c r="N3509">
        <v>0</v>
      </c>
      <c r="O3509" s="1" t="s">
        <v>5637</v>
      </c>
      <c r="P3509">
        <v>0</v>
      </c>
      <c r="Q3509">
        <v>0</v>
      </c>
      <c r="R3509">
        <v>0</v>
      </c>
      <c r="S3509">
        <v>0</v>
      </c>
      <c r="T3509">
        <v>7.1877201389999996</v>
      </c>
      <c r="U3509">
        <f t="shared" si="108"/>
        <v>0</v>
      </c>
      <c r="V3509">
        <f t="shared" si="109"/>
        <v>0</v>
      </c>
    </row>
    <row r="3510" spans="1:22" x14ac:dyDescent="0.2">
      <c r="A3510" t="s">
        <v>3936</v>
      </c>
      <c r="B3510" t="s">
        <v>50</v>
      </c>
      <c r="C3510" t="s">
        <v>76</v>
      </c>
      <c r="D3510" t="s">
        <v>77</v>
      </c>
      <c r="E3510">
        <v>15</v>
      </c>
      <c r="F3510" t="s">
        <v>88</v>
      </c>
      <c r="G3510">
        <v>80</v>
      </c>
      <c r="H3510">
        <v>1121579</v>
      </c>
      <c r="I3510">
        <v>858</v>
      </c>
      <c r="J3510">
        <v>14</v>
      </c>
      <c r="K3510">
        <v>38</v>
      </c>
      <c r="L3510">
        <v>-1120721</v>
      </c>
      <c r="M3510" s="1" t="s">
        <v>5638</v>
      </c>
      <c r="N3510" s="1" t="s">
        <v>5639</v>
      </c>
      <c r="O3510" s="1" t="s">
        <v>5640</v>
      </c>
      <c r="P3510">
        <v>0</v>
      </c>
      <c r="Q3510">
        <v>0</v>
      </c>
      <c r="R3510">
        <v>0</v>
      </c>
      <c r="S3510">
        <v>0</v>
      </c>
      <c r="T3510">
        <v>87.135113059999995</v>
      </c>
      <c r="U3510">
        <f t="shared" si="108"/>
        <v>0</v>
      </c>
      <c r="V3510">
        <f t="shared" si="109"/>
        <v>0</v>
      </c>
    </row>
    <row r="3511" spans="1:22" x14ac:dyDescent="0.2">
      <c r="A3511" t="s">
        <v>4118</v>
      </c>
      <c r="B3511" t="s">
        <v>51</v>
      </c>
      <c r="C3511" t="s">
        <v>76</v>
      </c>
      <c r="D3511" t="s">
        <v>77</v>
      </c>
      <c r="E3511" s="1" t="s">
        <v>138</v>
      </c>
      <c r="F3511" t="s">
        <v>139</v>
      </c>
      <c r="G3511">
        <v>17</v>
      </c>
      <c r="H3511">
        <v>39870</v>
      </c>
      <c r="I3511">
        <v>0</v>
      </c>
      <c r="J3511">
        <v>85</v>
      </c>
      <c r="K3511">
        <v>88</v>
      </c>
      <c r="L3511">
        <v>-39870</v>
      </c>
      <c r="M3511">
        <v>1</v>
      </c>
      <c r="N3511">
        <v>0</v>
      </c>
      <c r="O3511" s="1" t="s">
        <v>5641</v>
      </c>
      <c r="P3511">
        <v>0</v>
      </c>
      <c r="Q3511">
        <v>0</v>
      </c>
      <c r="R3511">
        <v>0</v>
      </c>
      <c r="S3511">
        <v>0</v>
      </c>
      <c r="T3511">
        <v>36.805438330000001</v>
      </c>
      <c r="U3511">
        <f t="shared" si="108"/>
        <v>0</v>
      </c>
      <c r="V3511">
        <f t="shared" si="109"/>
        <v>0</v>
      </c>
    </row>
    <row r="3512" spans="1:22" x14ac:dyDescent="0.2">
      <c r="A3512" t="s">
        <v>4118</v>
      </c>
      <c r="B3512" t="s">
        <v>51</v>
      </c>
      <c r="C3512" t="s">
        <v>76</v>
      </c>
      <c r="D3512" t="s">
        <v>77</v>
      </c>
      <c r="E3512">
        <v>13</v>
      </c>
      <c r="F3512" t="s">
        <v>91</v>
      </c>
      <c r="G3512">
        <v>68</v>
      </c>
      <c r="H3512">
        <v>746</v>
      </c>
      <c r="I3512">
        <v>0</v>
      </c>
      <c r="J3512">
        <v>117</v>
      </c>
      <c r="K3512">
        <v>85</v>
      </c>
      <c r="L3512">
        <v>-746</v>
      </c>
      <c r="M3512">
        <v>1</v>
      </c>
      <c r="N3512">
        <v>0</v>
      </c>
      <c r="O3512" s="1" t="s">
        <v>5642</v>
      </c>
      <c r="P3512">
        <v>0</v>
      </c>
      <c r="Q3512">
        <v>0</v>
      </c>
      <c r="R3512">
        <v>0</v>
      </c>
      <c r="S3512">
        <v>0</v>
      </c>
      <c r="T3512">
        <v>36.805438330000001</v>
      </c>
      <c r="U3512">
        <f t="shared" si="108"/>
        <v>0</v>
      </c>
      <c r="V3512">
        <f t="shared" si="109"/>
        <v>0</v>
      </c>
    </row>
    <row r="3513" spans="1:22" x14ac:dyDescent="0.2">
      <c r="A3513" t="s">
        <v>4118</v>
      </c>
      <c r="B3513" t="s">
        <v>51</v>
      </c>
      <c r="C3513" t="s">
        <v>76</v>
      </c>
      <c r="D3513" t="s">
        <v>77</v>
      </c>
      <c r="E3513">
        <v>12</v>
      </c>
      <c r="F3513" t="s">
        <v>194</v>
      </c>
      <c r="G3513">
        <v>65</v>
      </c>
      <c r="H3513">
        <v>154</v>
      </c>
      <c r="I3513">
        <v>0</v>
      </c>
      <c r="J3513">
        <v>93</v>
      </c>
      <c r="K3513">
        <v>84</v>
      </c>
      <c r="L3513">
        <v>-154</v>
      </c>
      <c r="M3513">
        <v>1</v>
      </c>
      <c r="N3513">
        <v>0</v>
      </c>
      <c r="O3513" s="1" t="s">
        <v>5643</v>
      </c>
      <c r="P3513">
        <v>0</v>
      </c>
      <c r="Q3513">
        <v>0</v>
      </c>
      <c r="R3513">
        <v>0</v>
      </c>
      <c r="S3513">
        <v>0</v>
      </c>
      <c r="T3513">
        <v>36.805438330000001</v>
      </c>
      <c r="U3513">
        <f t="shared" si="108"/>
        <v>0</v>
      </c>
      <c r="V3513">
        <f t="shared" si="109"/>
        <v>0</v>
      </c>
    </row>
    <row r="3514" spans="1:22" x14ac:dyDescent="0.2">
      <c r="A3514" t="s">
        <v>4118</v>
      </c>
      <c r="B3514" t="s">
        <v>51</v>
      </c>
      <c r="C3514" t="s">
        <v>76</v>
      </c>
      <c r="D3514" t="s">
        <v>77</v>
      </c>
      <c r="E3514" s="1" t="s">
        <v>82</v>
      </c>
      <c r="F3514" t="s">
        <v>83</v>
      </c>
      <c r="G3514">
        <v>12</v>
      </c>
      <c r="H3514">
        <v>0</v>
      </c>
      <c r="I3514">
        <v>23887</v>
      </c>
      <c r="J3514">
        <v>103</v>
      </c>
      <c r="K3514">
        <v>80</v>
      </c>
      <c r="L3514">
        <v>23887</v>
      </c>
      <c r="M3514">
        <v>0</v>
      </c>
      <c r="N3514">
        <v>1</v>
      </c>
      <c r="O3514" s="1" t="s">
        <v>5644</v>
      </c>
      <c r="P3514">
        <v>0</v>
      </c>
      <c r="Q3514">
        <v>0</v>
      </c>
      <c r="R3514">
        <v>0</v>
      </c>
      <c r="S3514">
        <v>0</v>
      </c>
      <c r="T3514">
        <v>36.805438330000001</v>
      </c>
      <c r="U3514">
        <f t="shared" si="108"/>
        <v>0</v>
      </c>
      <c r="V3514">
        <f t="shared" si="109"/>
        <v>0</v>
      </c>
    </row>
    <row r="3515" spans="1:22" x14ac:dyDescent="0.2">
      <c r="A3515" t="s">
        <v>4961</v>
      </c>
      <c r="B3515" t="s">
        <v>57</v>
      </c>
      <c r="C3515" t="s">
        <v>76</v>
      </c>
      <c r="D3515" t="s">
        <v>77</v>
      </c>
      <c r="E3515">
        <v>19</v>
      </c>
      <c r="F3515" t="s">
        <v>838</v>
      </c>
      <c r="G3515">
        <v>93</v>
      </c>
      <c r="H3515">
        <v>96045</v>
      </c>
      <c r="I3515">
        <v>0</v>
      </c>
      <c r="J3515">
        <v>53</v>
      </c>
      <c r="K3515">
        <v>36</v>
      </c>
      <c r="L3515">
        <v>-96045</v>
      </c>
      <c r="M3515">
        <v>1</v>
      </c>
      <c r="N3515">
        <v>0</v>
      </c>
      <c r="O3515" s="1" t="s">
        <v>5645</v>
      </c>
      <c r="P3515">
        <v>0</v>
      </c>
      <c r="Q3515">
        <v>0</v>
      </c>
      <c r="R3515">
        <v>0</v>
      </c>
      <c r="S3515">
        <v>0</v>
      </c>
      <c r="T3515">
        <v>224.8741019</v>
      </c>
      <c r="U3515">
        <f t="shared" si="108"/>
        <v>0</v>
      </c>
      <c r="V3515">
        <f t="shared" si="109"/>
        <v>0</v>
      </c>
    </row>
    <row r="3516" spans="1:22" x14ac:dyDescent="0.2">
      <c r="A3516" t="s">
        <v>4368</v>
      </c>
      <c r="B3516" t="s">
        <v>53</v>
      </c>
      <c r="C3516" t="s">
        <v>76</v>
      </c>
      <c r="D3516" t="s">
        <v>77</v>
      </c>
      <c r="E3516">
        <v>15</v>
      </c>
      <c r="F3516" t="s">
        <v>88</v>
      </c>
      <c r="G3516">
        <v>83</v>
      </c>
      <c r="H3516">
        <v>17478064</v>
      </c>
      <c r="I3516">
        <v>0</v>
      </c>
      <c r="J3516">
        <v>11</v>
      </c>
      <c r="K3516">
        <v>85</v>
      </c>
      <c r="L3516">
        <v>-17478064</v>
      </c>
      <c r="M3516">
        <v>1</v>
      </c>
      <c r="N3516">
        <v>0</v>
      </c>
      <c r="O3516" s="1" t="s">
        <v>5646</v>
      </c>
      <c r="P3516">
        <v>0</v>
      </c>
      <c r="Q3516">
        <v>0</v>
      </c>
      <c r="R3516">
        <v>0</v>
      </c>
      <c r="S3516">
        <v>0</v>
      </c>
      <c r="T3516">
        <v>46.141767209999998</v>
      </c>
      <c r="U3516">
        <f t="shared" si="108"/>
        <v>0</v>
      </c>
      <c r="V3516">
        <f t="shared" si="109"/>
        <v>0</v>
      </c>
    </row>
    <row r="3517" spans="1:22" x14ac:dyDescent="0.2">
      <c r="A3517" t="s">
        <v>4368</v>
      </c>
      <c r="B3517" t="s">
        <v>53</v>
      </c>
      <c r="C3517" t="s">
        <v>76</v>
      </c>
      <c r="D3517" t="s">
        <v>77</v>
      </c>
      <c r="E3517">
        <v>17</v>
      </c>
      <c r="F3517" t="s">
        <v>97</v>
      </c>
      <c r="G3517">
        <v>88</v>
      </c>
      <c r="H3517">
        <v>637676</v>
      </c>
      <c r="I3517">
        <v>0</v>
      </c>
      <c r="J3517">
        <v>71</v>
      </c>
      <c r="K3517">
        <v>87</v>
      </c>
      <c r="L3517">
        <v>-637676</v>
      </c>
      <c r="M3517">
        <v>1</v>
      </c>
      <c r="N3517">
        <v>0</v>
      </c>
      <c r="O3517">
        <v>1.0043139561692799E-2</v>
      </c>
      <c r="P3517">
        <v>0</v>
      </c>
      <c r="Q3517">
        <v>0</v>
      </c>
      <c r="R3517">
        <v>0</v>
      </c>
      <c r="S3517">
        <v>0</v>
      </c>
      <c r="T3517">
        <v>46.141767209999998</v>
      </c>
      <c r="U3517">
        <f t="shared" si="108"/>
        <v>0</v>
      </c>
      <c r="V3517">
        <f t="shared" si="109"/>
        <v>0</v>
      </c>
    </row>
    <row r="3518" spans="1:22" x14ac:dyDescent="0.2">
      <c r="A3518" t="s">
        <v>4368</v>
      </c>
      <c r="B3518" t="s">
        <v>53</v>
      </c>
      <c r="C3518" t="s">
        <v>76</v>
      </c>
      <c r="D3518" t="s">
        <v>77</v>
      </c>
      <c r="E3518">
        <v>15</v>
      </c>
      <c r="F3518" t="s">
        <v>88</v>
      </c>
      <c r="G3518">
        <v>74</v>
      </c>
      <c r="H3518">
        <v>314768</v>
      </c>
      <c r="I3518">
        <v>4</v>
      </c>
      <c r="J3518">
        <v>70</v>
      </c>
      <c r="K3518">
        <v>83</v>
      </c>
      <c r="L3518">
        <v>-314764</v>
      </c>
      <c r="M3518">
        <v>0.99998729238941197</v>
      </c>
      <c r="N3518" s="1" t="s">
        <v>5647</v>
      </c>
      <c r="O3518">
        <v>4.9575319223448501E-3</v>
      </c>
      <c r="P3518">
        <v>0</v>
      </c>
      <c r="Q3518">
        <v>0</v>
      </c>
      <c r="R3518">
        <v>0</v>
      </c>
      <c r="S3518">
        <v>0</v>
      </c>
      <c r="T3518">
        <v>46.141767209999998</v>
      </c>
      <c r="U3518">
        <f t="shared" si="108"/>
        <v>0</v>
      </c>
      <c r="V3518">
        <f t="shared" si="109"/>
        <v>0</v>
      </c>
    </row>
    <row r="3519" spans="1:22" x14ac:dyDescent="0.2">
      <c r="A3519" t="s">
        <v>4368</v>
      </c>
      <c r="B3519" t="s">
        <v>53</v>
      </c>
      <c r="C3519" t="s">
        <v>76</v>
      </c>
      <c r="D3519" t="s">
        <v>77</v>
      </c>
      <c r="E3519" s="1" t="s">
        <v>155</v>
      </c>
      <c r="F3519" t="s">
        <v>156</v>
      </c>
      <c r="G3519" s="1" t="s">
        <v>82</v>
      </c>
      <c r="H3519">
        <v>57678</v>
      </c>
      <c r="I3519">
        <v>0</v>
      </c>
      <c r="J3519">
        <v>50</v>
      </c>
      <c r="K3519">
        <v>59</v>
      </c>
      <c r="L3519">
        <v>-57678</v>
      </c>
      <c r="M3519">
        <v>1</v>
      </c>
      <c r="N3519">
        <v>0</v>
      </c>
      <c r="O3519" s="1" t="s">
        <v>5648</v>
      </c>
      <c r="P3519">
        <v>0</v>
      </c>
      <c r="Q3519">
        <v>0</v>
      </c>
      <c r="R3519">
        <v>0</v>
      </c>
      <c r="S3519">
        <v>0</v>
      </c>
      <c r="T3519">
        <v>46.141767209999998</v>
      </c>
      <c r="U3519">
        <f t="shared" si="108"/>
        <v>0</v>
      </c>
      <c r="V3519">
        <f t="shared" si="109"/>
        <v>0</v>
      </c>
    </row>
    <row r="3520" spans="1:22" x14ac:dyDescent="0.2">
      <c r="A3520" t="s">
        <v>4368</v>
      </c>
      <c r="B3520" t="s">
        <v>53</v>
      </c>
      <c r="C3520" t="s">
        <v>76</v>
      </c>
      <c r="D3520" t="s">
        <v>77</v>
      </c>
      <c r="E3520" s="1" t="s">
        <v>138</v>
      </c>
      <c r="F3520" t="s">
        <v>139</v>
      </c>
      <c r="G3520">
        <v>20</v>
      </c>
      <c r="H3520">
        <v>15467</v>
      </c>
      <c r="I3520">
        <v>0</v>
      </c>
      <c r="J3520">
        <v>63</v>
      </c>
      <c r="K3520">
        <v>93</v>
      </c>
      <c r="L3520">
        <v>-15467</v>
      </c>
      <c r="M3520">
        <v>1</v>
      </c>
      <c r="N3520">
        <v>0</v>
      </c>
      <c r="O3520" s="1" t="s">
        <v>5649</v>
      </c>
      <c r="P3520">
        <v>0</v>
      </c>
      <c r="Q3520">
        <v>0</v>
      </c>
      <c r="R3520">
        <v>0</v>
      </c>
      <c r="S3520">
        <v>0</v>
      </c>
      <c r="T3520">
        <v>46.141767209999998</v>
      </c>
      <c r="U3520">
        <f t="shared" si="108"/>
        <v>0</v>
      </c>
      <c r="V3520">
        <f t="shared" si="109"/>
        <v>0</v>
      </c>
    </row>
    <row r="3521" spans="1:22" x14ac:dyDescent="0.2">
      <c r="A3521" t="s">
        <v>4368</v>
      </c>
      <c r="B3521" t="s">
        <v>53</v>
      </c>
      <c r="C3521" t="s">
        <v>76</v>
      </c>
      <c r="D3521" t="s">
        <v>77</v>
      </c>
      <c r="E3521">
        <v>14</v>
      </c>
      <c r="F3521" t="s">
        <v>261</v>
      </c>
      <c r="G3521">
        <v>71</v>
      </c>
      <c r="H3521">
        <v>0</v>
      </c>
      <c r="I3521">
        <v>5206</v>
      </c>
      <c r="J3521">
        <v>98</v>
      </c>
      <c r="K3521">
        <v>69</v>
      </c>
      <c r="L3521">
        <v>5206</v>
      </c>
      <c r="M3521">
        <v>0</v>
      </c>
      <c r="N3521">
        <v>1</v>
      </c>
      <c r="O3521" s="1" t="s">
        <v>5650</v>
      </c>
      <c r="P3521">
        <v>0</v>
      </c>
      <c r="Q3521">
        <v>0</v>
      </c>
      <c r="R3521">
        <v>0</v>
      </c>
      <c r="S3521">
        <v>0</v>
      </c>
      <c r="T3521">
        <v>46.141767209999998</v>
      </c>
      <c r="U3521">
        <f t="shared" si="108"/>
        <v>0</v>
      </c>
      <c r="V3521">
        <f t="shared" si="109"/>
        <v>0</v>
      </c>
    </row>
    <row r="3522" spans="1:22" x14ac:dyDescent="0.2">
      <c r="A3522" t="s">
        <v>4386</v>
      </c>
      <c r="B3522" t="s">
        <v>54</v>
      </c>
      <c r="C3522" t="s">
        <v>76</v>
      </c>
      <c r="D3522" t="s">
        <v>77</v>
      </c>
      <c r="E3522">
        <v>19</v>
      </c>
      <c r="F3522" t="s">
        <v>838</v>
      </c>
      <c r="G3522">
        <v>93</v>
      </c>
      <c r="H3522">
        <v>52726</v>
      </c>
      <c r="I3522">
        <v>0</v>
      </c>
      <c r="J3522">
        <v>60</v>
      </c>
      <c r="K3522">
        <v>36</v>
      </c>
      <c r="L3522">
        <v>-52726</v>
      </c>
      <c r="M3522">
        <v>1</v>
      </c>
      <c r="N3522">
        <v>0</v>
      </c>
      <c r="O3522" s="1" t="s">
        <v>5651</v>
      </c>
      <c r="P3522">
        <v>0</v>
      </c>
      <c r="Q3522">
        <v>0</v>
      </c>
      <c r="R3522">
        <v>0</v>
      </c>
      <c r="S3522">
        <v>0</v>
      </c>
      <c r="T3522">
        <v>12.987771670000001</v>
      </c>
      <c r="U3522">
        <f t="shared" si="108"/>
        <v>0</v>
      </c>
      <c r="V3522">
        <f t="shared" si="109"/>
        <v>0</v>
      </c>
    </row>
    <row r="3523" spans="1:22" x14ac:dyDescent="0.2">
      <c r="A3523" t="s">
        <v>4386</v>
      </c>
      <c r="B3523" t="s">
        <v>54</v>
      </c>
      <c r="C3523" t="s">
        <v>76</v>
      </c>
      <c r="D3523" t="s">
        <v>77</v>
      </c>
      <c r="E3523">
        <v>12</v>
      </c>
      <c r="F3523" t="s">
        <v>194</v>
      </c>
      <c r="G3523">
        <v>65</v>
      </c>
      <c r="H3523">
        <v>4609</v>
      </c>
      <c r="I3523">
        <v>0</v>
      </c>
      <c r="J3523">
        <v>58</v>
      </c>
      <c r="K3523">
        <v>84</v>
      </c>
      <c r="L3523">
        <v>-4609</v>
      </c>
      <c r="M3523">
        <v>1</v>
      </c>
      <c r="N3523">
        <v>0</v>
      </c>
      <c r="O3523" s="1" t="s">
        <v>5652</v>
      </c>
      <c r="P3523">
        <v>0</v>
      </c>
      <c r="Q3523">
        <v>0</v>
      </c>
      <c r="R3523">
        <v>0</v>
      </c>
      <c r="S3523">
        <v>0</v>
      </c>
      <c r="T3523">
        <v>12.987771670000001</v>
      </c>
      <c r="U3523">
        <f t="shared" ref="U3523:U3528" si="110">IF(OR(P3523=1,Q3523=1),1,0)</f>
        <v>0</v>
      </c>
      <c r="V3523">
        <f t="shared" ref="V3523:V3528" si="111">IF(OR(R3523=1,S3523=1),1,0)</f>
        <v>0</v>
      </c>
    </row>
    <row r="3524" spans="1:22" x14ac:dyDescent="0.2">
      <c r="A3524" t="s">
        <v>4386</v>
      </c>
      <c r="B3524" t="s">
        <v>54</v>
      </c>
      <c r="C3524" t="s">
        <v>76</v>
      </c>
      <c r="D3524" t="s">
        <v>77</v>
      </c>
      <c r="E3524">
        <v>11</v>
      </c>
      <c r="F3524" t="s">
        <v>127</v>
      </c>
      <c r="G3524">
        <v>62</v>
      </c>
      <c r="H3524">
        <v>2304</v>
      </c>
      <c r="I3524">
        <v>0</v>
      </c>
      <c r="J3524">
        <v>106</v>
      </c>
      <c r="K3524">
        <v>105</v>
      </c>
      <c r="L3524">
        <v>-2304</v>
      </c>
      <c r="M3524">
        <v>1</v>
      </c>
      <c r="N3524">
        <v>0</v>
      </c>
      <c r="O3524" s="1" t="s">
        <v>5653</v>
      </c>
      <c r="P3524">
        <v>0</v>
      </c>
      <c r="Q3524">
        <v>0</v>
      </c>
      <c r="R3524">
        <v>0</v>
      </c>
      <c r="S3524">
        <v>0</v>
      </c>
      <c r="T3524">
        <v>12.987771670000001</v>
      </c>
      <c r="U3524">
        <f t="shared" si="110"/>
        <v>0</v>
      </c>
      <c r="V3524">
        <f t="shared" si="111"/>
        <v>0</v>
      </c>
    </row>
    <row r="3525" spans="1:22" x14ac:dyDescent="0.2">
      <c r="A3525" t="s">
        <v>4386</v>
      </c>
      <c r="B3525" t="s">
        <v>54</v>
      </c>
      <c r="C3525" t="s">
        <v>76</v>
      </c>
      <c r="D3525" t="s">
        <v>77</v>
      </c>
      <c r="E3525">
        <v>15</v>
      </c>
      <c r="F3525" t="s">
        <v>88</v>
      </c>
      <c r="G3525">
        <v>73</v>
      </c>
      <c r="H3525">
        <v>1152</v>
      </c>
      <c r="I3525">
        <v>0</v>
      </c>
      <c r="J3525">
        <v>139</v>
      </c>
      <c r="K3525">
        <v>103</v>
      </c>
      <c r="L3525">
        <v>-1152</v>
      </c>
      <c r="M3525">
        <v>1</v>
      </c>
      <c r="N3525">
        <v>0</v>
      </c>
      <c r="O3525" s="1" t="s">
        <v>5654</v>
      </c>
      <c r="P3525">
        <v>0</v>
      </c>
      <c r="Q3525">
        <v>0</v>
      </c>
      <c r="R3525">
        <v>0</v>
      </c>
      <c r="S3525">
        <v>0</v>
      </c>
      <c r="T3525">
        <v>12.987771670000001</v>
      </c>
      <c r="U3525">
        <f t="shared" si="110"/>
        <v>0</v>
      </c>
      <c r="V3525">
        <f t="shared" si="111"/>
        <v>0</v>
      </c>
    </row>
    <row r="3526" spans="1:22" x14ac:dyDescent="0.2">
      <c r="A3526" t="s">
        <v>4386</v>
      </c>
      <c r="B3526" t="s">
        <v>54</v>
      </c>
      <c r="C3526" t="s">
        <v>76</v>
      </c>
      <c r="D3526" t="s">
        <v>77</v>
      </c>
      <c r="E3526" s="1" t="s">
        <v>99</v>
      </c>
      <c r="F3526" t="s">
        <v>100</v>
      </c>
      <c r="G3526">
        <v>40</v>
      </c>
      <c r="H3526">
        <v>9</v>
      </c>
      <c r="I3526">
        <v>0</v>
      </c>
      <c r="J3526">
        <v>147</v>
      </c>
      <c r="K3526">
        <v>97</v>
      </c>
      <c r="L3526">
        <v>-9</v>
      </c>
      <c r="M3526">
        <v>1</v>
      </c>
      <c r="N3526">
        <v>0</v>
      </c>
      <c r="O3526" s="1" t="s">
        <v>4399</v>
      </c>
      <c r="P3526">
        <v>0</v>
      </c>
      <c r="Q3526">
        <v>0</v>
      </c>
      <c r="R3526">
        <v>0</v>
      </c>
      <c r="S3526">
        <v>0</v>
      </c>
      <c r="T3526">
        <v>12.987771670000001</v>
      </c>
      <c r="U3526">
        <f t="shared" si="110"/>
        <v>0</v>
      </c>
      <c r="V3526">
        <f t="shared" si="111"/>
        <v>0</v>
      </c>
    </row>
    <row r="3527" spans="1:22" x14ac:dyDescent="0.2">
      <c r="A3527" t="s">
        <v>4386</v>
      </c>
      <c r="B3527" t="s">
        <v>54</v>
      </c>
      <c r="C3527" t="s">
        <v>76</v>
      </c>
      <c r="D3527" t="s">
        <v>77</v>
      </c>
      <c r="E3527" s="1" t="s">
        <v>82</v>
      </c>
      <c r="F3527" t="s">
        <v>83</v>
      </c>
      <c r="G3527" s="1" t="s">
        <v>93</v>
      </c>
      <c r="H3527">
        <v>0</v>
      </c>
      <c r="I3527">
        <v>1</v>
      </c>
      <c r="J3527">
        <v>105</v>
      </c>
      <c r="K3527">
        <v>108</v>
      </c>
      <c r="L3527">
        <v>1</v>
      </c>
      <c r="M3527">
        <v>0</v>
      </c>
      <c r="N3527">
        <v>1</v>
      </c>
      <c r="O3527" s="1" t="s">
        <v>5655</v>
      </c>
      <c r="P3527">
        <v>0</v>
      </c>
      <c r="Q3527">
        <v>0</v>
      </c>
      <c r="R3527">
        <v>0</v>
      </c>
      <c r="S3527">
        <v>0</v>
      </c>
      <c r="T3527">
        <v>12.987771670000001</v>
      </c>
      <c r="U3527">
        <f t="shared" si="110"/>
        <v>0</v>
      </c>
      <c r="V3527">
        <f t="shared" si="111"/>
        <v>0</v>
      </c>
    </row>
    <row r="3528" spans="1:22" x14ac:dyDescent="0.2">
      <c r="A3528" t="s">
        <v>4386</v>
      </c>
      <c r="B3528" t="s">
        <v>54</v>
      </c>
      <c r="C3528" t="s">
        <v>76</v>
      </c>
      <c r="D3528" t="s">
        <v>77</v>
      </c>
      <c r="E3528">
        <v>14</v>
      </c>
      <c r="F3528" t="s">
        <v>261</v>
      </c>
      <c r="G3528">
        <v>71</v>
      </c>
      <c r="H3528">
        <v>0</v>
      </c>
      <c r="I3528">
        <v>522</v>
      </c>
      <c r="J3528">
        <v>98</v>
      </c>
      <c r="K3528">
        <v>81</v>
      </c>
      <c r="L3528">
        <v>522</v>
      </c>
      <c r="M3528">
        <v>0</v>
      </c>
      <c r="N3528">
        <v>1</v>
      </c>
      <c r="O3528" s="1" t="s">
        <v>5656</v>
      </c>
      <c r="P3528">
        <v>0</v>
      </c>
      <c r="Q3528">
        <v>0</v>
      </c>
      <c r="R3528">
        <v>0</v>
      </c>
      <c r="S3528">
        <v>0</v>
      </c>
      <c r="T3528">
        <v>12.987771670000001</v>
      </c>
      <c r="U3528">
        <f t="shared" si="110"/>
        <v>0</v>
      </c>
      <c r="V3528">
        <f t="shared" si="11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5561-A7A1-BF4D-8041-FB794287B8C2}">
  <dimension ref="B3:I18"/>
  <sheetViews>
    <sheetView showGridLines="0" tabSelected="1" workbookViewId="0">
      <selection activeCell="F4" sqref="F4"/>
    </sheetView>
  </sheetViews>
  <sheetFormatPr baseColWidth="10" defaultRowHeight="16" x14ac:dyDescent="0.2"/>
  <cols>
    <col min="2" max="2" width="19.5" bestFit="1" customWidth="1"/>
    <col min="3" max="3" width="23.5" bestFit="1" customWidth="1"/>
    <col min="4" max="4" width="18" customWidth="1"/>
    <col min="5" max="5" width="19.6640625" customWidth="1"/>
    <col min="6" max="6" width="24.5" bestFit="1" customWidth="1"/>
    <col min="7" max="7" width="16.83203125" bestFit="1" customWidth="1"/>
    <col min="8" max="8" width="16.6640625" bestFit="1" customWidth="1"/>
  </cols>
  <sheetData>
    <row r="3" spans="2:9" x14ac:dyDescent="0.2">
      <c r="C3" s="5" t="s">
        <v>5659</v>
      </c>
      <c r="D3" s="5" t="s">
        <v>5658</v>
      </c>
      <c r="E3" s="5" t="s">
        <v>5660</v>
      </c>
      <c r="F3" s="5" t="s">
        <v>5661</v>
      </c>
      <c r="G3" s="5" t="s">
        <v>5662</v>
      </c>
      <c r="H3" s="5" t="s">
        <v>5663</v>
      </c>
      <c r="I3" s="5" t="s">
        <v>5666</v>
      </c>
    </row>
    <row r="4" spans="2:9" x14ac:dyDescent="0.2">
      <c r="B4" t="s">
        <v>5664</v>
      </c>
      <c r="C4" s="4">
        <f>AVERAGEIFS(Sheet1!$B$2:$B$53,Sheet1!$G$2:$G$53,1)</f>
        <v>151.44855600625922</v>
      </c>
      <c r="D4" s="4">
        <f>AVERAGEIFS(Sheet1!$B$2:$B$53,Sheet1!$E$2:$E$53,1)</f>
        <v>205.1365669688889</v>
      </c>
      <c r="E4" s="4">
        <f>AVERAGEIFS(Sheet1!$B$2:$B$53,Sheet1!$F$2:$F$53,1)</f>
        <v>184.21672608709525</v>
      </c>
      <c r="F4" s="4">
        <f>AVERAGEIFS(Sheet1!$B$2:$B$53,Sheet1!$L$2:$L$53,1)</f>
        <v>128.04422323375758</v>
      </c>
      <c r="G4" s="4">
        <f>AVERAGEIFS(Sheet1!$B$2:$B$53,Sheet1!$J$2:$J$53,1)</f>
        <v>171.17117779874999</v>
      </c>
      <c r="H4" s="4">
        <f>AVERAGEIFS(Sheet1!$B$2:$B$53,Sheet1!$K$2:$K$53,1)</f>
        <v>147.30261856237036</v>
      </c>
      <c r="I4" s="4">
        <f>AVERAGE(Sheet1!$B$2:$B$53)</f>
        <v>100.7651558219615</v>
      </c>
    </row>
    <row r="5" spans="2:9" x14ac:dyDescent="0.2">
      <c r="B5" s="10" t="s">
        <v>5679</v>
      </c>
      <c r="C5" s="11">
        <f>C4/$I4</f>
        <v>1.5029853799248669</v>
      </c>
      <c r="D5" s="11">
        <f t="shared" ref="D5:H5" si="0">D4/$I4</f>
        <v>2.0357887138222428</v>
      </c>
      <c r="E5" s="11">
        <f t="shared" si="0"/>
        <v>1.8281788440101405</v>
      </c>
      <c r="F5" s="11">
        <f t="shared" si="0"/>
        <v>1.2707192500152982</v>
      </c>
      <c r="G5" s="11">
        <f t="shared" si="0"/>
        <v>1.6987139691540445</v>
      </c>
      <c r="H5" s="11">
        <f t="shared" si="0"/>
        <v>1.461840825440039</v>
      </c>
      <c r="I5" s="12"/>
    </row>
    <row r="6" spans="2:9" x14ac:dyDescent="0.2">
      <c r="B6" t="s">
        <v>5677</v>
      </c>
      <c r="C6" s="3" cm="1">
        <f t="array" ref="C6">IFERROR(MEDIAN(IF(Sheet1!$G$2:$G$53=1,Sheet1!$B$2:$B$53)),0)</f>
        <v>45.410769389999999</v>
      </c>
      <c r="D6" s="3" cm="1">
        <f t="array" ref="D6">IFERROR(MEDIAN(IF(Sheet1!$E$2:$E$53=1,Sheet1!$B$2:$B$53)),0)</f>
        <v>100.53711300000001</v>
      </c>
      <c r="E6" s="3" cm="1">
        <f t="array" ref="E6">IFERROR(MEDIAN(IF(Sheet1!$F$2:$F$53=1,Sheet1!$B$2:$B$53)),0)</f>
        <v>100.43846910000001</v>
      </c>
      <c r="F6" s="3" cm="1">
        <f t="array" ref="F6">IFERROR(MEDIAN(IF(Sheet1!$L$2:$L$53=1,Sheet1!$B$2:$B$53)),0)</f>
        <v>29.702585079999999</v>
      </c>
      <c r="G6" s="3" cm="1">
        <f t="array" ref="G6">IFERROR(MEDIAN(IF(Sheet1!$J$2:$J$53=1,Sheet1!$B$2:$B$53)),0)</f>
        <v>93.78679108</v>
      </c>
      <c r="H6" s="3" cm="1">
        <f t="array" ref="H6">IFERROR(MEDIAN(IF(Sheet1!$K$2:$K$53=1,Sheet1!$B$2:$B$53)),0)</f>
        <v>29.702585079999999</v>
      </c>
      <c r="I6" s="3">
        <f>MEDIAN(Sheet1!B2:B53)</f>
        <v>38.81542039</v>
      </c>
    </row>
    <row r="7" spans="2:9" x14ac:dyDescent="0.2">
      <c r="B7" s="10" t="s">
        <v>5680</v>
      </c>
      <c r="C7" s="11">
        <f>C6/$I6</f>
        <v>1.1699156915919724</v>
      </c>
      <c r="D7" s="11">
        <f t="shared" ref="D7" si="1">D6/$I6</f>
        <v>2.5901333024310444</v>
      </c>
      <c r="E7" s="11">
        <f t="shared" ref="E7" si="2">E6/$I6</f>
        <v>2.5875919438934103</v>
      </c>
      <c r="F7" s="11">
        <f t="shared" ref="F7" si="3">F6/$I6</f>
        <v>0.76522641727338503</v>
      </c>
      <c r="G7" s="11">
        <f t="shared" ref="G7" si="4">G6/$I6</f>
        <v>2.4162250501906777</v>
      </c>
      <c r="H7" s="11">
        <f t="shared" ref="H7" si="5">H6/$I6</f>
        <v>0.76522641727338503</v>
      </c>
      <c r="I7" s="9"/>
    </row>
    <row r="8" spans="2:9" x14ac:dyDescent="0.2">
      <c r="B8" s="7" t="s">
        <v>5665</v>
      </c>
      <c r="C8" s="7">
        <f>COUNTIFS(Sheet1!$G$2:$G$53,1)</f>
        <v>27</v>
      </c>
      <c r="D8" s="7">
        <f>COUNTIFS(Sheet1!$E$2:$E$53,1)</f>
        <v>18</v>
      </c>
      <c r="E8" s="7">
        <f>COUNTIFS(Sheet1!$F$2:$F$53,1)</f>
        <v>21</v>
      </c>
      <c r="F8" s="7">
        <f>COUNTIFS(Sheet1!$L$2:$L$53,1)</f>
        <v>33</v>
      </c>
      <c r="G8" s="7">
        <f>COUNTIFS(Sheet1!$J$2:$J$53,1)</f>
        <v>24</v>
      </c>
      <c r="H8" s="7">
        <f>COUNTIFS(Sheet1!$K$2:$K$53,1)</f>
        <v>27</v>
      </c>
      <c r="I8" s="7">
        <f>COUNT(Sheet1!$B$2:$B$53)</f>
        <v>52</v>
      </c>
    </row>
    <row r="9" spans="2:9" x14ac:dyDescent="0.2">
      <c r="C9" s="6" t="s">
        <v>5678</v>
      </c>
      <c r="D9" s="6" t="s">
        <v>5668</v>
      </c>
      <c r="E9" s="6" t="s">
        <v>5669</v>
      </c>
      <c r="F9" s="6" t="s">
        <v>5670</v>
      </c>
      <c r="G9" s="6" t="s">
        <v>5671</v>
      </c>
      <c r="H9" s="6" t="s">
        <v>5672</v>
      </c>
      <c r="I9" s="6" t="s">
        <v>5666</v>
      </c>
    </row>
    <row r="10" spans="2:9" x14ac:dyDescent="0.2">
      <c r="B10" t="s">
        <v>5664</v>
      </c>
      <c r="C10" s="4">
        <f>AVERAGEIFS(Sheet1!$B$2:$B$53,Sheet1!$G$2:$G$53,0)</f>
        <v>46.027083622920003</v>
      </c>
      <c r="D10" s="4">
        <f>AVERAGEIFS(Sheet1!$B$2:$B$53,Sheet1!$E$2:$E$53,0)</f>
        <v>45.509702861823534</v>
      </c>
      <c r="E10" s="4">
        <f>AVERAGEIFS(Sheet1!$B$2:$B$53,Sheet1!$F$2:$F$53,0)</f>
        <v>44.23344693267741</v>
      </c>
      <c r="F10" s="4">
        <f>AVERAGEIFS(Sheet1!$B$2:$B$53,Sheet1!$L$2:$L$53,0)</f>
        <v>53.385722948842108</v>
      </c>
      <c r="G10" s="4">
        <f>AVERAGEIFS(Sheet1!$B$2:$B$53,Sheet1!$J$2:$J$53,0)</f>
        <v>40.417136984714297</v>
      </c>
      <c r="H10" s="4">
        <f>AVERAGEIFS(Sheet1!$B$2:$B$53,Sheet1!$K$2:$K$53,0)</f>
        <v>50.504696062319994</v>
      </c>
      <c r="I10" s="4">
        <f>AVERAGE(Sheet1!$B$2:$B$53)</f>
        <v>100.7651558219615</v>
      </c>
    </row>
    <row r="11" spans="2:9" x14ac:dyDescent="0.2">
      <c r="B11" s="10" t="s">
        <v>5679</v>
      </c>
      <c r="C11" s="11">
        <f>C10/$I10</f>
        <v>0.45677578968114413</v>
      </c>
      <c r="D11" s="11">
        <f t="shared" ref="D11" si="6">D10/$I10</f>
        <v>0.4516412691529309</v>
      </c>
      <c r="E11" s="11">
        <f t="shared" ref="E11" si="7">E10/$I10</f>
        <v>0.43897562179958288</v>
      </c>
      <c r="F11" s="11">
        <f t="shared" ref="F11" si="8">F10/$I10</f>
        <v>0.52980340786816738</v>
      </c>
      <c r="G11" s="11">
        <f t="shared" ref="G11" si="9">G10/$I10</f>
        <v>0.40110231215367692</v>
      </c>
      <c r="H11" s="11">
        <f t="shared" ref="H11" si="10">H10/$I10</f>
        <v>0.50121190852475839</v>
      </c>
      <c r="I11" s="12"/>
    </row>
    <row r="12" spans="2:9" x14ac:dyDescent="0.2">
      <c r="B12" t="s">
        <v>5677</v>
      </c>
      <c r="C12" s="3" cm="1">
        <f t="array" ref="C12">IFERROR(MEDIAN(IF(Sheet1!$G$2:$G$53=0,Sheet1!$B$2:$B$53)),0)</f>
        <v>36.805438330000001</v>
      </c>
      <c r="D12" s="3" cm="1">
        <f t="array" ref="D12">IFERROR(MEDIAN(IF(Sheet1!$E$2:$E$53=0,Sheet1!$B$2:$B$53)),0)</f>
        <v>28.40180166</v>
      </c>
      <c r="E12" s="3" cm="1">
        <f t="array" ref="E12">IFERROR(MEDIAN(IF(Sheet1!$F$2:$F$53=0,Sheet1!$B$2:$B$53)),0)</f>
        <v>30.8574895</v>
      </c>
      <c r="F12" s="3" cm="1">
        <f t="array" ref="F12">IFERROR(MEDIAN(IF(Sheet1!$L$2:$L$53=0,Sheet1!$B$2:$B$53)),0)</f>
        <v>41.643896949999998</v>
      </c>
      <c r="G12" s="3" cm="1">
        <f t="array" ref="G12">IFERROR(MEDIAN(IF(Sheet1!$J$2:$J$53=0,Sheet1!$B$2:$B$53)),0)</f>
        <v>25.589071480000001</v>
      </c>
      <c r="H12" s="3" cm="1">
        <f t="array" ref="H12">IFERROR(MEDIAN(IF(Sheet1!$K$2:$K$53=0,Sheet1!$B$2:$B$53)),0)</f>
        <v>39.663424999999997</v>
      </c>
      <c r="I12" s="3">
        <f>MEDIAN(Sheet1!B2:B53)</f>
        <v>38.81542039</v>
      </c>
    </row>
    <row r="13" spans="2:9" x14ac:dyDescent="0.2">
      <c r="B13" s="10" t="s">
        <v>5680</v>
      </c>
      <c r="C13" s="11">
        <f>C12/$I12</f>
        <v>0.94821691895116433</v>
      </c>
      <c r="D13" s="11">
        <f t="shared" ref="D13" si="11">D12/$I12</f>
        <v>0.7317143901735802</v>
      </c>
      <c r="E13" s="11">
        <f t="shared" ref="E13" si="12">E12/$I12</f>
        <v>0.7949801699932072</v>
      </c>
      <c r="F13" s="11">
        <f t="shared" ref="F13" si="13">F12/$I12</f>
        <v>1.0728699195211782</v>
      </c>
      <c r="G13" s="11">
        <f t="shared" ref="G13" si="14">G12/$I12</f>
        <v>0.65925014396063331</v>
      </c>
      <c r="H13" s="11">
        <f t="shared" ref="H13" si="15">H12/$I12</f>
        <v>1.0218471061624381</v>
      </c>
      <c r="I13" s="9"/>
    </row>
    <row r="14" spans="2:9" x14ac:dyDescent="0.2">
      <c r="B14" s="7" t="s">
        <v>5665</v>
      </c>
      <c r="C14" s="7">
        <f>COUNTIFS(Sheet1!$G$2:$G$53,0)</f>
        <v>25</v>
      </c>
      <c r="D14" s="7">
        <f>COUNTIFS(Sheet1!$E$2:$E$53,0)</f>
        <v>34</v>
      </c>
      <c r="E14" s="7">
        <f>COUNTIFS(Sheet1!$F$2:$F$53,0)</f>
        <v>31</v>
      </c>
      <c r="F14" s="7">
        <f>COUNTIFS(Sheet1!$L$2:$L$53,0)</f>
        <v>19</v>
      </c>
      <c r="G14" s="7">
        <f>COUNTIFS(Sheet1!$J$2:$J$53,0)</f>
        <v>28</v>
      </c>
      <c r="H14" s="7">
        <f>COUNTIFS(Sheet1!$K$2:$K$53,0)</f>
        <v>25</v>
      </c>
      <c r="I14" s="7">
        <f>COUNT(Sheet1!$B$2:$B$53)</f>
        <v>52</v>
      </c>
    </row>
    <row r="15" spans="2:9" x14ac:dyDescent="0.2">
      <c r="C15" s="13" t="s">
        <v>5681</v>
      </c>
      <c r="D15" s="13"/>
      <c r="E15" s="13"/>
      <c r="F15" s="13"/>
      <c r="G15" s="13"/>
      <c r="H15" s="13"/>
      <c r="I15" s="13"/>
    </row>
    <row r="16" spans="2:9" x14ac:dyDescent="0.2">
      <c r="B16" s="8" t="s">
        <v>5664</v>
      </c>
      <c r="C16" s="11">
        <f>C4/C10</f>
        <v>3.2904225965523204</v>
      </c>
      <c r="D16" s="11">
        <f t="shared" ref="D16:I16" si="16">D4/D10</f>
        <v>4.5075347468587985</v>
      </c>
      <c r="E16" s="11">
        <f t="shared" si="16"/>
        <v>4.16464776908456</v>
      </c>
      <c r="F16" s="11">
        <f t="shared" si="16"/>
        <v>2.3984731527651766</v>
      </c>
      <c r="G16" s="11">
        <f t="shared" si="16"/>
        <v>4.2351138791321778</v>
      </c>
      <c r="H16" s="11">
        <f t="shared" si="16"/>
        <v>2.9166123162211903</v>
      </c>
      <c r="I16" s="11"/>
    </row>
    <row r="17" spans="2:9" x14ac:dyDescent="0.2">
      <c r="B17" s="8" t="s">
        <v>5677</v>
      </c>
      <c r="C17" s="11">
        <f>C6/C12</f>
        <v>1.2338059659239493</v>
      </c>
      <c r="D17" s="11">
        <f t="shared" ref="D17:I17" si="17">D6/D12</f>
        <v>3.5398146287878838</v>
      </c>
      <c r="E17" s="11">
        <f t="shared" si="17"/>
        <v>3.2549138224611567</v>
      </c>
      <c r="F17" s="11">
        <f t="shared" si="17"/>
        <v>0.71325181492170608</v>
      </c>
      <c r="G17" s="11">
        <f t="shared" si="17"/>
        <v>3.6651111453302327</v>
      </c>
      <c r="H17" s="11">
        <f t="shared" si="17"/>
        <v>0.74886586521461529</v>
      </c>
      <c r="I17" s="11"/>
    </row>
    <row r="18" spans="2:9" x14ac:dyDescent="0.2">
      <c r="F18" s="7"/>
    </row>
  </sheetData>
  <mergeCells count="1">
    <mergeCell ref="C15:I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Azubuike, John Ndubuisi</dc:creator>
  <cp:lastModifiedBy>Azubuike, John Ndubuisi</cp:lastModifiedBy>
  <dcterms:created xsi:type="dcterms:W3CDTF">2024-08-04T23:26:34Z</dcterms:created>
  <dcterms:modified xsi:type="dcterms:W3CDTF">2024-08-05T23:28:31Z</dcterms:modified>
</cp:coreProperties>
</file>